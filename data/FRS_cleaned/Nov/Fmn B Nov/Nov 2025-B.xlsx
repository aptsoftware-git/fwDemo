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sanju\INTERNSHIP-APT\ftWilliam\FRS\Nov\Fmn B Nov\"/>
    </mc:Choice>
  </mc:AlternateContent>
  <xr:revisionPtr revIDLastSave="0" documentId="13_ncr:1_{2C7E2CFA-5E1D-4EC5-94F9-6E4DF60433A0}" xr6:coauthVersionLast="47" xr6:coauthVersionMax="47" xr10:uidLastSave="{00000000-0000-0000-0000-000000000000}"/>
  <bookViews>
    <workbookView xWindow="-108" yWindow="-108" windowWidth="23256" windowHeight="12456" activeTab="4" xr2:uid="{00000000-000D-0000-FFFF-FFFF00000000}"/>
  </bookViews>
  <sheets>
    <sheet name="B Vehicle" sheetId="2" r:id="rId1"/>
    <sheet name="C Vehicle" sheetId="3" r:id="rId2"/>
    <sheet name="ARMT" sheetId="9" r:id="rId3"/>
    <sheet name="SA" sheetId="8" r:id="rId4"/>
    <sheet name="Appx E" sheetId="11" r:id="rId5"/>
  </sheets>
  <externalReferences>
    <externalReference r:id="rId6"/>
    <externalReference r:id="rId7"/>
    <externalReference r:id="rId8"/>
    <externalReference r:id="rId9"/>
    <externalReference r:id="rId10"/>
  </externalReferences>
  <definedNames>
    <definedName name="a">'[1]FRS Units held amdt'!#REF!</definedName>
    <definedName name="aaa">'[1]FRS Units held amdt'!#REF!</definedName>
    <definedName name="aaaaaaaaa">'[2]FRS Units held amdt'!#REF!</definedName>
    <definedName name="ad">'[3]FRS Units held amdt'!#REF!</definedName>
    <definedName name="AS">'[3]FRS Units held amdt'!#REF!</definedName>
    <definedName name="ASD">'[4]FRS Units held amdt'!#REF!</definedName>
    <definedName name="Bot_rece_3man_2A">'[2]FRS Units held amdt'!#REF!</definedName>
    <definedName name="Engr_Eqpt_List_1">'[5]Engr eqpt'!$B$5:$B$72</definedName>
    <definedName name="MOTOR_CYCLE">#REF!</definedName>
    <definedName name="_xlnm.Print_Area" localSheetId="2">ARMT!$A$1:$T$24</definedName>
    <definedName name="Sample_format">'[2]FRS Units held amdt'!#REF!</definedName>
    <definedName name="sh">#REF!</definedName>
    <definedName name="Spare">'[1]FRS Units held amdt'!#REF!</definedName>
    <definedName name="Unit_List_606">'[5]Dependent User Unit'!$C$6:$C$35</definedName>
    <definedName name="VOR">'[3]FRS Units held amdt'!#REF!</definedName>
    <definedName name="VORr">'[4]FRS Units held amdt'!#REF!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6" i="8" l="1"/>
  <c r="K76" i="8"/>
  <c r="J76" i="8"/>
  <c r="I76" i="8"/>
  <c r="H76" i="8"/>
  <c r="G76" i="8"/>
  <c r="F76" i="8"/>
  <c r="E76" i="8"/>
  <c r="D76" i="8"/>
  <c r="C76" i="8"/>
  <c r="O75" i="8"/>
  <c r="P75" i="8" s="1"/>
  <c r="L75" i="8"/>
  <c r="O74" i="8"/>
  <c r="P74" i="8" s="1"/>
  <c r="L74" i="8"/>
  <c r="O73" i="8"/>
  <c r="P73" i="8" s="1"/>
  <c r="L73" i="8"/>
  <c r="M72" i="8"/>
  <c r="M71" i="8"/>
  <c r="M70" i="8"/>
  <c r="O67" i="8"/>
  <c r="P67" i="8" s="1"/>
  <c r="M67" i="8"/>
  <c r="O64" i="8"/>
  <c r="P64" i="8" s="1"/>
  <c r="M64" i="8"/>
  <c r="O62" i="8"/>
  <c r="P62" i="8" s="1"/>
  <c r="M62" i="8"/>
  <c r="P61" i="8"/>
  <c r="O61" i="8"/>
  <c r="N61" i="8"/>
  <c r="M61" i="8"/>
  <c r="P60" i="8"/>
  <c r="O60" i="8"/>
  <c r="M60" i="8"/>
  <c r="P59" i="8"/>
  <c r="O59" i="8"/>
  <c r="M59" i="8"/>
  <c r="O58" i="8"/>
  <c r="N58" i="8"/>
  <c r="M58" i="8"/>
  <c r="M57" i="8"/>
  <c r="O56" i="8"/>
  <c r="N56" i="8"/>
  <c r="M56" i="8"/>
  <c r="O55" i="8"/>
  <c r="N55" i="8"/>
  <c r="M55" i="8"/>
  <c r="O54" i="8"/>
  <c r="P54" i="8" s="1"/>
  <c r="M54" i="8"/>
  <c r="O53" i="8"/>
  <c r="P53" i="8" s="1"/>
  <c r="M53" i="8"/>
  <c r="O52" i="8"/>
  <c r="P52" i="8" s="1"/>
  <c r="M52" i="8"/>
  <c r="P51" i="8"/>
  <c r="O51" i="8"/>
  <c r="N51" i="8"/>
  <c r="M51" i="8"/>
  <c r="P50" i="8"/>
  <c r="O50" i="8"/>
  <c r="N50" i="8"/>
  <c r="M50" i="8"/>
  <c r="O49" i="8"/>
  <c r="N49" i="8"/>
  <c r="M49" i="8"/>
  <c r="O48" i="8"/>
  <c r="N48" i="8"/>
  <c r="M48" i="8"/>
  <c r="P47" i="8"/>
  <c r="O47" i="8"/>
  <c r="M47" i="8"/>
  <c r="P46" i="8"/>
  <c r="O46" i="8"/>
  <c r="M46" i="8"/>
  <c r="P45" i="8"/>
  <c r="O45" i="8"/>
  <c r="M45" i="8"/>
  <c r="P44" i="8"/>
  <c r="O44" i="8"/>
  <c r="M44" i="8"/>
  <c r="P43" i="8"/>
  <c r="O43" i="8"/>
  <c r="M43" i="8"/>
  <c r="O42" i="8"/>
  <c r="N42" i="8"/>
  <c r="P42" i="8" s="1"/>
  <c r="M42" i="8"/>
  <c r="P41" i="8"/>
  <c r="O41" i="8"/>
  <c r="N41" i="8"/>
  <c r="M41" i="8"/>
  <c r="O40" i="8"/>
  <c r="P40" i="8" s="1"/>
  <c r="M40" i="8"/>
  <c r="O39" i="8"/>
  <c r="P39" i="8" s="1"/>
  <c r="M39" i="8"/>
  <c r="P38" i="8"/>
  <c r="O38" i="8"/>
  <c r="N38" i="8"/>
  <c r="M38" i="8"/>
  <c r="P37" i="8"/>
  <c r="O37" i="8"/>
  <c r="N37" i="8"/>
  <c r="M37" i="8"/>
  <c r="P36" i="8"/>
  <c r="O36" i="8"/>
  <c r="N36" i="8"/>
  <c r="M36" i="8"/>
  <c r="O35" i="8"/>
  <c r="N35" i="8"/>
  <c r="M35" i="8"/>
  <c r="O34" i="8"/>
  <c r="N34" i="8"/>
  <c r="M34" i="8"/>
  <c r="P33" i="8"/>
  <c r="O33" i="8"/>
  <c r="N33" i="8"/>
  <c r="M33" i="8"/>
  <c r="P32" i="8"/>
  <c r="O32" i="8"/>
  <c r="M32" i="8"/>
  <c r="P31" i="8"/>
  <c r="O31" i="8"/>
  <c r="M31" i="8"/>
  <c r="P30" i="8"/>
  <c r="O30" i="8"/>
  <c r="M30" i="8"/>
  <c r="P29" i="8"/>
  <c r="O29" i="8"/>
  <c r="M29" i="8"/>
  <c r="P27" i="8"/>
  <c r="O27" i="8"/>
  <c r="M27" i="8"/>
  <c r="P26" i="8"/>
  <c r="O26" i="8"/>
  <c r="N26" i="8"/>
  <c r="M26" i="8"/>
  <c r="P25" i="8"/>
  <c r="O25" i="8"/>
  <c r="N25" i="8"/>
  <c r="M25" i="8"/>
  <c r="P24" i="8"/>
  <c r="O24" i="8"/>
  <c r="N24" i="8"/>
  <c r="M24" i="8"/>
  <c r="P21" i="8"/>
  <c r="O21" i="8"/>
  <c r="M21" i="8"/>
  <c r="P20" i="8"/>
  <c r="O20" i="8"/>
  <c r="M20" i="8"/>
  <c r="O19" i="8"/>
  <c r="N19" i="8"/>
  <c r="M19" i="8"/>
  <c r="P18" i="8"/>
  <c r="O18" i="8"/>
  <c r="N18" i="8"/>
  <c r="M18" i="8"/>
  <c r="O17" i="8"/>
  <c r="P17" i="8" s="1"/>
  <c r="M17" i="8"/>
  <c r="O16" i="8"/>
  <c r="P16" i="8" s="1"/>
  <c r="M16" i="8"/>
  <c r="O15" i="8"/>
  <c r="P15" i="8" s="1"/>
  <c r="M15" i="8"/>
  <c r="O14" i="8"/>
  <c r="P14" i="8" s="1"/>
  <c r="M14" i="8"/>
  <c r="O13" i="8"/>
  <c r="P13" i="8" s="1"/>
  <c r="M13" i="8"/>
  <c r="O12" i="8"/>
  <c r="P12" i="8" s="1"/>
  <c r="M12" i="8"/>
  <c r="O11" i="8"/>
  <c r="P11" i="8" s="1"/>
  <c r="M11" i="8"/>
  <c r="O10" i="8"/>
  <c r="M10" i="8"/>
  <c r="P9" i="8"/>
  <c r="O9" i="8"/>
  <c r="M9" i="8"/>
  <c r="P8" i="8"/>
  <c r="O8" i="8"/>
  <c r="M8" i="8"/>
  <c r="P7" i="8"/>
  <c r="O7" i="8"/>
  <c r="M7" i="8"/>
  <c r="P6" i="8"/>
  <c r="O6" i="8"/>
  <c r="M6" i="8"/>
  <c r="S24" i="9"/>
  <c r="R24" i="9"/>
  <c r="Q24" i="9"/>
  <c r="S23" i="9"/>
  <c r="R23" i="9"/>
  <c r="Q23" i="9"/>
  <c r="R22" i="9"/>
  <c r="Q22" i="9"/>
  <c r="S21" i="9"/>
  <c r="R21" i="9"/>
  <c r="Q21" i="9"/>
  <c r="S20" i="9"/>
  <c r="R20" i="9"/>
  <c r="Q20" i="9"/>
  <c r="S19" i="9"/>
  <c r="R19" i="9"/>
  <c r="Q19" i="9"/>
  <c r="S18" i="9"/>
  <c r="R18" i="9"/>
  <c r="Q18" i="9"/>
  <c r="S17" i="9"/>
  <c r="R17" i="9"/>
  <c r="Q17" i="9"/>
  <c r="S16" i="9"/>
  <c r="R16" i="9"/>
  <c r="Q16" i="9"/>
  <c r="S15" i="9"/>
  <c r="R15" i="9"/>
  <c r="Q15" i="9"/>
  <c r="R14" i="9"/>
  <c r="Q14" i="9"/>
  <c r="S13" i="9"/>
  <c r="R13" i="9"/>
  <c r="Q13" i="9"/>
  <c r="S12" i="9"/>
  <c r="R12" i="9"/>
  <c r="Q12" i="9"/>
  <c r="S11" i="9"/>
  <c r="R11" i="9"/>
  <c r="Q11" i="9"/>
  <c r="S10" i="9"/>
  <c r="R10" i="9"/>
  <c r="Q10" i="9"/>
  <c r="S9" i="9"/>
  <c r="R9" i="9"/>
  <c r="Q9" i="9"/>
  <c r="R8" i="9"/>
  <c r="Q8" i="9"/>
  <c r="R7" i="9"/>
  <c r="Q7" i="9"/>
  <c r="S7" i="9" s="1"/>
  <c r="P7" i="9"/>
  <c r="R6" i="9"/>
  <c r="Q6" i="9"/>
  <c r="P6" i="9"/>
  <c r="I68" i="11"/>
  <c r="L68" i="11" s="1"/>
  <c r="M68" i="11"/>
  <c r="I69" i="11"/>
  <c r="L69" i="11" s="1"/>
  <c r="K69" i="11"/>
  <c r="N69" i="11" s="1"/>
  <c r="M69" i="11"/>
  <c r="I70" i="11"/>
  <c r="L70" i="11" s="1"/>
  <c r="K70" i="11"/>
  <c r="N70" i="11" s="1"/>
  <c r="M70" i="11"/>
  <c r="I71" i="11"/>
  <c r="L71" i="11" s="1"/>
  <c r="K71" i="11"/>
  <c r="N71" i="11" s="1"/>
  <c r="M71" i="11"/>
  <c r="I72" i="11"/>
  <c r="L72" i="11" s="1"/>
  <c r="K72" i="11"/>
  <c r="N72" i="11" s="1"/>
  <c r="M72" i="11"/>
  <c r="I73" i="11"/>
  <c r="L73" i="11" s="1"/>
  <c r="K73" i="11"/>
  <c r="N73" i="11" s="1"/>
  <c r="M73" i="11"/>
  <c r="I74" i="11"/>
  <c r="L74" i="11" s="1"/>
  <c r="M74" i="11"/>
  <c r="I75" i="11"/>
  <c r="L75" i="11" s="1"/>
  <c r="K75" i="11"/>
  <c r="N75" i="11" s="1"/>
  <c r="M75" i="11"/>
  <c r="I76" i="11"/>
  <c r="K76" i="11" s="1"/>
  <c r="L76" i="11"/>
  <c r="M76" i="11"/>
  <c r="N76" i="11"/>
  <c r="O76" i="11"/>
  <c r="I77" i="11"/>
  <c r="L77" i="11" s="1"/>
  <c r="K77" i="11"/>
  <c r="N77" i="11" s="1"/>
  <c r="M77" i="11"/>
  <c r="I78" i="11"/>
  <c r="L78" i="11" s="1"/>
  <c r="K78" i="11"/>
  <c r="N78" i="11" s="1"/>
  <c r="M78" i="11"/>
  <c r="I79" i="11"/>
  <c r="L79" i="11" s="1"/>
  <c r="K79" i="11"/>
  <c r="N79" i="11" s="1"/>
  <c r="M79" i="11"/>
  <c r="I80" i="11"/>
  <c r="I81" i="11"/>
  <c r="K81" i="11" s="1"/>
  <c r="M81" i="11"/>
  <c r="I82" i="11"/>
  <c r="K82" i="11" s="1"/>
  <c r="N82" i="11" s="1"/>
  <c r="M82" i="11"/>
  <c r="I83" i="11"/>
  <c r="K83" i="11" s="1"/>
  <c r="N83" i="11" s="1"/>
  <c r="M83" i="11"/>
  <c r="I84" i="11"/>
  <c r="K84" i="11" s="1"/>
  <c r="N84" i="11" s="1"/>
  <c r="M84" i="11"/>
  <c r="I85" i="11"/>
  <c r="K85" i="11" s="1"/>
  <c r="N85" i="11" s="1"/>
  <c r="M85" i="11"/>
  <c r="I86" i="11"/>
  <c r="K86" i="11" s="1"/>
  <c r="N86" i="11" s="1"/>
  <c r="M86" i="11"/>
  <c r="I88" i="11"/>
  <c r="K88" i="11" s="1"/>
  <c r="N88" i="11" s="1"/>
  <c r="M88" i="11"/>
  <c r="I89" i="11"/>
  <c r="K89" i="11" s="1"/>
  <c r="N89" i="11" s="1"/>
  <c r="M89" i="11"/>
  <c r="I90" i="11"/>
  <c r="K90" i="11" s="1"/>
  <c r="N90" i="11" s="1"/>
  <c r="M90" i="11"/>
  <c r="I91" i="11"/>
  <c r="K91" i="11" s="1"/>
  <c r="N91" i="11" s="1"/>
  <c r="M91" i="11"/>
  <c r="I92" i="11"/>
  <c r="K92" i="11" s="1"/>
  <c r="N92" i="11" s="1"/>
  <c r="O92" i="11" s="1"/>
  <c r="M92" i="11"/>
  <c r="I93" i="11"/>
  <c r="K93" i="11" s="1"/>
  <c r="L93" i="11"/>
  <c r="M93" i="11"/>
  <c r="N93" i="11"/>
  <c r="O93" i="11"/>
  <c r="I94" i="11"/>
  <c r="K94" i="11" s="1"/>
  <c r="N94" i="11" s="1"/>
  <c r="M94" i="11"/>
  <c r="I95" i="11"/>
  <c r="K95" i="11" s="1"/>
  <c r="N95" i="11" s="1"/>
  <c r="M95" i="11"/>
  <c r="I96" i="11"/>
  <c r="K96" i="11" s="1"/>
  <c r="N96" i="11" s="1"/>
  <c r="M96" i="11"/>
  <c r="I97" i="11"/>
  <c r="K97" i="11" s="1"/>
  <c r="N97" i="11" s="1"/>
  <c r="M97" i="11"/>
  <c r="I98" i="11"/>
  <c r="K98" i="11" s="1"/>
  <c r="N98" i="11" s="1"/>
  <c r="M98" i="11"/>
  <c r="I99" i="11"/>
  <c r="K99" i="11" s="1"/>
  <c r="N99" i="11" s="1"/>
  <c r="M99" i="11"/>
  <c r="I100" i="11"/>
  <c r="K100" i="11" s="1"/>
  <c r="L100" i="11"/>
  <c r="M100" i="11"/>
  <c r="N100" i="11"/>
  <c r="O100" i="11"/>
  <c r="I101" i="11"/>
  <c r="K101" i="11" s="1"/>
  <c r="N101" i="11" s="1"/>
  <c r="M101" i="11"/>
  <c r="I102" i="11"/>
  <c r="K102" i="11" s="1"/>
  <c r="N102" i="11" s="1"/>
  <c r="M102" i="11"/>
  <c r="I103" i="11"/>
  <c r="K103" i="11" s="1"/>
  <c r="L103" i="11"/>
  <c r="M103" i="11"/>
  <c r="N103" i="11"/>
  <c r="O103" i="11"/>
  <c r="I104" i="11"/>
  <c r="K104" i="11" s="1"/>
  <c r="N104" i="11" s="1"/>
  <c r="M104" i="11"/>
  <c r="I105" i="11"/>
  <c r="K105" i="11" s="1"/>
  <c r="N105" i="11" s="1"/>
  <c r="M105" i="11"/>
  <c r="I106" i="11"/>
  <c r="K106" i="11" s="1"/>
  <c r="N106" i="11" s="1"/>
  <c r="M106" i="11"/>
  <c r="I107" i="11"/>
  <c r="I108" i="11"/>
  <c r="K108" i="11" s="1"/>
  <c r="N108" i="11" s="1"/>
  <c r="M108" i="11"/>
  <c r="I109" i="11"/>
  <c r="L109" i="11" s="1"/>
  <c r="K109" i="11"/>
  <c r="M109" i="11"/>
  <c r="N109" i="11"/>
  <c r="I110" i="11"/>
  <c r="K110" i="11"/>
  <c r="L110" i="11"/>
  <c r="M110" i="11"/>
  <c r="N110" i="11"/>
  <c r="I111" i="11"/>
  <c r="K111" i="11"/>
  <c r="N111" i="11" s="1"/>
  <c r="L111" i="11"/>
  <c r="M111" i="11"/>
  <c r="I112" i="11"/>
  <c r="K112" i="11" s="1"/>
  <c r="N112" i="11" s="1"/>
  <c r="M112" i="11"/>
  <c r="I113" i="11"/>
  <c r="L113" i="11" s="1"/>
  <c r="K113" i="11"/>
  <c r="N113" i="11" s="1"/>
  <c r="M113" i="11"/>
  <c r="I114" i="11"/>
  <c r="K114" i="11" s="1"/>
  <c r="N114" i="11" s="1"/>
  <c r="M114" i="11"/>
  <c r="I115" i="11"/>
  <c r="K115" i="11"/>
  <c r="N115" i="11" s="1"/>
  <c r="L115" i="11"/>
  <c r="M115" i="11"/>
  <c r="I116" i="11"/>
  <c r="K116" i="11" s="1"/>
  <c r="N116" i="11" s="1"/>
  <c r="M116" i="11"/>
  <c r="I117" i="11"/>
  <c r="K117" i="11"/>
  <c r="L117" i="11"/>
  <c r="M117" i="11"/>
  <c r="N117" i="11"/>
  <c r="I118" i="11"/>
  <c r="K118" i="11" s="1"/>
  <c r="N118" i="11" s="1"/>
  <c r="M118" i="11"/>
  <c r="I119" i="11"/>
  <c r="K119" i="11"/>
  <c r="N119" i="11" s="1"/>
  <c r="L119" i="11"/>
  <c r="M119" i="11"/>
  <c r="I120" i="11"/>
  <c r="K120" i="11" s="1"/>
  <c r="N120" i="11" s="1"/>
  <c r="M120" i="11"/>
  <c r="I121" i="11"/>
  <c r="K121" i="11"/>
  <c r="L121" i="11"/>
  <c r="M121" i="11"/>
  <c r="O121" i="11" s="1"/>
  <c r="N121" i="11"/>
  <c r="I122" i="11"/>
  <c r="K122" i="11"/>
  <c r="L122" i="11"/>
  <c r="M122" i="11"/>
  <c r="N122" i="11"/>
  <c r="I123" i="11"/>
  <c r="K123" i="11" s="1"/>
  <c r="N123" i="11" s="1"/>
  <c r="M123" i="11"/>
  <c r="I124" i="11"/>
  <c r="K124" i="11" s="1"/>
  <c r="N124" i="11" s="1"/>
  <c r="M124" i="11"/>
  <c r="I125" i="11"/>
  <c r="K125" i="11"/>
  <c r="L125" i="11"/>
  <c r="M125" i="11"/>
  <c r="N125" i="11"/>
  <c r="O125" i="11"/>
  <c r="I126" i="11"/>
  <c r="K126" i="11"/>
  <c r="L126" i="11"/>
  <c r="M126" i="11"/>
  <c r="N126" i="11"/>
  <c r="I127" i="11"/>
  <c r="L127" i="11" s="1"/>
  <c r="K127" i="11"/>
  <c r="N127" i="11" s="1"/>
  <c r="M127" i="11"/>
  <c r="I128" i="11"/>
  <c r="K128" i="11" s="1"/>
  <c r="N128" i="11" s="1"/>
  <c r="M128" i="11"/>
  <c r="I129" i="11"/>
  <c r="K129" i="11"/>
  <c r="L129" i="11"/>
  <c r="M129" i="11"/>
  <c r="N129" i="11"/>
  <c r="I130" i="11"/>
  <c r="K130" i="11"/>
  <c r="L130" i="11"/>
  <c r="M130" i="11"/>
  <c r="N130" i="11"/>
  <c r="I131" i="11"/>
  <c r="L131" i="11" s="1"/>
  <c r="K131" i="11"/>
  <c r="N131" i="11" s="1"/>
  <c r="M131" i="11"/>
  <c r="I132" i="11"/>
  <c r="L132" i="11" s="1"/>
  <c r="K132" i="11"/>
  <c r="N132" i="11" s="1"/>
  <c r="M132" i="11"/>
  <c r="I133" i="11"/>
  <c r="K133" i="11" s="1"/>
  <c r="L133" i="11"/>
  <c r="M133" i="11"/>
  <c r="N133" i="11"/>
  <c r="O133" i="11"/>
  <c r="I134" i="11"/>
  <c r="K134" i="11"/>
  <c r="L134" i="11"/>
  <c r="M134" i="11"/>
  <c r="N134" i="11"/>
  <c r="O134" i="11"/>
  <c r="I135" i="11"/>
  <c r="K135" i="11" s="1"/>
  <c r="N135" i="11" s="1"/>
  <c r="L135" i="11"/>
  <c r="M135" i="11"/>
  <c r="I136" i="11"/>
  <c r="L136" i="11" s="1"/>
  <c r="K136" i="11"/>
  <c r="N136" i="11" s="1"/>
  <c r="M136" i="11"/>
  <c r="I137" i="11"/>
  <c r="L137" i="11" s="1"/>
  <c r="K137" i="11"/>
  <c r="M137" i="11"/>
  <c r="N137" i="11"/>
  <c r="I138" i="11"/>
  <c r="K138" i="11"/>
  <c r="L138" i="11"/>
  <c r="M138" i="11"/>
  <c r="N138" i="11"/>
  <c r="I139" i="11"/>
  <c r="K139" i="11" s="1"/>
  <c r="N139" i="11" s="1"/>
  <c r="L139" i="11"/>
  <c r="M139" i="11"/>
  <c r="I140" i="11"/>
  <c r="K140" i="11"/>
  <c r="L140" i="11"/>
  <c r="M140" i="11"/>
  <c r="N140" i="11"/>
  <c r="O140" i="11"/>
  <c r="I141" i="11"/>
  <c r="K141" i="11"/>
  <c r="N141" i="11" s="1"/>
  <c r="L141" i="11"/>
  <c r="M141" i="11"/>
  <c r="I142" i="11"/>
  <c r="K142" i="11"/>
  <c r="N142" i="11" s="1"/>
  <c r="L142" i="11"/>
  <c r="M142" i="11"/>
  <c r="I143" i="11"/>
  <c r="K143" i="11"/>
  <c r="N143" i="11" s="1"/>
  <c r="L143" i="11"/>
  <c r="M143" i="11"/>
  <c r="I144" i="11"/>
  <c r="K144" i="11" s="1"/>
  <c r="L144" i="11"/>
  <c r="M144" i="11"/>
  <c r="N144" i="11"/>
  <c r="O144" i="11"/>
  <c r="I145" i="11"/>
  <c r="K145" i="11" s="1"/>
  <c r="L145" i="11"/>
  <c r="M145" i="11"/>
  <c r="N145" i="11"/>
  <c r="O145" i="11"/>
  <c r="I146" i="11"/>
  <c r="K146" i="11"/>
  <c r="L146" i="11"/>
  <c r="M146" i="11"/>
  <c r="N146" i="11"/>
  <c r="O146" i="11"/>
  <c r="I147" i="11"/>
  <c r="K147" i="11"/>
  <c r="L147" i="11"/>
  <c r="M147" i="11"/>
  <c r="N147" i="11"/>
  <c r="O147" i="11"/>
  <c r="I148" i="11"/>
  <c r="K148" i="11"/>
  <c r="N148" i="11" s="1"/>
  <c r="L148" i="11"/>
  <c r="M148" i="11"/>
  <c r="I149" i="11"/>
  <c r="K149" i="11"/>
  <c r="L149" i="11"/>
  <c r="M149" i="11"/>
  <c r="N149" i="11"/>
  <c r="O149" i="11"/>
  <c r="I150" i="11"/>
  <c r="K150" i="11"/>
  <c r="L150" i="11"/>
  <c r="M150" i="11"/>
  <c r="N150" i="11"/>
  <c r="O150" i="11"/>
  <c r="I151" i="11"/>
  <c r="K151" i="11"/>
  <c r="L151" i="11"/>
  <c r="M151" i="11"/>
  <c r="N151" i="11"/>
  <c r="I152" i="11"/>
  <c r="K152" i="11" s="1"/>
  <c r="L152" i="11"/>
  <c r="M152" i="11"/>
  <c r="N152" i="11"/>
  <c r="O152" i="11"/>
  <c r="I153" i="11"/>
  <c r="L153" i="11" s="1"/>
  <c r="K153" i="11"/>
  <c r="N153" i="11" s="1"/>
  <c r="M153" i="11"/>
  <c r="I154" i="11"/>
  <c r="K154" i="11" s="1"/>
  <c r="N154" i="11" s="1"/>
  <c r="L154" i="11"/>
  <c r="M154" i="11"/>
  <c r="I155" i="11"/>
  <c r="K155" i="11"/>
  <c r="L155" i="11"/>
  <c r="M155" i="11"/>
  <c r="N155" i="11"/>
  <c r="I156" i="11"/>
  <c r="K156" i="11"/>
  <c r="N156" i="11" s="1"/>
  <c r="L156" i="11"/>
  <c r="M156" i="11"/>
  <c r="I157" i="11"/>
  <c r="L157" i="11" s="1"/>
  <c r="K157" i="11"/>
  <c r="N157" i="11" s="1"/>
  <c r="M157" i="11"/>
  <c r="I158" i="11"/>
  <c r="K158" i="11" s="1"/>
  <c r="N158" i="11" s="1"/>
  <c r="L158" i="11"/>
  <c r="M158" i="11"/>
  <c r="I159" i="11"/>
  <c r="K159" i="11"/>
  <c r="L159" i="11"/>
  <c r="M159" i="11"/>
  <c r="N159" i="11"/>
  <c r="I160" i="11"/>
  <c r="K160" i="11"/>
  <c r="L160" i="11"/>
  <c r="M160" i="11"/>
  <c r="N160" i="11"/>
  <c r="O160" i="11"/>
  <c r="I161" i="11"/>
  <c r="K161" i="11" s="1"/>
  <c r="N161" i="11" s="1"/>
  <c r="M161" i="11"/>
  <c r="I162" i="11"/>
  <c r="K162" i="11" s="1"/>
  <c r="L162" i="11"/>
  <c r="M162" i="11"/>
  <c r="N162" i="11"/>
  <c r="O162" i="11"/>
  <c r="I163" i="11"/>
  <c r="K163" i="11"/>
  <c r="L163" i="11"/>
  <c r="M163" i="11"/>
  <c r="N163" i="11"/>
  <c r="I164" i="11"/>
  <c r="K164" i="11"/>
  <c r="L164" i="11"/>
  <c r="M164" i="11"/>
  <c r="N164" i="11"/>
  <c r="I165" i="11"/>
  <c r="K165" i="11"/>
  <c r="N165" i="11" s="1"/>
  <c r="L165" i="11"/>
  <c r="M165" i="11"/>
  <c r="I166" i="11"/>
  <c r="L166" i="11" s="1"/>
  <c r="M166" i="11"/>
  <c r="I167" i="11"/>
  <c r="K167" i="11"/>
  <c r="L167" i="11"/>
  <c r="M167" i="11"/>
  <c r="N167" i="11"/>
  <c r="I168" i="11"/>
  <c r="K168" i="11"/>
  <c r="L168" i="11"/>
  <c r="M168" i="11"/>
  <c r="N168" i="11"/>
  <c r="O168" i="11"/>
  <c r="I169" i="11"/>
  <c r="K169" i="11"/>
  <c r="L169" i="11"/>
  <c r="M169" i="11"/>
  <c r="N169" i="11"/>
  <c r="O169" i="11"/>
  <c r="O106" i="11" l="1"/>
  <c r="O99" i="11"/>
  <c r="O69" i="11"/>
  <c r="L114" i="11"/>
  <c r="O101" i="11"/>
  <c r="O83" i="11"/>
  <c r="O79" i="11"/>
  <c r="O91" i="11"/>
  <c r="O138" i="11"/>
  <c r="O128" i="11"/>
  <c r="L128" i="11"/>
  <c r="L123" i="11"/>
  <c r="K166" i="11"/>
  <c r="N166" i="11" s="1"/>
  <c r="O166" i="11" s="1"/>
  <c r="O132" i="11"/>
  <c r="L118" i="11"/>
  <c r="O142" i="11"/>
  <c r="O164" i="11"/>
  <c r="O89" i="11"/>
  <c r="O114" i="11"/>
  <c r="O88" i="11"/>
  <c r="O167" i="11"/>
  <c r="O86" i="11"/>
  <c r="O70" i="11"/>
  <c r="O136" i="11"/>
  <c r="O102" i="11"/>
  <c r="O84" i="11"/>
  <c r="O105" i="11"/>
  <c r="O110" i="11"/>
  <c r="O148" i="11"/>
  <c r="O96" i="11"/>
  <c r="O95" i="11"/>
  <c r="O72" i="11"/>
  <c r="O163" i="11"/>
  <c r="O109" i="11"/>
  <c r="O94" i="11"/>
  <c r="O158" i="11"/>
  <c r="O124" i="11"/>
  <c r="O116" i="11"/>
  <c r="O112" i="11"/>
  <c r="O108" i="11"/>
  <c r="O143" i="11"/>
  <c r="L124" i="11"/>
  <c r="L120" i="11"/>
  <c r="L116" i="11"/>
  <c r="L112" i="11"/>
  <c r="L108" i="11"/>
  <c r="O82" i="11"/>
  <c r="O75" i="11"/>
  <c r="O155" i="11"/>
  <c r="O120" i="11"/>
  <c r="O165" i="11"/>
  <c r="O139" i="11"/>
  <c r="O135" i="11"/>
  <c r="K68" i="11"/>
  <c r="N68" i="11" s="1"/>
  <c r="O68" i="11" s="1"/>
  <c r="O90" i="11"/>
  <c r="O98" i="11"/>
  <c r="O78" i="11"/>
  <c r="O118" i="11"/>
  <c r="O97" i="11"/>
  <c r="O141" i="11"/>
  <c r="O77" i="11"/>
  <c r="O71" i="11"/>
  <c r="O129" i="11"/>
  <c r="O117" i="11"/>
  <c r="O85" i="11"/>
  <c r="O154" i="11"/>
  <c r="L161" i="11"/>
  <c r="O157" i="11"/>
  <c r="O153" i="11"/>
  <c r="O131" i="11"/>
  <c r="O127" i="11"/>
  <c r="K74" i="11"/>
  <c r="N74" i="11" s="1"/>
  <c r="O74" i="11" s="1"/>
  <c r="O73" i="11"/>
  <c r="O156" i="11"/>
  <c r="O130" i="11"/>
  <c r="O126" i="11"/>
  <c r="O122" i="11"/>
  <c r="O104" i="11"/>
  <c r="O137" i="11"/>
  <c r="O159" i="11"/>
  <c r="O151" i="11"/>
  <c r="O113" i="11"/>
  <c r="O161" i="11"/>
  <c r="O123" i="11"/>
  <c r="O119" i="11"/>
  <c r="O115" i="11"/>
  <c r="O111" i="11"/>
  <c r="S6" i="9"/>
  <c r="S14" i="9"/>
  <c r="S8" i="9"/>
  <c r="S22" i="9"/>
  <c r="M76" i="8"/>
  <c r="O76" i="8"/>
  <c r="P76" i="8" s="1"/>
  <c r="N81" i="11"/>
  <c r="O81" i="11" s="1"/>
  <c r="L106" i="11"/>
  <c r="L105" i="11"/>
  <c r="L104" i="11"/>
  <c r="L102" i="11"/>
  <c r="L101" i="11"/>
  <c r="L99" i="11"/>
  <c r="L98" i="11"/>
  <c r="L97" i="11"/>
  <c r="L96" i="11"/>
  <c r="L95" i="11"/>
  <c r="L94" i="11"/>
  <c r="L92" i="11"/>
  <c r="L91" i="11"/>
  <c r="L90" i="11"/>
  <c r="L89" i="11"/>
  <c r="L88" i="11"/>
  <c r="L86" i="11"/>
  <c r="L85" i="11"/>
  <c r="L84" i="11"/>
  <c r="L83" i="11"/>
  <c r="L82" i="11"/>
  <c r="L81" i="11"/>
  <c r="H8" i="3" l="1"/>
  <c r="I8" i="3" s="1"/>
  <c r="H9" i="3"/>
  <c r="I9" i="3"/>
  <c r="H10" i="3"/>
  <c r="I10" i="3"/>
  <c r="H11" i="3"/>
  <c r="I11" i="3" s="1"/>
  <c r="H12" i="3"/>
  <c r="I12" i="3"/>
  <c r="H13" i="3"/>
  <c r="I13" i="3"/>
  <c r="H14" i="3"/>
  <c r="I14" i="3" s="1"/>
  <c r="H15" i="3"/>
  <c r="I15" i="3"/>
  <c r="H16" i="3"/>
  <c r="I16" i="3"/>
  <c r="H17" i="3"/>
  <c r="I17" i="3" s="1"/>
  <c r="H18" i="3"/>
  <c r="I18" i="3"/>
  <c r="H19" i="3"/>
  <c r="I19" i="3" s="1"/>
  <c r="H20" i="3"/>
  <c r="I20" i="3" s="1"/>
  <c r="H21" i="3"/>
  <c r="I21" i="3"/>
  <c r="H22" i="3"/>
  <c r="I22" i="3"/>
  <c r="H23" i="3"/>
  <c r="I23" i="3" s="1"/>
  <c r="H24" i="3"/>
  <c r="I24" i="3"/>
  <c r="H25" i="3"/>
  <c r="I25" i="3"/>
  <c r="H26" i="3"/>
  <c r="I26" i="3" s="1"/>
  <c r="H27" i="3"/>
  <c r="I27" i="3"/>
  <c r="H28" i="3"/>
  <c r="I28" i="3"/>
  <c r="H29" i="3"/>
  <c r="I29" i="3" s="1"/>
  <c r="H30" i="3"/>
  <c r="I30" i="3"/>
  <c r="H31" i="3"/>
  <c r="I31" i="3" s="1"/>
  <c r="H32" i="3"/>
  <c r="I32" i="3" s="1"/>
  <c r="H33" i="3"/>
  <c r="I33" i="3"/>
  <c r="H34" i="3"/>
  <c r="I34" i="3"/>
  <c r="H35" i="3"/>
  <c r="I35" i="3" s="1"/>
  <c r="H36" i="3"/>
  <c r="I36" i="3"/>
  <c r="H37" i="3"/>
  <c r="I37" i="3"/>
  <c r="H38" i="3"/>
  <c r="I38" i="3" s="1"/>
  <c r="H39" i="3"/>
  <c r="I39" i="3"/>
  <c r="H40" i="3"/>
  <c r="I40" i="3"/>
  <c r="H42" i="3"/>
  <c r="I42" i="3" s="1"/>
  <c r="H43" i="3"/>
  <c r="I43" i="3"/>
  <c r="H44" i="3"/>
  <c r="I44" i="3" s="1"/>
  <c r="H45" i="3"/>
  <c r="I45" i="3" s="1"/>
  <c r="H46" i="3"/>
  <c r="I46" i="3"/>
  <c r="H47" i="3"/>
  <c r="I47" i="3"/>
  <c r="H48" i="3"/>
  <c r="I48" i="3" s="1"/>
  <c r="H49" i="3"/>
  <c r="I49" i="3" s="1"/>
  <c r="H50" i="3"/>
  <c r="I50" i="3"/>
  <c r="H51" i="3"/>
  <c r="I51" i="3" s="1"/>
  <c r="H53" i="3"/>
  <c r="I53" i="3"/>
  <c r="H54" i="3"/>
  <c r="I54" i="3"/>
  <c r="H55" i="3"/>
  <c r="I55" i="3" s="1"/>
  <c r="H56" i="3"/>
  <c r="I56" i="3"/>
  <c r="H57" i="3"/>
  <c r="I57" i="3" s="1"/>
  <c r="H58" i="3"/>
  <c r="I58" i="3" s="1"/>
  <c r="H59" i="3"/>
  <c r="I59" i="3"/>
  <c r="H60" i="3"/>
  <c r="I60" i="3"/>
  <c r="H61" i="3"/>
  <c r="I61" i="3" s="1"/>
  <c r="H62" i="3"/>
  <c r="I62" i="3"/>
  <c r="H63" i="3"/>
  <c r="I63" i="3"/>
  <c r="H64" i="3"/>
  <c r="I64" i="3" s="1"/>
  <c r="H65" i="3"/>
  <c r="I65" i="3"/>
  <c r="H68" i="3"/>
  <c r="I68" i="3"/>
  <c r="H69" i="3"/>
  <c r="I69" i="3" s="1"/>
  <c r="H70" i="3"/>
  <c r="I70" i="3" s="1"/>
  <c r="H71" i="3"/>
  <c r="I71" i="3"/>
  <c r="H72" i="3"/>
  <c r="I72" i="3" s="1"/>
  <c r="H73" i="3"/>
  <c r="I73" i="3" s="1"/>
  <c r="H74" i="3"/>
  <c r="I74" i="3"/>
  <c r="H75" i="3"/>
  <c r="I75" i="3" s="1"/>
  <c r="H76" i="3"/>
  <c r="I76" i="3" s="1"/>
  <c r="H77" i="3"/>
  <c r="I77" i="3"/>
  <c r="H78" i="3"/>
  <c r="I78" i="3" s="1"/>
  <c r="H85" i="3"/>
  <c r="I85" i="3" s="1"/>
  <c r="H88" i="3"/>
  <c r="I88" i="3"/>
  <c r="H89" i="3"/>
  <c r="I89" i="3" s="1"/>
  <c r="H92" i="3"/>
  <c r="I92" i="3" s="1"/>
  <c r="H93" i="3"/>
  <c r="I93" i="3"/>
  <c r="H94" i="3"/>
  <c r="I94" i="3" s="1"/>
  <c r="H95" i="3"/>
  <c r="I95" i="3" s="1"/>
  <c r="H96" i="3"/>
  <c r="I96" i="3"/>
  <c r="H97" i="3"/>
  <c r="I97" i="3" s="1"/>
  <c r="H99" i="3"/>
  <c r="I99" i="3" s="1"/>
  <c r="H100" i="3"/>
  <c r="I100" i="3"/>
  <c r="H101" i="3"/>
  <c r="I101" i="3" s="1"/>
  <c r="H102" i="3"/>
  <c r="I102" i="3" s="1"/>
  <c r="H103" i="3"/>
  <c r="I103" i="3"/>
  <c r="H104" i="3"/>
  <c r="I104" i="3" s="1"/>
  <c r="H105" i="3"/>
  <c r="I105" i="3" s="1"/>
  <c r="H106" i="3"/>
  <c r="I106" i="3"/>
  <c r="H107" i="3"/>
  <c r="I107" i="3" s="1"/>
  <c r="H108" i="3"/>
  <c r="I108" i="3" s="1"/>
  <c r="H109" i="3"/>
  <c r="I109" i="3"/>
  <c r="H111" i="3"/>
  <c r="I111" i="3" s="1"/>
  <c r="H114" i="3"/>
  <c r="I114" i="3" s="1"/>
  <c r="H116" i="3"/>
  <c r="I116" i="3"/>
  <c r="H117" i="3"/>
  <c r="I117" i="3" s="1"/>
  <c r="H118" i="3"/>
  <c r="I118" i="3" s="1"/>
  <c r="H120" i="3"/>
  <c r="I120" i="3"/>
  <c r="H122" i="3"/>
  <c r="I122" i="3" s="1"/>
  <c r="H123" i="3"/>
  <c r="I123" i="3" s="1"/>
  <c r="H124" i="3"/>
  <c r="I124" i="3"/>
  <c r="H125" i="3"/>
  <c r="I125" i="3" s="1"/>
  <c r="H126" i="3"/>
  <c r="I126" i="3" s="1"/>
  <c r="H6" i="2"/>
  <c r="I6" i="2" s="1"/>
  <c r="H7" i="2"/>
  <c r="I7" i="2"/>
  <c r="H8" i="2"/>
  <c r="I8" i="2" s="1"/>
  <c r="H9" i="2"/>
  <c r="I9" i="2" s="1"/>
  <c r="H10" i="2"/>
  <c r="I10" i="2"/>
  <c r="H11" i="2"/>
  <c r="I11" i="2" s="1"/>
  <c r="H12" i="2"/>
  <c r="I12" i="2" s="1"/>
  <c r="H13" i="2"/>
  <c r="I13" i="2" s="1"/>
  <c r="H14" i="2"/>
  <c r="I14" i="2"/>
  <c r="H15" i="2"/>
  <c r="I15" i="2" s="1"/>
  <c r="H17" i="2"/>
  <c r="I17" i="2"/>
  <c r="H18" i="2"/>
  <c r="I18" i="2" s="1"/>
  <c r="H19" i="2"/>
  <c r="I19" i="2" s="1"/>
  <c r="H20" i="2"/>
  <c r="I20" i="2"/>
  <c r="H21" i="2"/>
  <c r="I21" i="2" s="1"/>
  <c r="H22" i="2"/>
  <c r="I22" i="2" s="1"/>
  <c r="H23" i="2"/>
  <c r="I23" i="2"/>
  <c r="H24" i="2"/>
  <c r="I24" i="2" s="1"/>
  <c r="H25" i="2"/>
  <c r="I25" i="2" s="1"/>
  <c r="H26" i="2"/>
  <c r="I26" i="2" s="1"/>
  <c r="H27" i="2"/>
  <c r="I27" i="2" s="1"/>
  <c r="H28" i="2"/>
  <c r="I28" i="2" s="1"/>
  <c r="H29" i="2"/>
  <c r="I29" i="2"/>
  <c r="H30" i="2"/>
  <c r="I30" i="2" s="1"/>
  <c r="H31" i="2"/>
  <c r="I31" i="2" s="1"/>
  <c r="H32" i="2"/>
  <c r="I32" i="2"/>
  <c r="H33" i="2"/>
  <c r="I33" i="2" s="1"/>
  <c r="H34" i="2"/>
  <c r="I34" i="2" s="1"/>
  <c r="H35" i="2"/>
  <c r="I35" i="2"/>
  <c r="H36" i="2"/>
  <c r="I36" i="2" s="1"/>
  <c r="H37" i="2"/>
  <c r="I37" i="2" s="1"/>
  <c r="H38" i="2"/>
  <c r="I38" i="2" s="1"/>
  <c r="H39" i="2"/>
  <c r="I39" i="2" s="1"/>
  <c r="H40" i="2"/>
  <c r="I40" i="2" s="1"/>
  <c r="H41" i="2"/>
  <c r="I41" i="2" s="1"/>
  <c r="H42" i="2"/>
  <c r="I42" i="2" s="1"/>
  <c r="H43" i="2"/>
  <c r="I43" i="2" s="1"/>
  <c r="H44" i="2"/>
  <c r="I44" i="2"/>
  <c r="H45" i="2"/>
  <c r="I45" i="2" s="1"/>
  <c r="H46" i="2"/>
  <c r="I46" i="2" s="1"/>
  <c r="H47" i="2"/>
  <c r="I47" i="2"/>
  <c r="H48" i="2"/>
  <c r="I48" i="2" s="1"/>
  <c r="H49" i="2"/>
  <c r="I49" i="2" s="1"/>
  <c r="H50" i="2"/>
  <c r="I50" i="2" s="1"/>
  <c r="H51" i="2"/>
  <c r="I51" i="2"/>
  <c r="H52" i="2"/>
  <c r="I52" i="2" s="1"/>
  <c r="H53" i="2"/>
  <c r="I53" i="2"/>
  <c r="H54" i="2"/>
  <c r="I54" i="2" s="1"/>
  <c r="H55" i="2"/>
  <c r="I55" i="2" s="1"/>
  <c r="H56" i="2"/>
  <c r="I56" i="2" s="1"/>
  <c r="H57" i="2"/>
  <c r="I57" i="2" s="1"/>
  <c r="H58" i="2"/>
  <c r="I58" i="2" s="1"/>
  <c r="H59" i="2"/>
  <c r="I59" i="2"/>
  <c r="H60" i="2"/>
  <c r="I60" i="2" s="1"/>
  <c r="H62" i="2"/>
  <c r="I62" i="2" s="1"/>
  <c r="H63" i="2"/>
  <c r="I63" i="2" s="1"/>
  <c r="H64" i="2"/>
  <c r="I64" i="2"/>
  <c r="H65" i="2"/>
  <c r="I65" i="2" s="1"/>
  <c r="H66" i="2"/>
  <c r="I66" i="2" s="1"/>
  <c r="H67" i="2"/>
  <c r="I67" i="2" s="1"/>
  <c r="H68" i="2"/>
  <c r="I68" i="2" s="1"/>
  <c r="H70" i="2"/>
  <c r="I70" i="2"/>
  <c r="H71" i="2"/>
  <c r="I71" i="2" s="1"/>
  <c r="H72" i="2"/>
  <c r="I72" i="2" s="1"/>
  <c r="H74" i="2"/>
  <c r="I74" i="2" s="1"/>
  <c r="H75" i="2"/>
  <c r="I75" i="2" s="1"/>
  <c r="H77" i="2"/>
  <c r="I77" i="2" s="1"/>
  <c r="H78" i="2"/>
  <c r="I78" i="2" s="1"/>
  <c r="H79" i="2"/>
  <c r="I79" i="2"/>
  <c r="H80" i="2"/>
  <c r="I80" i="2" s="1"/>
  <c r="H81" i="2"/>
  <c r="I81" i="2"/>
  <c r="H82" i="2"/>
  <c r="I82" i="2" s="1"/>
  <c r="H83" i="2"/>
  <c r="I83" i="2" s="1"/>
  <c r="H84" i="2"/>
  <c r="I84" i="2" s="1"/>
  <c r="H85" i="2"/>
  <c r="I85" i="2" s="1"/>
  <c r="H86" i="2"/>
  <c r="I86" i="2" s="1"/>
  <c r="H87" i="2"/>
  <c r="I87" i="2"/>
  <c r="H88" i="2"/>
  <c r="I88" i="2" s="1"/>
  <c r="H89" i="2"/>
  <c r="I89" i="2" s="1"/>
  <c r="H90" i="2"/>
  <c r="I90" i="2" s="1"/>
  <c r="H91" i="2"/>
  <c r="I91" i="2" s="1"/>
  <c r="H92" i="2"/>
  <c r="I92" i="2" s="1"/>
  <c r="H93" i="2"/>
  <c r="I93" i="2"/>
  <c r="H94" i="2"/>
  <c r="I94" i="2" s="1"/>
  <c r="H96" i="2"/>
  <c r="I96" i="2" s="1"/>
  <c r="H97" i="2"/>
  <c r="I97" i="2"/>
  <c r="H98" i="2"/>
  <c r="I98" i="2" s="1"/>
  <c r="H99" i="2"/>
  <c r="I99" i="2" s="1"/>
  <c r="H100" i="2"/>
  <c r="I100" i="2" s="1"/>
  <c r="H101" i="2"/>
  <c r="I101" i="2" s="1"/>
  <c r="H102" i="2"/>
  <c r="I102" i="2" s="1"/>
  <c r="H103" i="2"/>
  <c r="I103" i="2" s="1"/>
  <c r="H104" i="2"/>
  <c r="I104" i="2" s="1"/>
  <c r="H105" i="2"/>
  <c r="I105" i="2" s="1"/>
  <c r="H106" i="2"/>
  <c r="I106" i="2"/>
  <c r="H107" i="2"/>
  <c r="I107" i="2" s="1"/>
  <c r="H108" i="2"/>
  <c r="I108" i="2" s="1"/>
  <c r="H109" i="2"/>
  <c r="I109" i="2" s="1"/>
  <c r="H110" i="2"/>
  <c r="I110" i="2" s="1"/>
  <c r="H111" i="2"/>
  <c r="I111" i="2" s="1"/>
  <c r="H112" i="2"/>
  <c r="I112" i="2" s="1"/>
  <c r="H113" i="2"/>
  <c r="I113" i="2" s="1"/>
  <c r="H114" i="2"/>
  <c r="I114" i="2" s="1"/>
  <c r="H115" i="2"/>
  <c r="I115" i="2" s="1"/>
  <c r="H116" i="2"/>
  <c r="I116" i="2" s="1"/>
  <c r="H117" i="2"/>
  <c r="I117" i="2" s="1"/>
  <c r="H118" i="2"/>
  <c r="I118" i="2"/>
  <c r="H119" i="2"/>
  <c r="I119" i="2" s="1"/>
  <c r="H120" i="2"/>
  <c r="I120" i="2" s="1"/>
  <c r="H121" i="2"/>
  <c r="I121" i="2"/>
  <c r="H122" i="2"/>
  <c r="I122" i="2" s="1"/>
  <c r="H123" i="2"/>
  <c r="I123" i="2" s="1"/>
  <c r="H124" i="2"/>
  <c r="I124" i="2" s="1"/>
  <c r="H125" i="2"/>
  <c r="I125" i="2" s="1"/>
  <c r="H126" i="2"/>
  <c r="I126" i="2" s="1"/>
  <c r="H127" i="2"/>
  <c r="I127" i="2" s="1"/>
  <c r="H128" i="2"/>
  <c r="I128" i="2"/>
  <c r="H129" i="2"/>
  <c r="I129" i="2" s="1"/>
  <c r="H130" i="2"/>
  <c r="I130" i="2"/>
  <c r="H131" i="2"/>
  <c r="I131" i="2" s="1"/>
  <c r="H132" i="2"/>
  <c r="I132" i="2" s="1"/>
  <c r="H133" i="2"/>
  <c r="I133" i="2"/>
  <c r="H134" i="2"/>
  <c r="I134" i="2" s="1"/>
  <c r="H135" i="2"/>
  <c r="I135" i="2" s="1"/>
  <c r="H136" i="2"/>
  <c r="I136" i="2"/>
  <c r="H137" i="2"/>
  <c r="I137" i="2" s="1"/>
</calcChain>
</file>

<file path=xl/sharedStrings.xml><?xml version="1.0" encoding="utf-8"?>
<sst xmlns="http://schemas.openxmlformats.org/spreadsheetml/2006/main" count="1039" uniqueCount="638">
  <si>
    <t>Total</t>
  </si>
  <si>
    <t>01 x Veh decl CL-V, deposition under prog</t>
  </si>
  <si>
    <t>Misc Vehicles</t>
  </si>
  <si>
    <t>Trailer</t>
  </si>
  <si>
    <t>01 x Veh decl CL-V</t>
  </si>
  <si>
    <t xml:space="preserve">07 x Vehs decl Cl-V </t>
  </si>
  <si>
    <t>NIV / CIV Pattern Vehs</t>
  </si>
  <si>
    <t>Water Bowser</t>
  </si>
  <si>
    <t>Recovery Vehs</t>
  </si>
  <si>
    <t>Ambulance Vehs</t>
  </si>
  <si>
    <t>09x Follow Up Report Raised</t>
  </si>
  <si>
    <t>Special Vehicle</t>
  </si>
  <si>
    <t>03 x Veh decl CL-V</t>
  </si>
  <si>
    <t>GS Vehicle</t>
  </si>
  <si>
    <t>(x)</t>
  </si>
  <si>
    <t>(ix)</t>
  </si>
  <si>
    <t>(viii)</t>
  </si>
  <si>
    <t>(vii)</t>
  </si>
  <si>
    <t>(vi)</t>
  </si>
  <si>
    <t>(v)</t>
  </si>
  <si>
    <t>(iv)</t>
  </si>
  <si>
    <t>(iii)</t>
  </si>
  <si>
    <t>(ii)</t>
  </si>
  <si>
    <t>(i)</t>
  </si>
  <si>
    <t xml:space="preserve">Total </t>
  </si>
  <si>
    <t>R4</t>
  </si>
  <si>
    <t>OH</t>
  </si>
  <si>
    <t>MUA</t>
  </si>
  <si>
    <t>Held
(UH)</t>
  </si>
  <si>
    <t>Auth 
(UE)</t>
  </si>
  <si>
    <t xml:space="preserve">Remarks
</t>
  </si>
  <si>
    <t>FMC</t>
  </si>
  <si>
    <t>NMC Due to</t>
  </si>
  <si>
    <t>Dependency</t>
  </si>
  <si>
    <t>Ser No</t>
  </si>
  <si>
    <t>01 x Eqpt decl BER</t>
  </si>
  <si>
    <t>01 x Armature worn out</t>
  </si>
  <si>
    <t xml:space="preserve">GENR SET AND CHG SET </t>
  </si>
  <si>
    <t xml:space="preserve">Bridging Eqpt </t>
  </si>
  <si>
    <t>01 x Eqpt EOA for out rigger cyl  assy demanded</t>
  </si>
  <si>
    <t>Mobile Mast</t>
  </si>
  <si>
    <t xml:space="preserve">BRIDGING  EQPT AND MOBILE MASTS </t>
  </si>
  <si>
    <t>14 x Eqpt decl BER</t>
  </si>
  <si>
    <t>Misc Eqpt</t>
  </si>
  <si>
    <t>Mining Eqpt</t>
  </si>
  <si>
    <t>Out Board Motor</t>
  </si>
  <si>
    <t xml:space="preserve">Air Compressor </t>
  </si>
  <si>
    <t>Cranes/Lifting Trucks</t>
  </si>
  <si>
    <t>Constructional Eqpt</t>
  </si>
  <si>
    <t>01 x Eqpt under repair at Wksp</t>
  </si>
  <si>
    <t>1x Eng Assy Demanded</t>
  </si>
  <si>
    <t>Excavator Loader</t>
  </si>
  <si>
    <t>Wheel Dozer</t>
  </si>
  <si>
    <t>01 x Eqpt Steering Clutch assy demanded</t>
  </si>
  <si>
    <t>02 x Eqpt decl  CL-VI</t>
  </si>
  <si>
    <t>Tracked Dozer</t>
  </si>
  <si>
    <t xml:space="preserve">PLANT AND MACHY EQPT </t>
  </si>
  <si>
    <t>MUAs</t>
  </si>
  <si>
    <t>Held (UH)</t>
  </si>
  <si>
    <t>Auth (UE)</t>
  </si>
  <si>
    <t xml:space="preserve">Remarks </t>
  </si>
  <si>
    <t xml:space="preserve">FMC </t>
  </si>
  <si>
    <t xml:space="preserve">Nos of Eqpt EOA Due to </t>
  </si>
  <si>
    <t>Category (Make &amp; Type)</t>
  </si>
  <si>
    <t>Ser</t>
  </si>
  <si>
    <t>(xx)</t>
  </si>
  <si>
    <t>(xix)</t>
  </si>
  <si>
    <t>(xviii)</t>
  </si>
  <si>
    <t>(xvii)</t>
  </si>
  <si>
    <t>(xvi)</t>
  </si>
  <si>
    <t>(xv)</t>
  </si>
  <si>
    <t>(xiv)</t>
  </si>
  <si>
    <t>(xiii)</t>
  </si>
  <si>
    <t>(xii)</t>
  </si>
  <si>
    <t>(xi)</t>
  </si>
  <si>
    <t>OBE</t>
  </si>
  <si>
    <t>FR</t>
  </si>
  <si>
    <t>MR</t>
  </si>
  <si>
    <t>Spares</t>
  </si>
  <si>
    <t>Eng</t>
  </si>
  <si>
    <t>Avl %</t>
  </si>
  <si>
    <t>FMC %</t>
  </si>
  <si>
    <t>PMC%</t>
  </si>
  <si>
    <t>NMC %</t>
  </si>
  <si>
    <t>Total NMC (Nos)</t>
  </si>
  <si>
    <t>-</t>
  </si>
  <si>
    <t>Remarks (To incl present loc of eqpt EOA)</t>
  </si>
  <si>
    <t>PMC (Nos) 
(Due to OH)</t>
  </si>
  <si>
    <t xml:space="preserve">03 x Vehs decl Cl-V </t>
  </si>
  <si>
    <t>02 x Veh decl CL-V</t>
  </si>
  <si>
    <t xml:space="preserve">01 x Eng assy demanded
03 x Eqpt decl BER
</t>
  </si>
  <si>
    <t>01 x Veh decl BER</t>
  </si>
  <si>
    <t>01 x Barrel under demand</t>
  </si>
  <si>
    <t>11 x Front Flip Up Sight bkn &amp;
16 x Rear Flip Up sight bkn demanded from 21 DOU</t>
  </si>
  <si>
    <t>100 x given to Arunachal Scouts on loan</t>
  </si>
  <si>
    <t>01x 9mm Pistol  decl R4 during EMEA (SA) Insp for the year 2024-25
01 x Lever slide locking demanded on 12 Jun 2025.</t>
  </si>
  <si>
    <t xml:space="preserve"> Under OH /MR/R4/
FR/ Base Repair</t>
  </si>
  <si>
    <t>Eng/
 Brl</t>
  </si>
  <si>
    <t>FMC (Nos)</t>
  </si>
  <si>
    <t xml:space="preserve">PMC (Nos) 
</t>
  </si>
  <si>
    <t xml:space="preserve">Make &amp; Eqpt </t>
  </si>
  <si>
    <t xml:space="preserve"> </t>
  </si>
  <si>
    <t>Avbl %</t>
  </si>
  <si>
    <t>02 x Eqpt fwd to OEM repair at New Delhi. Eqpt is under wty.
01 x Eqpt u/r art TASL Bangaluru</t>
  </si>
  <si>
    <t>02 x Eqpt under wty. DR raised on 13 Oct 2025. 
01 x Eqpt u/r at OEM</t>
  </si>
  <si>
    <t>Optical Insts</t>
  </si>
  <si>
    <t>02 x BER and awaiting for deposition</t>
  </si>
  <si>
    <t>PASSIVE NIGHT VISION DEVICES (PNVD)</t>
  </si>
  <si>
    <t>LASER BASED INSTS</t>
  </si>
  <si>
    <t>SVL / OBSN / SIGHTING EQPTS (THERMAL IMAGING)</t>
  </si>
  <si>
    <t>`</t>
  </si>
  <si>
    <t xml:space="preserve"> Under OH /R4/FR/  Base Repair</t>
  </si>
  <si>
    <t xml:space="preserve">NMC due to </t>
  </si>
  <si>
    <t>Make &amp; Type</t>
  </si>
  <si>
    <t>FMN READINESS STATE : 'C' VEH</t>
  </si>
  <si>
    <t xml:space="preserve">FMN READINESS STATE : 'B' VEH </t>
  </si>
  <si>
    <t xml:space="preserve">FMN READINESS STATE  :  OPTO ELECTRONICS </t>
  </si>
  <si>
    <t>02 x Eng assy demanded
02 x Veh decl Cl-V 
01 x Veh of 81 Fd Regt eng demanded  (Eng no longer being manufactured, Veh to be decl CL-V).</t>
  </si>
  <si>
    <r>
      <t xml:space="preserve">03 x Vehs put on rd after fitment of new eng assy 
01 x Veh new eng collected and fitment under progress 
01 x Cl-V veh deposited 
02 x Veh eng assy demanded
</t>
    </r>
    <r>
      <rPr>
        <sz val="11"/>
        <color rgb="FFFF0000"/>
        <rFont val="Arial"/>
        <family val="2"/>
      </rPr>
      <t>01x Veh of 313 Fd Regt decl CL-V and veh deposition under progress</t>
    </r>
    <r>
      <rPr>
        <sz val="11"/>
        <color theme="1"/>
        <rFont val="Arial"/>
        <family val="2"/>
      </rPr>
      <t xml:space="preserve">
10 x Vehs decl CL-V</t>
    </r>
  </si>
  <si>
    <t>01x Cl -V under process</t>
  </si>
  <si>
    <t>FMN READINESS STATE  : ARMT</t>
  </si>
  <si>
    <t xml:space="preserve">                                                    </t>
  </si>
  <si>
    <r>
      <rPr>
        <b/>
        <u/>
        <sz val="12"/>
        <rFont val="Arial"/>
        <family val="2"/>
      </rPr>
      <t>Appx C</t>
    </r>
    <r>
      <rPr>
        <u/>
        <sz val="12"/>
        <rFont val="Arial"/>
        <family val="2"/>
      </rPr>
      <t xml:space="preserve">
</t>
    </r>
  </si>
  <si>
    <t>FMN READINESS STATE  : SMALL ARMS</t>
  </si>
  <si>
    <t>01 x INSAS Rif accident report raised.                                                               13 x R4 Wpn                                                                                       10 x Rif decl R4.</t>
  </si>
  <si>
    <t>02 x Soket Rotating Assy demanded</t>
  </si>
  <si>
    <t>Spares demanded</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</si>
  <si>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</si>
  <si>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</si>
  <si>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</si>
  <si>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</si>
  <si>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</si>
  <si>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</si>
  <si>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</si>
  <si>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</si>
  <si>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</si>
  <si>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</si>
  <si>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</si>
  <si>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</si>
  <si>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</si>
  <si>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</si>
  <si>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</si>
  <si>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</si>
  <si>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</si>
  <si>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</si>
  <si>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</si>
  <si>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</si>
  <si>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</si>
  <si>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</si>
  <si>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</si>
  <si>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</si>
  <si>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</si>
  <si>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</si>
  <si>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</si>
  <si>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</si>
  <si>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</si>
  <si>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</si>
  <si>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</si>
  <si>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</si>
  <si>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</si>
  <si>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</si>
  <si>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</si>
  <si>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</si>
  <si>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</si>
  <si>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</si>
  <si>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</si>
  <si>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</si>
  <si>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</si>
  <si>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</si>
  <si>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</si>
  <si>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</si>
  <si>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</si>
  <si>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</si>
  <si>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</si>
  <si>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</si>
  <si>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</si>
  <si>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</si>
  <si>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</si>
  <si>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</si>
  <si>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</si>
  <si>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</si>
  <si>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</si>
  <si>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</si>
  <si>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</si>
  <si>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</si>
  <si>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</si>
  <si>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</si>
  <si>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</si>
  <si>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</si>
  <si>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</si>
  <si>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</si>
  <si>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</si>
  <si>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</si>
  <si>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</si>
  <si>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</si>
  <si>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</si>
  <si>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</si>
  <si>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</si>
  <si>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</si>
  <si>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</si>
  <si>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</si>
  <si>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</si>
  <si>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</si>
  <si>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</si>
  <si>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</si>
  <si>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</si>
  <si>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</si>
  <si>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</si>
  <si>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</si>
  <si>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</si>
  <si>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</si>
  <si>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</si>
  <si>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</si>
  <si>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</si>
  <si>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</si>
  <si>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</si>
  <si>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</si>
  <si>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</si>
  <si>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</si>
  <si>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</si>
  <si>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</si>
  <si>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</si>
  <si>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</si>
  <si>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</si>
  <si>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</si>
  <si>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</si>
  <si>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</si>
  <si>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</si>
  <si>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</si>
  <si>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</si>
  <si>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</si>
  <si>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</si>
  <si>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</si>
  <si>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</si>
  <si>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</si>
  <si>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</si>
  <si>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</si>
  <si>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</si>
  <si>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</si>
  <si>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</si>
  <si>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</si>
  <si>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</si>
  <si>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</si>
  <si>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</si>
  <si>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</si>
  <si>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B119</t>
  </si>
  <si>
    <t>B120</t>
  </si>
  <si>
    <t>B121</t>
  </si>
  <si>
    <t>B122</t>
  </si>
  <si>
    <t>B123</t>
  </si>
  <si>
    <t>B124</t>
  </si>
  <si>
    <t>B125</t>
  </si>
  <si>
    <r>
      <t xml:space="preserve">01 x Eng rel collection under prog
02 x Eng assy demanded
01 x Air Compressor demanded
01 x Crown wheel demanded
</t>
    </r>
    <r>
      <rPr>
        <sz val="11"/>
        <color rgb="FFFF0000"/>
        <rFont val="Arial"/>
        <family val="2"/>
      </rPr>
      <t xml:space="preserve">06 x Veh Decl Cl-VI 
02 x Cl-V veh deposited U12
</t>
    </r>
    <r>
      <rPr>
        <sz val="11"/>
        <color theme="1"/>
        <rFont val="Arial"/>
        <family val="2"/>
      </rPr>
      <t xml:space="preserve">08 x Veh decl Cl-V 
</t>
    </r>
    <r>
      <rPr>
        <sz val="11"/>
        <color rgb="FFFF0000"/>
        <rFont val="Arial"/>
        <family val="2"/>
      </rPr>
      <t xml:space="preserve"> 01 x Veh of 10 Engr decl CL V and deposition under progress.
</t>
    </r>
  </si>
  <si>
    <t xml:space="preserve">01 x Eng assy demanded
01 x Steering Box demanded
01 x Cabin assy demanded
02 x Veh DR raised for half shaft bkn (U11, U12)
15 x Vehs decl Cl-V 
02 x  Veh decl CL-VI 
07 x Veh newly issued to 71 IDSR
01 x ALS new collection in r/o U28.
02 x ALS Newly issued </t>
  </si>
  <si>
    <t xml:space="preserve">*01 x LSpV of U11  off rd due to stg pipe leaking since 27 Aug 25.
*01 x LSpV of U11 is PMC due to AC sys faulty since 30 Aug 25.
*01 x LSpV of U18  is off rd due to pulling power weak since 11 Sep 25.
*01 x LSpV of U12  is off rd due to Parking brake not work since 28 Sep 2025. Intimated to OEM for repair.
*01 x LSpV of U19 is off rd due to Pulling power weak &amp; Steering hard since 13 Oct 2025. Intimated to OEM for repair.
*01 x LSpV of U18 is off rd due to Windshield cracked since 13 Oct 2025. Intimated to OEM for repair.
Note :- (OEM likely to arrive at Tawang by 1st week of Dec 2025 for repair of defective vehs) </t>
  </si>
  <si>
    <t>03 x Vehs VOR for Gear Box under OH (02 x W5 &amp; 01 x Z2)
 01 x Veh off rd for eng, to be fwd to W5.
04 x Vehs decl CL -V</t>
  </si>
  <si>
    <t>01x off road waiting for MLOH
01 X W6 for MLOH</t>
  </si>
  <si>
    <t>05 x Veh body sagging (U22)
03 x ALS Amb in r/o U23 DR raised (closure report recd from CQA) 
01 x ALS Amb in r/o U23 DR raised 
04 x DR raised and being under premature downgradation
06 x Defect report raised</t>
  </si>
  <si>
    <t xml:space="preserve">01 x Veh decl Cl-V
</t>
  </si>
  <si>
    <t>05 x Vehs decl Cl-V 
01 x LRV decl CL V and deposition under progress</t>
  </si>
  <si>
    <t>02 x Veh decl Cl-V 
01 x Veh FUR raised for chassis cracked . FUR closed and dirns passed to VFJ to replace defective chassis. New chassis collected by user unit, awaiting for fitment.</t>
  </si>
  <si>
    <r>
      <t xml:space="preserve">01 x Veh off rd for Eng, under repair 
01 x Veh off rd for fuel pump faulty 
</t>
    </r>
    <r>
      <rPr>
        <sz val="12"/>
        <color rgb="FFFF0000"/>
        <rFont val="Arial"/>
        <family val="2"/>
      </rPr>
      <t xml:space="preserve">01 x Veh off rd for Eng Knocking, under repair </t>
    </r>
  </si>
  <si>
    <t>01 x Veh DR raised due to eng oil mix with coolant
01 x Veh decl CL-VI</t>
  </si>
  <si>
    <t>01 x Engnie Assy Demanded</t>
  </si>
  <si>
    <t>C1</t>
  </si>
  <si>
    <t>C2</t>
  </si>
  <si>
    <t>C3</t>
  </si>
  <si>
    <t>C4</t>
  </si>
  <si>
    <t>C5</t>
  </si>
  <si>
    <t>C6</t>
  </si>
  <si>
    <t>C7</t>
  </si>
  <si>
    <t>C8</t>
  </si>
  <si>
    <t>C9</t>
  </si>
  <si>
    <t>C10</t>
  </si>
  <si>
    <t>C11</t>
  </si>
  <si>
    <t>C12</t>
  </si>
  <si>
    <t>C13</t>
  </si>
  <si>
    <t>C14</t>
  </si>
  <si>
    <t>C15</t>
  </si>
  <si>
    <t>C16</t>
  </si>
  <si>
    <t>C18</t>
  </si>
  <si>
    <t>C19</t>
  </si>
  <si>
    <t>C20</t>
  </si>
  <si>
    <t>C21</t>
  </si>
  <si>
    <t>C23</t>
  </si>
  <si>
    <t>C24</t>
  </si>
  <si>
    <t>C25</t>
  </si>
  <si>
    <t>C26</t>
  </si>
  <si>
    <t>C28</t>
  </si>
  <si>
    <t>C29</t>
  </si>
  <si>
    <t>C31</t>
  </si>
  <si>
    <t>C32</t>
  </si>
  <si>
    <t>C33</t>
  </si>
  <si>
    <t>C34</t>
  </si>
  <si>
    <t>C35</t>
  </si>
  <si>
    <t>C36</t>
  </si>
  <si>
    <t>C37</t>
  </si>
  <si>
    <t>C38</t>
  </si>
  <si>
    <t>C39</t>
  </si>
  <si>
    <t>C41</t>
  </si>
  <si>
    <t>C43</t>
  </si>
  <si>
    <t>C44</t>
  </si>
  <si>
    <t>C45</t>
  </si>
  <si>
    <t>C46</t>
  </si>
  <si>
    <t>C47</t>
  </si>
  <si>
    <t>C48</t>
  </si>
  <si>
    <t>C49</t>
  </si>
  <si>
    <t>C50</t>
  </si>
  <si>
    <t>C53</t>
  </si>
  <si>
    <t>C55</t>
  </si>
  <si>
    <t>C56</t>
  </si>
  <si>
    <t>C57</t>
  </si>
  <si>
    <t>C58</t>
  </si>
  <si>
    <t>C59</t>
  </si>
  <si>
    <t>C60</t>
  </si>
  <si>
    <t>C61</t>
  </si>
  <si>
    <t>C63</t>
  </si>
  <si>
    <t>C64</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</si>
  <si>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</si>
  <si>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</si>
  <si>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</si>
  <si>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</si>
  <si>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</si>
  <si>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</si>
  <si>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</si>
  <si>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</si>
  <si>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</si>
  <si>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</si>
  <si>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</si>
  <si>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</si>
  <si>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</si>
  <si>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</si>
  <si>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</si>
  <si>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</si>
  <si>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</si>
  <si>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</si>
  <si>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</si>
  <si>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</si>
  <si>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</si>
  <si>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</si>
  <si>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</si>
  <si>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</si>
  <si>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</si>
  <si>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</si>
  <si>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</si>
  <si>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</si>
  <si>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</si>
  <si>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</si>
  <si>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</si>
  <si>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</si>
  <si>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</si>
  <si>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</si>
  <si>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</si>
  <si>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</si>
  <si>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</si>
  <si>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</si>
  <si>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</si>
  <si>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</si>
  <si>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</si>
  <si>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</si>
  <si>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</si>
  <si>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C17</t>
  </si>
  <si>
    <t>C22</t>
  </si>
  <si>
    <t>C27</t>
  </si>
  <si>
    <t>C30</t>
  </si>
  <si>
    <t>C40</t>
  </si>
  <si>
    <t>C42</t>
  </si>
  <si>
    <t>C51</t>
  </si>
  <si>
    <t>C52</t>
  </si>
  <si>
    <t>C54</t>
  </si>
  <si>
    <t>C62</t>
  </si>
  <si>
    <t>02 x SSL decl Cl-VI 
All connected docu fwd to ESD Kankinara for MRP fixation vide 60 Engr Regt letter No 6706/38/ME dt 30 May 2024.</t>
  </si>
  <si>
    <t>01 x Eqpt EOA for rear wheel hub demanded</t>
  </si>
  <si>
    <t>01 x Dozer under MLOH at W5 since 12 Dec 2024                              01 x Dozer under MLOH at W5 since 17 Jun 2025    
01 x Dozer decl BER</t>
  </si>
  <si>
    <t>01 x Dozer decl to CL-VI</t>
  </si>
  <si>
    <t>D1</t>
  </si>
  <si>
    <t>D2</t>
  </si>
  <si>
    <t>D3</t>
  </si>
  <si>
    <t>D4</t>
  </si>
  <si>
    <t>D5</t>
  </si>
  <si>
    <t>D6</t>
  </si>
  <si>
    <t>D7</t>
  </si>
  <si>
    <t>D8</t>
  </si>
  <si>
    <t>D9</t>
  </si>
  <si>
    <t>D10</t>
  </si>
  <si>
    <t>D11</t>
  </si>
  <si>
    <t>D12</t>
  </si>
  <si>
    <t>D13</t>
  </si>
  <si>
    <t>D14</t>
  </si>
  <si>
    <t>D15</t>
  </si>
  <si>
    <t>D16</t>
  </si>
  <si>
    <t>D17</t>
  </si>
  <si>
    <t>D18</t>
  </si>
  <si>
    <t>D19</t>
  </si>
  <si>
    <t>1) 03 x IFG Regd No L-0794, L-0750 &amp; L-0760 under BOH since 06 Nov 25.</t>
  </si>
  <si>
    <t>1) 02 x LFG Regd No L/0685 &amp; L/0695 in r/o  under BOH at W7 since 04 Oct 2025.
2) 02 x LFG Regd No L/0681 &amp; L/0692 in r/o  fwd to W7 on 08 Nov 25 for BOH.</t>
  </si>
  <si>
    <t>1) 01 x BOFORS Regd No 858  off rd due to engine overheating &amp; compression poor. Engine assy collected after repair from OEM Naugaon (Force Motors) on 19 Nov 2025.               
2) 01 x BOFORS Regd No 847 has been collected after BOH from W7 on 08 Nov 25. 
3) 01 x BOFORS Regd No 849  under BOH at W7 since 09 Jun 25. 
4) 01 x BOFORS Regd No 846 in  under BOH at W7 since 26 Aug 2025. 
5) 02 x  BOFORS Regd No 601 &amp; 646 of  BOH Completed and awaiting for CHT.
6) 02 x Bofors Regd No-518 and 521 in r/o  Under BOH at W7 since  30 Jun 25.
7) 02 x BOFORS Regd No 524 &amp; 656  reached at W7 on 10 Sep 25 for 2nd BOH. BOH Under prog.                                                                                                                                                   8) 01 x BOFORS Regd No 514 of  under BOH at W7 since 24 Oct 25.</t>
  </si>
  <si>
    <t xml:space="preserve">1) 02x Spares not avbl                                                                                                                                              </t>
  </si>
  <si>
    <t>D20</t>
  </si>
  <si>
    <t>D21</t>
  </si>
  <si>
    <t>D22</t>
  </si>
  <si>
    <t>D23</t>
  </si>
  <si>
    <t>D24</t>
  </si>
  <si>
    <t>D25</t>
  </si>
  <si>
    <t>D26</t>
  </si>
  <si>
    <t>D27</t>
  </si>
  <si>
    <t>D28</t>
  </si>
  <si>
    <t>D29</t>
  </si>
  <si>
    <t>D30</t>
  </si>
  <si>
    <t>D31</t>
  </si>
  <si>
    <t>D32</t>
  </si>
  <si>
    <t>D33</t>
  </si>
  <si>
    <t>D34</t>
  </si>
  <si>
    <t>D35</t>
  </si>
  <si>
    <t>D36</t>
  </si>
  <si>
    <t>D37</t>
  </si>
  <si>
    <t>D38</t>
  </si>
  <si>
    <t>D39</t>
  </si>
  <si>
    <t>D40</t>
  </si>
  <si>
    <t>D41</t>
  </si>
  <si>
    <t>D42</t>
  </si>
  <si>
    <t>D43</t>
  </si>
  <si>
    <t>D44</t>
  </si>
  <si>
    <t>D45</t>
  </si>
  <si>
    <t>D46</t>
  </si>
  <si>
    <t>D47</t>
  </si>
  <si>
    <t>D48</t>
  </si>
  <si>
    <t>D49</t>
  </si>
  <si>
    <t>D50</t>
  </si>
  <si>
    <t>D51</t>
  </si>
  <si>
    <t>D52</t>
  </si>
  <si>
    <t>D53</t>
  </si>
  <si>
    <t>D54</t>
  </si>
  <si>
    <t>D55</t>
  </si>
  <si>
    <t>D56</t>
  </si>
  <si>
    <t>D57</t>
  </si>
  <si>
    <t>D58</t>
  </si>
  <si>
    <t>D59</t>
  </si>
  <si>
    <t>D60</t>
  </si>
  <si>
    <t>D61</t>
  </si>
  <si>
    <t>D62</t>
  </si>
  <si>
    <t>D63</t>
  </si>
  <si>
    <t>D64</t>
  </si>
  <si>
    <t>D65</t>
  </si>
  <si>
    <t>D66</t>
  </si>
  <si>
    <t>D67</t>
  </si>
  <si>
    <t>D68</t>
  </si>
  <si>
    <t>D69</t>
  </si>
  <si>
    <t>D70</t>
  </si>
  <si>
    <t>02 x 30 mm AGL (AGS-30) incr in held state due to change of unit. U18</t>
  </si>
  <si>
    <t xml:space="preserve">1) 01 x  84mm RL EOA due to Rear Sight Base M3  &amp; Rear Sight Assy with illu broken ( vide Demand No 211000080 dt 8 Feb 22 &amp; Arns/96/Q dt 12 Jun 22). Demand controlled by O1 and the same will be liquidated on avbl of stores as per DO letter No 4567R&amp;PS/DO/30/3SD/Control dt 26 Jun 23.                                                         
 2) 01 x Venturi demaded 
3) 01 x Bracket M3 demanded                                          </t>
  </si>
  <si>
    <t>01 x EOA Shoulder Pad Bkn demand placed 
vide Demand No Cont/01/Q/23 dt 25 May 23).</t>
  </si>
  <si>
    <r>
      <rPr>
        <sz val="12"/>
        <color theme="1"/>
        <rFont val="Arial"/>
        <family val="2"/>
      </rPr>
      <t xml:space="preserve">18 x R4 INSAS, 
</t>
    </r>
    <r>
      <rPr>
        <b/>
        <sz val="12"/>
        <color rgb="FFFF0000"/>
        <rFont val="Arial"/>
        <family val="2"/>
      </rPr>
      <t xml:space="preserve"> </t>
    </r>
  </si>
  <si>
    <t>18 x R4 CM 
07 x UNSV of 20 KUMAON</t>
  </si>
  <si>
    <t xml:space="preserve">01 x GM INSAS LMG accident report raised             05 x decl R4 </t>
  </si>
  <si>
    <r>
      <rPr>
        <sz val="12"/>
        <color theme="1"/>
        <rFont val="Arial"/>
        <family val="2"/>
      </rPr>
      <t>01 x R4</t>
    </r>
    <r>
      <rPr>
        <b/>
        <sz val="12"/>
        <color theme="1"/>
        <rFont val="Arial"/>
        <family val="2"/>
      </rPr>
      <t xml:space="preserve">
</t>
    </r>
    <r>
      <rPr>
        <sz val="12"/>
        <color theme="1"/>
        <rFont val="Arial"/>
        <family val="2"/>
      </rPr>
      <t xml:space="preserve">02 x MMG spares under demand  </t>
    </r>
  </si>
  <si>
    <t xml:space="preserve">02 x 30mm AGL (AGS-17)  for repair on 02 Oct 2025. (U11)                                    
03 x Hyd Buffer Faulty  deposited by user unit to 7004 EME Bn for further repair.  return AGL (AGS-17) due to non avbl of spares &amp; said that CIN issued after avbl of spares. </t>
  </si>
  <si>
    <t>15 x decr from held state due to change of unit
(U18)</t>
  </si>
  <si>
    <t>01 x Dec OBE of 11 MBC, 
20 x Dec OBE of 11 BIHAR  
01 x Dec UNSV of 20 KUMAON                                    16 x decr from held state due to change of unit
(U18)</t>
  </si>
  <si>
    <t>03 x decr from held state due to change of unit
(U18)</t>
  </si>
  <si>
    <t>T1</t>
  </si>
  <si>
    <t>T1.1</t>
  </si>
  <si>
    <t>T1.2</t>
  </si>
  <si>
    <t>T1.3</t>
  </si>
  <si>
    <t>T1.4</t>
  </si>
  <si>
    <t>T1.5</t>
  </si>
  <si>
    <t>T2</t>
  </si>
  <si>
    <t>T2.1</t>
  </si>
  <si>
    <t>T2.2</t>
  </si>
  <si>
    <t>T2.3</t>
  </si>
  <si>
    <t>T3</t>
  </si>
  <si>
    <t>T3.1</t>
  </si>
  <si>
    <t>T3.2</t>
  </si>
  <si>
    <t>T3.3</t>
  </si>
  <si>
    <t>T3.4</t>
  </si>
  <si>
    <t>T3.5</t>
  </si>
  <si>
    <t>T4</t>
  </si>
  <si>
    <t>T4.1</t>
  </si>
  <si>
    <t>T4.2</t>
  </si>
  <si>
    <t>T4.3</t>
  </si>
  <si>
    <t>T4.4</t>
  </si>
  <si>
    <t>T5</t>
  </si>
  <si>
    <t>T5.1</t>
  </si>
  <si>
    <t>T5.2</t>
  </si>
  <si>
    <t>T6</t>
  </si>
  <si>
    <t>T6.1</t>
  </si>
  <si>
    <t>T6.2</t>
  </si>
  <si>
    <t>T6.3</t>
  </si>
  <si>
    <t>T6.4</t>
  </si>
  <si>
    <t>T6.5</t>
  </si>
  <si>
    <t>T7</t>
  </si>
  <si>
    <t>T7.1</t>
  </si>
  <si>
    <t>T7.2</t>
  </si>
  <si>
    <t>T7.3</t>
  </si>
  <si>
    <t>T7.4</t>
  </si>
  <si>
    <t>T8</t>
  </si>
  <si>
    <t>T8.1</t>
  </si>
  <si>
    <t>T8.2</t>
  </si>
  <si>
    <t>T9</t>
  </si>
  <si>
    <t>T9.1</t>
  </si>
  <si>
    <t>T9.2</t>
  </si>
  <si>
    <t>T9.3</t>
  </si>
  <si>
    <t>T9.4</t>
  </si>
  <si>
    <t>T10</t>
  </si>
  <si>
    <t>T10.1</t>
  </si>
  <si>
    <t>T10.2</t>
  </si>
  <si>
    <t>T10.3</t>
  </si>
  <si>
    <t>T10.4</t>
  </si>
  <si>
    <t>T11</t>
  </si>
  <si>
    <t>T11.1</t>
  </si>
  <si>
    <t>T11.2</t>
  </si>
  <si>
    <t>T12</t>
  </si>
  <si>
    <t>T12.1</t>
  </si>
  <si>
    <t>T13</t>
  </si>
  <si>
    <t>T13.1</t>
  </si>
  <si>
    <t>T13.2</t>
  </si>
  <si>
    <t>T14</t>
  </si>
  <si>
    <t>T14.1</t>
  </si>
  <si>
    <t>T14.2</t>
  </si>
  <si>
    <t>T15</t>
  </si>
  <si>
    <t>T15.1</t>
  </si>
  <si>
    <t>T15.2</t>
  </si>
  <si>
    <t>T16</t>
  </si>
  <si>
    <t>T17</t>
  </si>
  <si>
    <t>T18</t>
  </si>
  <si>
    <t>T19</t>
  </si>
  <si>
    <t>T20</t>
  </si>
  <si>
    <t>T21</t>
  </si>
  <si>
    <t>T22</t>
  </si>
  <si>
    <t>T23</t>
  </si>
  <si>
    <t>T24</t>
  </si>
  <si>
    <t>T25</t>
  </si>
  <si>
    <t>T26</t>
  </si>
  <si>
    <t>T27</t>
  </si>
  <si>
    <t>T28</t>
  </si>
  <si>
    <t>T29</t>
  </si>
  <si>
    <t>T30</t>
  </si>
  <si>
    <t>T31</t>
  </si>
  <si>
    <t>T32</t>
  </si>
  <si>
    <t>T33</t>
  </si>
  <si>
    <t>T34</t>
  </si>
  <si>
    <t>T35</t>
  </si>
  <si>
    <t>T36</t>
  </si>
  <si>
    <t>T37</t>
  </si>
  <si>
    <t>T38</t>
  </si>
  <si>
    <t>T39</t>
  </si>
  <si>
    <t>T40</t>
  </si>
  <si>
    <t>T41</t>
  </si>
  <si>
    <t>T42</t>
  </si>
  <si>
    <t>T43</t>
  </si>
  <si>
    <t>T44</t>
  </si>
  <si>
    <t>T45</t>
  </si>
  <si>
    <t>T46</t>
  </si>
  <si>
    <t>T47</t>
  </si>
  <si>
    <t>T48</t>
  </si>
  <si>
    <t>T49</t>
  </si>
  <si>
    <t>T50</t>
  </si>
  <si>
    <t>T51</t>
  </si>
  <si>
    <t>T52</t>
  </si>
  <si>
    <t>T53</t>
  </si>
  <si>
    <t>T54</t>
  </si>
  <si>
    <t>T55</t>
  </si>
  <si>
    <t>T56</t>
  </si>
  <si>
    <t>T57</t>
  </si>
  <si>
    <t>T58</t>
  </si>
  <si>
    <t>T59</t>
  </si>
  <si>
    <t>T60</t>
  </si>
  <si>
    <t>T61</t>
  </si>
  <si>
    <t>T62</t>
  </si>
  <si>
    <t>T63</t>
  </si>
  <si>
    <t>T64</t>
  </si>
  <si>
    <t>T65</t>
  </si>
  <si>
    <t>T66</t>
  </si>
  <si>
    <t>T67</t>
  </si>
  <si>
    <t>T68</t>
  </si>
  <si>
    <t>T69</t>
  </si>
  <si>
    <t>T70</t>
  </si>
  <si>
    <t>T71</t>
  </si>
  <si>
    <t>T72</t>
  </si>
  <si>
    <t>T73</t>
  </si>
  <si>
    <t>T74</t>
  </si>
  <si>
    <t>T75</t>
  </si>
  <si>
    <t>T76</t>
  </si>
  <si>
    <t>T77</t>
  </si>
  <si>
    <t>T78</t>
  </si>
  <si>
    <t>T79</t>
  </si>
  <si>
    <t>T80</t>
  </si>
  <si>
    <t>T81</t>
  </si>
  <si>
    <t>T82</t>
  </si>
  <si>
    <t>T83</t>
  </si>
  <si>
    <t>T84</t>
  </si>
  <si>
    <t>T85</t>
  </si>
  <si>
    <t>T86</t>
  </si>
  <si>
    <t>T87</t>
  </si>
  <si>
    <t>T88</t>
  </si>
  <si>
    <t>T89</t>
  </si>
  <si>
    <t>T90</t>
  </si>
  <si>
    <t>T91</t>
  </si>
  <si>
    <t>T92</t>
  </si>
  <si>
    <t>T93</t>
  </si>
  <si>
    <t>T94</t>
  </si>
  <si>
    <t>T95</t>
  </si>
  <si>
    <t>T96</t>
  </si>
  <si>
    <t>T97</t>
  </si>
  <si>
    <t>T98</t>
  </si>
  <si>
    <t>T99</t>
  </si>
  <si>
    <t>T100</t>
  </si>
  <si>
    <t>T101</t>
  </si>
  <si>
    <t>T102</t>
  </si>
  <si>
    <t>T103</t>
  </si>
  <si>
    <t>T104</t>
  </si>
  <si>
    <t>T105</t>
  </si>
  <si>
    <t>T106</t>
  </si>
  <si>
    <t>T107</t>
  </si>
  <si>
    <t>T108</t>
  </si>
  <si>
    <t>T109</t>
  </si>
  <si>
    <t>T110</t>
  </si>
  <si>
    <t>T111</t>
  </si>
  <si>
    <t>T112</t>
  </si>
  <si>
    <t>T113</t>
  </si>
  <si>
    <t>T114</t>
  </si>
  <si>
    <t>01 x Eqpt items under dmd to O1
02 x Eqpts items under dmd to H3
02 x Spares demanded</t>
  </si>
  <si>
    <t>01 x Eqpt fwd to Z4 on 03/09/25</t>
  </si>
  <si>
    <t>01 x CDU (Lorros Regd No- 1199) being fwd to Z4. (Lorros 'S' replace new CDU from Store)</t>
  </si>
  <si>
    <t>01 x Eqpt u/r at Z4</t>
  </si>
  <si>
    <t xml:space="preserve">02 x Eqpt u/r at Z4 
</t>
  </si>
  <si>
    <t>02 x II Tube decl BER, deposited at O1 on 07 Mar 25, RV not recd from O1.
01 x Eqpt fwd to BEL Pune by Z4</t>
  </si>
  <si>
    <t>01 x Eqpt U/R at Z4 since 18 May 24, II Tube fwd to BEL Pune
11 x Under repair at Z4</t>
  </si>
  <si>
    <t xml:space="preserve">
05 x Eqpt u/r at Z4
</t>
  </si>
  <si>
    <t xml:space="preserve">04 x Eqpt u/r at W2 </t>
  </si>
  <si>
    <t>03 x Eqpt fwd to W2 by Z4, Awaiting for collection by user rep for deposition at W2.
02 x Eqpt u/r at Z4</t>
  </si>
  <si>
    <t>01 x Eqpt u/r at W2
01 x Eqpt u/r at Z4</t>
  </si>
  <si>
    <t>01 x Eqpt u/r at Z4 since 27 May 25.
04 x Eqpt Fwd to Z4 on 03 Oct 2025
02 x Bubble assy of 02 x eqpt under dmd at H3
03 x Eqpt u/r at Z4
01 x Eqpt u/r at Z2</t>
  </si>
  <si>
    <t xml:space="preserve">
02 x Eqpt u/r at Z2
02 x Eqpt u/r at Z4
</t>
  </si>
  <si>
    <t>02 x Eqpt fwd to Z4 on 11 Oct 2025
01 x Eqpt U/r at Z2 since 26 Sep 25</t>
  </si>
  <si>
    <t>01 x Eqpt U/r at Z2 since 26 Sep 25</t>
  </si>
  <si>
    <t>01 x  Eqpt u/r at Z2</t>
  </si>
  <si>
    <t xml:space="preserve">LORROS Mk- IV Regd No – L-2018 Power supply faulty. Eqpt fwd toZ4 Wksp as on 19 May 2025 and Z4 Wksp fwd to Z2 Wksp for further repair on 29 May 2025. Presently eqpt at Z2.This wksp approached Z2 for early repair vide DO letter No 24501/DO/Est   dt 29 Aug 2025. It has been info that  AC surge protector, comn card, video surge protector &amp; KVM module faulty and not scaled in MS of Z2 Wksp. Case taken for including of these items in their MS.NMC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</si>
</sst>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0"/>
      <name val="Arial"/>
      <family val="2"/>
    </font>
    <font>
      <sz val="12"/>
      <name val="Arial"/>
      <family val="2"/>
    </font>
    <font>
      <sz val="12"/>
      <color theme="1"/>
      <name val="Arial"/>
      <family val="2"/>
    </font>
    <font>
      <b/>
      <sz val="12"/>
      <color theme="1"/>
      <name val="Arial"/>
      <family val="2"/>
    </font>
    <font>
      <b/>
      <sz val="12"/>
      <name val="Arial"/>
      <family val="2"/>
    </font>
    <font>
      <sz val="11"/>
      <color theme="1"/>
      <name val="Arial"/>
      <family val="2"/>
    </font>
    <font>
      <sz val="12"/>
      <color rgb="FFFF0000"/>
      <name val="Arial"/>
      <family val="2"/>
    </font>
    <font>
      <b/>
      <u/>
      <sz val="12"/>
      <color theme="1"/>
      <name val="Arial"/>
      <family val="2"/>
    </font>
    <font>
      <u/>
      <sz val="12"/>
      <name val="Arial"/>
      <family val="2"/>
    </font>
    <font>
      <b/>
      <u/>
      <sz val="12"/>
      <name val="Arial"/>
      <family val="2"/>
    </font>
    <font>
      <sz val="11"/>
      <color rgb="FFFF0000"/>
      <name val="Arial"/>
      <family val="2"/>
    </font>
    <font>
      <b/>
      <sz val="12"/>
      <color rgb="FFFF0000"/>
      <name val="Arial"/>
      <family val="2"/>
    </font>
    <font>
      <sz val="11"/>
      <name val="Calibri"/>
      <family val="2"/>
      <scheme val="minor"/>
    </font>
    <font>
      <sz val="11"/>
      <color rgb="FF00B050"/>
      <name val="Calibri"/>
      <family val="2"/>
      <scheme val="minor"/>
    </font>
    <font>
      <b/>
      <sz val="12"/>
      <name val="Calibri"/>
      <family val="2"/>
      <scheme val="minor"/>
    </font>
    <font>
      <b/>
      <sz val="12"/>
      <color rgb="FF00B050"/>
      <name val="Arial"/>
      <family val="2"/>
    </font>
    <font>
      <sz val="12"/>
      <color rgb="FF00B050"/>
      <name val="Arial"/>
      <family val="2"/>
    </font>
    <font>
      <sz val="8"/>
      <name val="Calibri"/>
      <family val="2"/>
      <scheme val="minor"/>
    </font>
    <font>
      <sz val="12"/>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medium">
        <color rgb="FF000000"/>
      </right>
      <top/>
      <bottom style="medium">
        <color rgb="FF000000"/>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6">
    <xf numFmtId="0" fontId="0" fillId="0" borderId="0"/>
    <xf numFmtId="0" fontId="2" fillId="0" borderId="0"/>
    <xf numFmtId="0" fontId="2" fillId="0" borderId="0"/>
    <xf numFmtId="0" fontId="1" fillId="0" borderId="0"/>
    <xf numFmtId="9" fontId="1" fillId="0" borderId="0" applyFont="0" applyFill="0" applyBorder="0" applyAlignment="0" applyProtection="0"/>
    <xf numFmtId="0" fontId="2" fillId="0" borderId="0"/>
  </cellStyleXfs>
  <cellXfs count="192">
    <xf numFmtId="0" fontId="0" fillId="0" borderId="0" xfId="0"/>
    <xf numFmtId="0" fontId="3" fillId="2" borderId="0" xfId="1" applyFont="1" applyFill="1" applyAlignment="1">
      <alignment horizontal="center" vertical="center"/>
    </xf>
    <xf numFmtId="0" fontId="4" fillId="2" borderId="0" xfId="1" applyFont="1" applyFill="1" applyAlignment="1">
      <alignment horizontal="left" vertical="center" wrapText="1"/>
    </xf>
    <xf numFmtId="0" fontId="3" fillId="2" borderId="0" xfId="2" applyFont="1" applyFill="1" applyAlignment="1">
      <alignment horizontal="center" vertical="center"/>
    </xf>
    <xf numFmtId="0" fontId="7" fillId="0" borderId="1" xfId="0" applyFont="1" applyBorder="1" applyAlignment="1">
      <alignment vertical="top"/>
    </xf>
    <xf numFmtId="0" fontId="4" fillId="2" borderId="2" xfId="2" applyFont="1" applyFill="1" applyBorder="1" applyAlignment="1">
      <alignment horizontal="center" vertical="center"/>
    </xf>
    <xf numFmtId="0" fontId="4" fillId="2" borderId="1" xfId="2" applyFont="1" applyFill="1" applyBorder="1" applyAlignment="1">
      <alignment horizontal="center" vertical="center"/>
    </xf>
    <xf numFmtId="0" fontId="4" fillId="2" borderId="1" xfId="0" applyFont="1" applyFill="1" applyBorder="1" applyAlignment="1">
      <alignment horizontal="center" vertical="center"/>
    </xf>
    <xf numFmtId="0" fontId="3" fillId="2" borderId="1" xfId="2" applyFont="1" applyFill="1" applyBorder="1" applyAlignment="1">
      <alignment horizontal="center" vertical="center" wrapText="1"/>
    </xf>
    <xf numFmtId="0" fontId="3" fillId="2" borderId="1" xfId="0" applyFont="1" applyFill="1" applyBorder="1" applyAlignment="1">
      <alignment vertical="center" wrapText="1"/>
    </xf>
    <xf numFmtId="0" fontId="4" fillId="2" borderId="1" xfId="2" applyFont="1" applyFill="1" applyBorder="1" applyAlignment="1">
      <alignment horizontal="center" vertical="center" wrapText="1"/>
    </xf>
    <xf numFmtId="0" fontId="4" fillId="2" borderId="1" xfId="1" applyFont="1" applyFill="1" applyBorder="1" applyAlignment="1">
      <alignment horizontal="center" vertical="center"/>
    </xf>
    <xf numFmtId="0" fontId="9" fillId="2" borderId="0" xfId="2" applyFont="1" applyFill="1" applyAlignment="1">
      <alignment vertical="center" wrapText="1"/>
    </xf>
    <xf numFmtId="0" fontId="4" fillId="2" borderId="1" xfId="0" applyFont="1" applyFill="1" applyBorder="1" applyAlignment="1">
      <alignment horizontal="center" vertical="center" wrapText="1"/>
    </xf>
    <xf numFmtId="0" fontId="3" fillId="2" borderId="1" xfId="2" applyFont="1" applyFill="1" applyBorder="1" applyAlignment="1">
      <alignment horizontal="center" vertical="center"/>
    </xf>
    <xf numFmtId="0" fontId="4" fillId="0" borderId="1" xfId="0" applyFont="1" applyBorder="1" applyAlignment="1">
      <alignment horizontal="left" vertical="top" wrapText="1"/>
    </xf>
    <xf numFmtId="0" fontId="3" fillId="2" borderId="1" xfId="0" applyFont="1" applyFill="1" applyBorder="1" applyAlignment="1">
      <alignment horizontal="left" vertical="center" wrapText="1"/>
    </xf>
    <xf numFmtId="0" fontId="7" fillId="0" borderId="1" xfId="0" applyFont="1" applyBorder="1" applyAlignment="1">
      <alignment vertical="top" wrapText="1"/>
    </xf>
    <xf numFmtId="0" fontId="9" fillId="2" borderId="0" xfId="3" applyFont="1" applyFill="1" applyAlignment="1">
      <alignment vertical="center" wrapText="1"/>
    </xf>
    <xf numFmtId="0" fontId="3" fillId="2" borderId="1" xfId="0" applyFont="1" applyFill="1" applyBorder="1" applyAlignment="1" applyProtection="1">
      <alignment horizontal="left" vertical="center" wrapText="1"/>
      <protection locked="0"/>
    </xf>
    <xf numFmtId="0" fontId="8" fillId="2" borderId="1" xfId="0" applyFont="1" applyFill="1" applyBorder="1" applyAlignment="1" applyProtection="1">
      <alignment horizontal="justify" vertical="top" wrapText="1"/>
      <protection locked="0"/>
    </xf>
    <xf numFmtId="0" fontId="9" fillId="2" borderId="1" xfId="2" applyFont="1" applyFill="1" applyBorder="1" applyAlignment="1">
      <alignment vertical="center" wrapText="1"/>
    </xf>
    <xf numFmtId="0" fontId="6" fillId="2" borderId="0" xfId="1" applyFont="1" applyFill="1" applyAlignment="1">
      <alignment horizontal="center" vertical="center"/>
    </xf>
    <xf numFmtId="0" fontId="5" fillId="2" borderId="1" xfId="1" applyFont="1" applyFill="1" applyBorder="1" applyAlignment="1">
      <alignment horizontal="center" vertical="center" wrapText="1"/>
    </xf>
    <xf numFmtId="0" fontId="5" fillId="2" borderId="1" xfId="1" applyFont="1" applyFill="1" applyBorder="1" applyAlignment="1">
      <alignment horizontal="center" vertical="center"/>
    </xf>
    <xf numFmtId="0" fontId="5" fillId="2" borderId="1" xfId="1" applyFont="1" applyFill="1" applyBorder="1" applyAlignment="1">
      <alignment vertical="center" wrapText="1"/>
    </xf>
    <xf numFmtId="0" fontId="3" fillId="2" borderId="0" xfId="0" applyFont="1" applyFill="1"/>
    <xf numFmtId="0" fontId="3" fillId="2" borderId="0" xfId="0" applyFont="1" applyFill="1" applyAlignment="1">
      <alignment horizontal="center"/>
    </xf>
    <xf numFmtId="0" fontId="6" fillId="2" borderId="1" xfId="0" applyFont="1" applyFill="1" applyBorder="1" applyAlignment="1">
      <alignment horizontal="center" vertical="center"/>
    </xf>
    <xf numFmtId="0" fontId="3" fillId="2" borderId="0" xfId="0" applyFont="1" applyFill="1" applyAlignment="1">
      <alignment vertical="top"/>
    </xf>
    <xf numFmtId="0" fontId="7" fillId="0" borderId="1" xfId="0" applyFont="1" applyBorder="1" applyAlignment="1">
      <alignment horizontal="left" vertical="top"/>
    </xf>
    <xf numFmtId="0" fontId="3" fillId="2" borderId="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top"/>
    </xf>
    <xf numFmtId="0" fontId="3" fillId="2" borderId="1" xfId="0" applyFont="1" applyFill="1" applyBorder="1" applyAlignment="1">
      <alignment horizontal="center" vertical="top" wrapText="1"/>
    </xf>
    <xf numFmtId="0" fontId="3" fillId="2" borderId="1" xfId="0" applyFont="1" applyFill="1" applyBorder="1" applyAlignment="1">
      <alignment vertical="top" wrapText="1"/>
    </xf>
    <xf numFmtId="0" fontId="3" fillId="2" borderId="4" xfId="0" applyFont="1" applyFill="1" applyBorder="1" applyAlignment="1">
      <alignment horizontal="center" vertical="top"/>
    </xf>
    <xf numFmtId="0" fontId="3" fillId="2" borderId="4" xfId="0" applyFont="1" applyFill="1" applyBorder="1" applyAlignment="1">
      <alignment horizontal="center" vertical="top" wrapText="1"/>
    </xf>
    <xf numFmtId="0" fontId="3" fillId="2" borderId="1" xfId="0" applyFont="1" applyFill="1" applyBorder="1" applyAlignment="1">
      <alignment horizontal="center" vertical="center" wrapText="1"/>
    </xf>
    <xf numFmtId="0" fontId="10" fillId="2" borderId="1" xfId="0" applyFont="1" applyFill="1" applyBorder="1" applyAlignment="1">
      <alignment horizontal="center" vertical="top" wrapText="1"/>
    </xf>
    <xf numFmtId="0" fontId="8" fillId="2" borderId="1" xfId="0" applyFont="1" applyFill="1" applyBorder="1" applyAlignment="1">
      <alignment vertical="top" wrapText="1"/>
    </xf>
    <xf numFmtId="0" fontId="3" fillId="2" borderId="5" xfId="0" applyFont="1" applyFill="1" applyBorder="1" applyAlignment="1">
      <alignment horizontal="center" vertical="top"/>
    </xf>
    <xf numFmtId="0" fontId="3" fillId="2" borderId="5" xfId="0" applyFont="1" applyFill="1" applyBorder="1" applyAlignment="1">
      <alignment horizontal="center" vertical="top" wrapText="1"/>
    </xf>
    <xf numFmtId="0" fontId="3" fillId="2" borderId="0" xfId="0" applyFont="1" applyFill="1" applyAlignment="1">
      <alignment vertical="top" wrapText="1"/>
    </xf>
    <xf numFmtId="0" fontId="10" fillId="2" borderId="0" xfId="0" applyFont="1" applyFill="1" applyAlignment="1">
      <alignment vertical="top" wrapText="1"/>
    </xf>
    <xf numFmtId="0" fontId="3" fillId="2" borderId="0" xfId="0" applyFont="1" applyFill="1" applyAlignment="1">
      <alignment horizontal="center" vertical="top"/>
    </xf>
    <xf numFmtId="0" fontId="3" fillId="2" borderId="0" xfId="0" applyFont="1" applyFill="1" applyAlignment="1">
      <alignment horizontal="center" vertical="top" wrapText="1"/>
    </xf>
    <xf numFmtId="0" fontId="3" fillId="2" borderId="4" xfId="0" applyFont="1" applyFill="1" applyBorder="1" applyAlignment="1">
      <alignment horizontal="center" vertical="center"/>
    </xf>
    <xf numFmtId="0" fontId="3" fillId="2"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7" fillId="0" borderId="1" xfId="0" applyFont="1" applyBorder="1" applyAlignment="1">
      <alignment horizontal="left" vertical="top" wrapText="1"/>
    </xf>
    <xf numFmtId="0" fontId="3" fillId="2" borderId="1" xfId="0" applyFont="1" applyFill="1" applyBorder="1" applyAlignment="1" applyProtection="1">
      <alignment horizontal="left" vertical="top" wrapText="1"/>
      <protection locked="0"/>
    </xf>
    <xf numFmtId="0" fontId="11" fillId="2" borderId="1" xfId="0" applyFont="1" applyFill="1" applyBorder="1" applyAlignment="1">
      <alignment vertical="center" wrapText="1"/>
    </xf>
    <xf numFmtId="0" fontId="6" fillId="2" borderId="0" xfId="0" applyFont="1" applyFill="1" applyAlignment="1">
      <alignment vertical="center"/>
    </xf>
    <xf numFmtId="0" fontId="6" fillId="2" borderId="0" xfId="0" applyFont="1" applyFill="1"/>
    <xf numFmtId="0" fontId="6"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2" borderId="1" xfId="0" applyFont="1" applyFill="1" applyBorder="1" applyAlignment="1" applyProtection="1">
      <alignment horizontal="left" vertical="center" wrapText="1"/>
      <protection locked="0"/>
    </xf>
    <xf numFmtId="0" fontId="4" fillId="2" borderId="1" xfId="0" applyFont="1" applyFill="1" applyBorder="1" applyAlignment="1">
      <alignment vertical="center" wrapText="1"/>
    </xf>
    <xf numFmtId="0" fontId="4" fillId="2" borderId="1" xfId="0" applyFont="1" applyFill="1" applyBorder="1" applyAlignment="1">
      <alignment horizontal="left" vertical="center" wrapText="1"/>
    </xf>
    <xf numFmtId="0" fontId="6" fillId="0" borderId="1" xfId="0" applyFont="1" applyBorder="1" applyAlignment="1">
      <alignment horizontal="center" vertical="center" wrapText="1"/>
    </xf>
    <xf numFmtId="0" fontId="8" fillId="2" borderId="1" xfId="0" applyFont="1" applyFill="1" applyBorder="1" applyAlignment="1" applyProtection="1">
      <alignment vertical="center" wrapText="1"/>
      <protection locked="0"/>
    </xf>
    <xf numFmtId="9" fontId="3" fillId="2" borderId="1" xfId="4" applyFont="1" applyFill="1" applyBorder="1" applyAlignment="1" applyProtection="1">
      <alignment horizontal="center" vertical="center" wrapText="1"/>
    </xf>
    <xf numFmtId="1" fontId="3" fillId="2" borderId="1" xfId="0" applyNumberFormat="1" applyFont="1" applyFill="1" applyBorder="1" applyAlignment="1">
      <alignment horizontal="center" vertical="center" wrapText="1"/>
    </xf>
    <xf numFmtId="0" fontId="3" fillId="2" borderId="1" xfId="0" applyFont="1" applyFill="1" applyBorder="1" applyAlignment="1" applyProtection="1">
      <alignment horizontal="center" vertical="center" wrapText="1"/>
      <protection locked="0"/>
    </xf>
    <xf numFmtId="1" fontId="3" fillId="2" borderId="1" xfId="0" applyNumberFormat="1" applyFont="1" applyFill="1" applyBorder="1" applyAlignment="1">
      <alignment horizontal="center" vertical="center"/>
    </xf>
    <xf numFmtId="9" fontId="3" fillId="2" borderId="1" xfId="0" applyNumberFormat="1" applyFont="1" applyFill="1" applyBorder="1" applyAlignment="1" applyProtection="1">
      <alignment horizontal="center" vertical="center" wrapText="1"/>
      <protection locked="0"/>
    </xf>
    <xf numFmtId="10" fontId="3" fillId="2" borderId="1" xfId="4" applyNumberFormat="1" applyFont="1" applyFill="1" applyBorder="1" applyAlignment="1" applyProtection="1">
      <alignment horizontal="center" vertical="center" wrapText="1"/>
    </xf>
    <xf numFmtId="0" fontId="3" fillId="2" borderId="1" xfId="0" applyFont="1" applyFill="1" applyBorder="1" applyAlignment="1" applyProtection="1">
      <alignment horizontal="center" vertical="center"/>
      <protection locked="0"/>
    </xf>
    <xf numFmtId="0" fontId="6" fillId="2" borderId="1" xfId="0" applyFont="1" applyFill="1" applyBorder="1" applyAlignment="1" applyProtection="1">
      <alignment horizontal="left" vertical="center" wrapText="1"/>
      <protection locked="0"/>
    </xf>
    <xf numFmtId="0" fontId="5" fillId="2" borderId="1" xfId="0" applyFont="1" applyFill="1" applyBorder="1" applyAlignment="1" applyProtection="1">
      <alignment horizontal="left" vertical="top" wrapText="1"/>
      <protection locked="0"/>
    </xf>
    <xf numFmtId="10" fontId="6" fillId="0" borderId="1" xfId="4" applyNumberFormat="1" applyFont="1" applyFill="1" applyBorder="1" applyAlignment="1" applyProtection="1">
      <alignment vertical="top" wrapText="1"/>
    </xf>
    <xf numFmtId="0" fontId="6" fillId="2" borderId="1" xfId="0" applyFont="1" applyFill="1" applyBorder="1" applyAlignment="1" applyProtection="1">
      <alignment vertical="center" wrapText="1"/>
      <protection locked="0"/>
    </xf>
    <xf numFmtId="10" fontId="6" fillId="2" borderId="1" xfId="0" applyNumberFormat="1" applyFont="1" applyFill="1" applyBorder="1" applyAlignment="1" applyProtection="1">
      <alignment horizontal="left" vertical="center" wrapText="1"/>
      <protection locked="0"/>
    </xf>
    <xf numFmtId="0" fontId="5" fillId="2" borderId="1" xfId="0" applyFont="1" applyFill="1" applyBorder="1" applyAlignment="1" applyProtection="1">
      <alignment vertical="center" wrapText="1"/>
      <protection locked="0"/>
    </xf>
    <xf numFmtId="10" fontId="6" fillId="0" borderId="1" xfId="4" applyNumberFormat="1" applyFont="1" applyFill="1" applyBorder="1" applyAlignment="1" applyProtection="1">
      <alignment vertical="center" wrapText="1"/>
    </xf>
    <xf numFmtId="1" fontId="6"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xf>
    <xf numFmtId="10" fontId="3" fillId="0" borderId="1" xfId="4" applyNumberFormat="1" applyFont="1" applyFill="1" applyBorder="1" applyAlignment="1" applyProtection="1">
      <alignment horizontal="center" vertical="center" wrapText="1"/>
    </xf>
    <xf numFmtId="0" fontId="6" fillId="2" borderId="1" xfId="0" applyFont="1" applyFill="1" applyBorder="1" applyAlignment="1">
      <alignment horizontal="center" vertical="top"/>
    </xf>
    <xf numFmtId="0" fontId="6" fillId="2" borderId="1" xfId="0" applyFont="1" applyFill="1" applyBorder="1" applyAlignment="1">
      <alignment horizontal="center" vertical="top" wrapText="1"/>
    </xf>
    <xf numFmtId="0" fontId="3" fillId="2" borderId="4" xfId="0" applyFont="1" applyFill="1" applyBorder="1" applyAlignment="1" applyProtection="1">
      <alignment horizontal="left" vertical="center" wrapText="1"/>
      <protection locked="0"/>
    </xf>
    <xf numFmtId="10" fontId="3" fillId="0" borderId="1" xfId="4" applyNumberFormat="1" applyFont="1" applyFill="1" applyBorder="1" applyAlignment="1" applyProtection="1">
      <alignment horizontal="center" vertical="center"/>
    </xf>
    <xf numFmtId="0" fontId="3" fillId="2" borderId="4" xfId="0" applyFont="1" applyFill="1" applyBorder="1" applyAlignment="1" applyProtection="1">
      <alignment horizontal="center" vertical="center" wrapText="1"/>
      <protection locked="0"/>
    </xf>
    <xf numFmtId="0" fontId="8" fillId="2" borderId="1" xfId="0" applyFont="1" applyFill="1" applyBorder="1" applyAlignment="1" applyProtection="1">
      <alignment horizontal="left" vertical="center" wrapText="1"/>
      <protection locked="0"/>
    </xf>
    <xf numFmtId="0" fontId="3" fillId="2" borderId="1" xfId="0" applyFont="1" applyFill="1" applyBorder="1" applyAlignment="1" applyProtection="1">
      <alignment vertical="center" wrapText="1"/>
      <protection locked="0"/>
    </xf>
    <xf numFmtId="49" fontId="3" fillId="2" borderId="1" xfId="0" applyNumberFormat="1" applyFont="1" applyFill="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0" fontId="4" fillId="2" borderId="1" xfId="0" applyFont="1" applyFill="1" applyBorder="1" applyAlignment="1" applyProtection="1">
      <alignment vertical="top" wrapText="1"/>
      <protection locked="0"/>
    </xf>
    <xf numFmtId="0" fontId="4" fillId="2" borderId="1" xfId="0" applyFont="1" applyFill="1" applyBorder="1" applyAlignment="1" applyProtection="1">
      <alignment vertical="center" wrapText="1"/>
      <protection locked="0"/>
    </xf>
    <xf numFmtId="1" fontId="3" fillId="0" borderId="1" xfId="0" applyNumberFormat="1" applyFont="1" applyBorder="1" applyAlignment="1" applyProtection="1">
      <alignment horizontal="center" vertical="center" wrapText="1"/>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3" fillId="0" borderId="1" xfId="0" applyFont="1" applyBorder="1" applyAlignment="1" applyProtection="1">
      <alignment vertical="center" wrapText="1"/>
      <protection locked="0"/>
    </xf>
    <xf numFmtId="1" fontId="3" fillId="0" borderId="1" xfId="0" applyNumberFormat="1" applyFont="1" applyBorder="1" applyAlignment="1">
      <alignment horizontal="center" vertical="center" wrapText="1"/>
    </xf>
    <xf numFmtId="0" fontId="3" fillId="0" borderId="1" xfId="0" applyFont="1" applyBorder="1" applyAlignment="1" applyProtection="1">
      <alignment horizontal="center" vertical="center" wrapText="1"/>
      <protection locked="0"/>
    </xf>
    <xf numFmtId="0" fontId="3" fillId="0" borderId="3" xfId="0" applyFont="1" applyBorder="1" applyAlignment="1">
      <alignment horizontal="center" vertical="center" wrapText="1"/>
    </xf>
    <xf numFmtId="0" fontId="3" fillId="2" borderId="1" xfId="0" applyFont="1" applyFill="1" applyBorder="1" applyAlignment="1">
      <alignment vertical="center"/>
    </xf>
    <xf numFmtId="0" fontId="15" fillId="0" borderId="0" xfId="0" applyFont="1" applyAlignment="1" applyProtection="1">
      <alignment vertical="center" wrapText="1"/>
      <protection locked="0"/>
    </xf>
    <xf numFmtId="0" fontId="3" fillId="2" borderId="1" xfId="0" applyFont="1" applyFill="1" applyBorder="1" applyAlignment="1">
      <alignment vertical="top"/>
    </xf>
    <xf numFmtId="0" fontId="3" fillId="2" borderId="1" xfId="0" applyFont="1" applyFill="1" applyBorder="1" applyAlignment="1">
      <alignment wrapText="1"/>
    </xf>
    <xf numFmtId="0" fontId="4" fillId="0" borderId="9" xfId="0" applyFont="1" applyBorder="1" applyAlignment="1">
      <alignment vertical="center" wrapText="1"/>
    </xf>
    <xf numFmtId="0" fontId="14" fillId="0" borderId="0" xfId="0" applyFont="1" applyAlignment="1" applyProtection="1">
      <alignment vertical="center" wrapText="1"/>
      <protection locked="0"/>
    </xf>
    <xf numFmtId="0" fontId="3" fillId="0" borderId="1" xfId="0" applyFont="1" applyBorder="1" applyAlignment="1" applyProtection="1">
      <alignment vertical="top" wrapText="1"/>
      <protection locked="0"/>
    </xf>
    <xf numFmtId="0" fontId="0" fillId="0" borderId="1" xfId="0" applyBorder="1" applyAlignment="1" applyProtection="1">
      <alignment vertical="center" wrapText="1"/>
      <protection locked="0"/>
    </xf>
    <xf numFmtId="0" fontId="11" fillId="0" borderId="3" xfId="0" applyFont="1" applyBorder="1" applyAlignment="1">
      <alignment vertical="center" wrapText="1"/>
    </xf>
    <xf numFmtId="0" fontId="11" fillId="0" borderId="7" xfId="0" applyFont="1" applyBorder="1" applyAlignment="1">
      <alignment vertical="center" wrapText="1"/>
    </xf>
    <xf numFmtId="0" fontId="11" fillId="0" borderId="2" xfId="0" applyFont="1" applyBorder="1" applyAlignment="1">
      <alignment vertical="center" wrapText="1"/>
    </xf>
    <xf numFmtId="0" fontId="13" fillId="2" borderId="1" xfId="0" applyFont="1" applyFill="1" applyBorder="1" applyAlignment="1">
      <alignment horizontal="justify" vertical="top" wrapText="1"/>
    </xf>
    <xf numFmtId="0" fontId="13" fillId="2" borderId="1" xfId="0" applyFont="1" applyFill="1" applyBorder="1" applyAlignment="1" applyProtection="1">
      <alignment vertical="center" wrapText="1"/>
      <protection locked="0"/>
    </xf>
    <xf numFmtId="0" fontId="13" fillId="0" borderId="1" xfId="0" applyFont="1" applyBorder="1" applyAlignment="1" applyProtection="1">
      <alignment horizontal="left" vertical="center" wrapText="1"/>
      <protection locked="0"/>
    </xf>
    <xf numFmtId="0" fontId="3" fillId="2" borderId="1" xfId="0" applyFont="1" applyFill="1" applyBorder="1" applyAlignment="1">
      <alignment horizontal="justify" vertical="top"/>
    </xf>
    <xf numFmtId="0" fontId="3" fillId="2" borderId="1" xfId="0" applyFont="1" applyFill="1" applyBorder="1" applyAlignment="1">
      <alignment horizontal="justify" vertical="center"/>
    </xf>
    <xf numFmtId="10" fontId="6" fillId="0" borderId="1" xfId="0" applyNumberFormat="1" applyFont="1" applyBorder="1" applyAlignment="1">
      <alignment horizontal="center" vertical="center" wrapText="1"/>
    </xf>
    <xf numFmtId="0" fontId="6" fillId="0" borderId="1" xfId="0" applyFont="1" applyBorder="1" applyAlignment="1">
      <alignment horizontal="center" vertical="center" textRotation="90" wrapText="1"/>
    </xf>
    <xf numFmtId="0" fontId="11" fillId="2" borderId="0" xfId="0" applyFont="1" applyFill="1" applyAlignment="1">
      <alignment horizontal="center" vertical="center"/>
    </xf>
    <xf numFmtId="0" fontId="3" fillId="2" borderId="0" xfId="0" applyFont="1" applyFill="1" applyAlignment="1">
      <alignment horizontal="left" indent="2"/>
    </xf>
    <xf numFmtId="0" fontId="3" fillId="2" borderId="0" xfId="0" applyFont="1" applyFill="1" applyAlignment="1">
      <alignment horizontal="left" vertical="top" indent="2"/>
    </xf>
    <xf numFmtId="0" fontId="6" fillId="2" borderId="0" xfId="0" applyFont="1" applyFill="1" applyAlignment="1">
      <alignment horizontal="left" indent="2"/>
    </xf>
    <xf numFmtId="0" fontId="6" fillId="2" borderId="0" xfId="0" applyFont="1" applyFill="1" applyAlignment="1">
      <alignment horizontal="center"/>
    </xf>
    <xf numFmtId="0" fontId="6" fillId="2" borderId="4" xfId="0" applyFont="1" applyFill="1" applyBorder="1" applyAlignment="1">
      <alignment horizontal="center" vertical="top" wrapText="1"/>
    </xf>
    <xf numFmtId="0" fontId="3" fillId="2" borderId="2" xfId="5" applyFont="1" applyFill="1" applyBorder="1" applyAlignment="1">
      <alignment horizontal="left" vertical="center" wrapText="1"/>
    </xf>
    <xf numFmtId="0" fontId="8" fillId="2" borderId="4" xfId="0" applyFont="1" applyFill="1" applyBorder="1" applyAlignment="1">
      <alignment horizontal="left" vertical="center" wrapText="1"/>
    </xf>
    <xf numFmtId="0" fontId="3" fillId="2" borderId="0" xfId="0" applyFont="1" applyFill="1" applyAlignment="1">
      <alignment horizontal="left" vertical="center"/>
    </xf>
    <xf numFmtId="0" fontId="3" fillId="2" borderId="0" xfId="0" applyFont="1" applyFill="1" applyAlignment="1">
      <alignment horizontal="left" vertical="top"/>
    </xf>
    <xf numFmtId="0" fontId="3" fillId="2" borderId="0" xfId="0" applyFont="1" applyFill="1" applyAlignment="1">
      <alignment horizontal="center" vertical="center"/>
    </xf>
    <xf numFmtId="0" fontId="10" fillId="2" borderId="0" xfId="0" applyFont="1" applyFill="1" applyAlignment="1">
      <alignment horizontal="right" vertical="top" wrapText="1"/>
    </xf>
    <xf numFmtId="0" fontId="6" fillId="2" borderId="1" xfId="0" applyFont="1" applyFill="1" applyBorder="1" applyAlignment="1">
      <alignment horizontal="center" vertical="center" textRotation="255"/>
    </xf>
    <xf numFmtId="0" fontId="6" fillId="2" borderId="1" xfId="0" applyFont="1" applyFill="1" applyBorder="1" applyAlignment="1">
      <alignment horizontal="center" vertical="center" textRotation="90"/>
    </xf>
    <xf numFmtId="0" fontId="8" fillId="0" borderId="1" xfId="0" applyFont="1" applyBorder="1" applyAlignment="1" applyProtection="1">
      <alignment horizontal="left" vertical="center" wrapText="1"/>
      <protection locked="0"/>
    </xf>
    <xf numFmtId="0" fontId="6" fillId="2" borderId="0" xfId="0" applyFont="1" applyFill="1" applyAlignment="1">
      <alignment horizontal="left" vertical="center"/>
    </xf>
    <xf numFmtId="10" fontId="3" fillId="2" borderId="0" xfId="4" applyNumberFormat="1" applyFont="1" applyFill="1" applyBorder="1" applyAlignment="1" applyProtection="1">
      <alignment horizontal="center" vertical="center"/>
    </xf>
    <xf numFmtId="0" fontId="3" fillId="2" borderId="0" xfId="0" applyFont="1" applyFill="1" applyAlignment="1" applyProtection="1">
      <alignment vertical="center" wrapText="1"/>
      <protection locked="0"/>
    </xf>
    <xf numFmtId="0" fontId="16" fillId="0" borderId="1" xfId="0" applyFont="1" applyBorder="1"/>
    <xf numFmtId="0" fontId="3" fillId="0" borderId="1" xfId="0" applyFont="1" applyBorder="1" applyAlignment="1" applyProtection="1">
      <alignment horizontal="left" vertical="top" wrapText="1"/>
      <protection locked="0"/>
    </xf>
    <xf numFmtId="0" fontId="16" fillId="2" borderId="1" xfId="0" applyFont="1" applyFill="1" applyBorder="1" applyAlignment="1" applyProtection="1">
      <alignment horizontal="left" vertical="center" wrapText="1"/>
      <protection locked="0"/>
    </xf>
    <xf numFmtId="10" fontId="4" fillId="0" borderId="1" xfId="4" applyNumberFormat="1" applyFont="1" applyFill="1" applyBorder="1" applyAlignment="1" applyProtection="1">
      <alignment vertical="top" wrapText="1"/>
    </xf>
    <xf numFmtId="0" fontId="11" fillId="2" borderId="1" xfId="0" applyFont="1" applyFill="1" applyBorder="1" applyAlignment="1">
      <alignment horizontal="center" vertical="center"/>
    </xf>
    <xf numFmtId="10" fontId="3" fillId="2" borderId="1" xfId="4" applyNumberFormat="1" applyFont="1" applyFill="1" applyBorder="1" applyAlignment="1" applyProtection="1">
      <alignment horizontal="center" vertical="center"/>
    </xf>
    <xf numFmtId="10" fontId="3" fillId="2" borderId="4" xfId="4" applyNumberFormat="1" applyFont="1" applyFill="1" applyBorder="1" applyAlignment="1" applyProtection="1">
      <alignment horizontal="center" vertical="center"/>
    </xf>
    <xf numFmtId="0" fontId="6" fillId="2" borderId="1" xfId="0" applyFont="1" applyFill="1" applyBorder="1" applyAlignment="1">
      <alignment vertical="center" wrapText="1"/>
    </xf>
    <xf numFmtId="0" fontId="17" fillId="2" borderId="1" xfId="0" applyFont="1" applyFill="1" applyBorder="1" applyAlignment="1">
      <alignment horizontal="left" vertical="center" wrapText="1"/>
    </xf>
    <xf numFmtId="0" fontId="18" fillId="2" borderId="1" xfId="0" applyFont="1" applyFill="1" applyBorder="1" applyAlignment="1">
      <alignment horizontal="left" vertical="center" wrapText="1"/>
    </xf>
    <xf numFmtId="0" fontId="17" fillId="2" borderId="1" xfId="0" applyFont="1" applyFill="1" applyBorder="1" applyAlignment="1">
      <alignment horizontal="left" vertical="top" wrapText="1"/>
    </xf>
    <xf numFmtId="0" fontId="3" fillId="2" borderId="0" xfId="0" applyFont="1" applyFill="1" applyAlignment="1">
      <alignment horizontal="left"/>
    </xf>
    <xf numFmtId="0" fontId="6" fillId="2" borderId="1" xfId="0" applyFont="1" applyFill="1" applyBorder="1" applyAlignment="1">
      <alignment vertical="top"/>
    </xf>
    <xf numFmtId="0" fontId="11" fillId="2" borderId="1" xfId="0" applyFont="1" applyFill="1" applyBorder="1" applyAlignment="1">
      <alignment vertical="top"/>
    </xf>
    <xf numFmtId="0" fontId="20" fillId="2" borderId="1" xfId="0" applyFont="1" applyFill="1" applyBorder="1"/>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1" xfId="0" applyFont="1" applyFill="1" applyBorder="1" applyAlignment="1">
      <alignment horizontal="center" vertical="top"/>
    </xf>
    <xf numFmtId="0" fontId="11" fillId="0" borderId="6"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6" fillId="0" borderId="8"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 xfId="0" applyFont="1" applyBorder="1" applyAlignment="1">
      <alignment horizontal="center" vertical="center" wrapText="1"/>
    </xf>
    <xf numFmtId="10" fontId="6"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9" fillId="2" borderId="1" xfId="2" applyFont="1" applyFill="1" applyBorder="1" applyAlignment="1">
      <alignment horizontal="left" vertical="center" wrapText="1"/>
    </xf>
    <xf numFmtId="0" fontId="9" fillId="2" borderId="0" xfId="2" applyFont="1" applyFill="1" applyAlignment="1">
      <alignment horizontal="left" vertical="center" wrapText="1"/>
    </xf>
    <xf numFmtId="0" fontId="9" fillId="2" borderId="1" xfId="3" applyFont="1" applyFill="1" applyBorder="1" applyAlignment="1">
      <alignment horizontal="left" vertical="center" wrapText="1"/>
    </xf>
    <xf numFmtId="0" fontId="9" fillId="2" borderId="0" xfId="1" applyFont="1" applyFill="1" applyAlignment="1">
      <alignment horizontal="center" vertical="center"/>
    </xf>
    <xf numFmtId="0" fontId="5" fillId="2" borderId="1" xfId="1" applyFont="1" applyFill="1" applyBorder="1" applyAlignment="1">
      <alignment horizontal="center" vertical="center"/>
    </xf>
    <xf numFmtId="0" fontId="6" fillId="2" borderId="1" xfId="1" applyFont="1" applyFill="1" applyBorder="1" applyAlignment="1">
      <alignment horizontal="center" vertical="center"/>
    </xf>
    <xf numFmtId="0" fontId="5" fillId="2" borderId="1" xfId="1" applyFont="1" applyFill="1" applyBorder="1" applyAlignment="1">
      <alignment horizontal="center" vertical="center" wrapText="1"/>
    </xf>
    <xf numFmtId="0" fontId="11" fillId="2" borderId="6" xfId="0" applyFont="1" applyFill="1" applyBorder="1" applyAlignment="1">
      <alignment horizontal="left" vertical="center"/>
    </xf>
    <xf numFmtId="0" fontId="11" fillId="2" borderId="0" xfId="0" applyFont="1" applyFill="1" applyAlignment="1">
      <alignment horizontal="left" vertical="top" wrapText="1"/>
    </xf>
    <xf numFmtId="0" fontId="11" fillId="2" borderId="1" xfId="0" applyFont="1" applyFill="1" applyBorder="1" applyAlignment="1">
      <alignment horizontal="left" vertical="center" wrapText="1"/>
    </xf>
    <xf numFmtId="0" fontId="11" fillId="2" borderId="2" xfId="0" applyFont="1" applyFill="1" applyBorder="1" applyAlignment="1">
      <alignment horizontal="right" vertical="top" wrapText="1"/>
    </xf>
    <xf numFmtId="0" fontId="11" fillId="2" borderId="7" xfId="0" applyFont="1" applyFill="1" applyBorder="1" applyAlignment="1">
      <alignment horizontal="right" vertical="top" wrapText="1"/>
    </xf>
    <xf numFmtId="0" fontId="11" fillId="2" borderId="3" xfId="0" applyFont="1" applyFill="1" applyBorder="1" applyAlignment="1">
      <alignment horizontal="right" vertical="top"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11" fillId="2" borderId="0" xfId="0" applyFont="1" applyFill="1" applyAlignment="1">
      <alignment horizontal="center" vertical="top"/>
    </xf>
    <xf numFmtId="0" fontId="11" fillId="2" borderId="6" xfId="0" applyFont="1" applyFill="1" applyBorder="1" applyAlignment="1">
      <alignment horizontal="left" vertical="top"/>
    </xf>
    <xf numFmtId="0" fontId="6" fillId="2" borderId="6" xfId="0" applyFont="1" applyFill="1" applyBorder="1" applyAlignment="1">
      <alignment horizontal="left" vertical="top"/>
    </xf>
    <xf numFmtId="0" fontId="6" fillId="2" borderId="1" xfId="0" applyFont="1" applyFill="1" applyBorder="1" applyAlignment="1">
      <alignment horizontal="center" vertical="top" wrapText="1"/>
    </xf>
    <xf numFmtId="0" fontId="6" fillId="2" borderId="1" xfId="0" applyFont="1" applyFill="1" applyBorder="1" applyAlignment="1">
      <alignment horizontal="center" vertical="center"/>
    </xf>
    <xf numFmtId="0" fontId="6" fillId="2" borderId="4" xfId="0" applyFont="1" applyFill="1" applyBorder="1" applyAlignment="1">
      <alignment horizontal="center" vertical="top" wrapText="1"/>
    </xf>
    <xf numFmtId="0" fontId="6" fillId="2" borderId="5" xfId="0" applyFont="1" applyFill="1" applyBorder="1" applyAlignment="1">
      <alignment horizontal="center" vertical="top" wrapText="1"/>
    </xf>
    <xf numFmtId="0" fontId="6" fillId="2" borderId="4" xfId="0" applyFont="1" applyFill="1" applyBorder="1" applyAlignment="1">
      <alignment horizontal="center" vertical="top"/>
    </xf>
    <xf numFmtId="0" fontId="6" fillId="2" borderId="5" xfId="0" applyFont="1" applyFill="1" applyBorder="1" applyAlignment="1">
      <alignment horizontal="center" vertical="top"/>
    </xf>
    <xf numFmtId="0" fontId="6" fillId="2" borderId="1" xfId="0" applyFont="1" applyFill="1" applyBorder="1" applyAlignment="1">
      <alignment horizontal="center" vertical="top"/>
    </xf>
    <xf numFmtId="0" fontId="6" fillId="2" borderId="2" xfId="0" applyFont="1" applyFill="1" applyBorder="1" applyAlignment="1">
      <alignment horizontal="center" vertical="top"/>
    </xf>
    <xf numFmtId="0" fontId="6" fillId="2" borderId="3" xfId="0" applyFont="1" applyFill="1" applyBorder="1" applyAlignment="1">
      <alignment horizontal="center" vertical="top"/>
    </xf>
    <xf numFmtId="0" fontId="6" fillId="2" borderId="0" xfId="0" applyFont="1" applyFill="1" applyAlignment="1">
      <alignment horizontal="center" vertical="top"/>
    </xf>
  </cellXfs>
  <cellStyles count="6">
    <cellStyle name="Normal" xfId="0" builtinId="0"/>
    <cellStyle name="Normal 2" xfId="1" xr:uid="{B0E9BA73-EE0F-4B02-9385-89C276ECC71E}"/>
    <cellStyle name="Normal 4" xfId="3" xr:uid="{23CCFB28-71F8-4D5C-9B37-C150A3813BC0}"/>
    <cellStyle name="Normal 4 2" xfId="5" xr:uid="{60A0DE95-12D4-4027-905E-37857EEAF153}"/>
    <cellStyle name="Normal 55 2" xfId="2" xr:uid="{8E5FC90C-CB24-4C53-80D1-4F0F9D754650}"/>
    <cellStyle name="Percent" xfId="4" builtinId="5"/>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emebrtechfrs.STRIKEONE\Desktop\FRS%20May%2020\FRS%20UPDATED%20WITH%20NEW%20FORMAT\Secure%20Disk\G%20DRIVE\FRS%20FOLDER\ALL%20EQPT%20AUTH%20HELD%202019\ALL%20EQPT%20AUTH%20HELD%20Mar%20%20%20201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Secure%20Disk/G%20DRIVE/FRS%20FOLDER/ALL%20EQPT%20AUTH%20HELD%202019/ALL%20EQPT%20AUTH%20HELD%20Mar%20%20%202019.xlsx" TargetMode="External"/><Relationship Id="rId1" Type="http://schemas.openxmlformats.org/officeDocument/2006/relationships/externalLinkPath" Target="/Secure%20Disk/G%20DRIVE/FRS%20FOLDER/ALL%20EQPT%20AUTH%20HELD%202019/ALL%20EQPT%20AUTH%20HELD%20Mar%20%20%20201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user\Desktop\FInal%20%20FRS%20month%20of%20Nov%2020%20-%20Copy\Secure%20Disk\G%20DRIVE\FRS%20FOLDER\ALL%20EQPT%20AUTH%20HELD%202019\ALL%20EQPT%20AUTH%20HELD%20Mar%20%20%202019.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emebrtechfrs.STRIKEONE/Desktop/FRS%20May%2020/FRS%20UPDATED%20WITH%20NEW%20FORMAT/Secure%20Disk/G%20DRIVE/FRS%20FOLDER/ALL%20EQPT%20AUTH%20HELD%202019/ALL%20EQPT%20AUTH%20HELD%20Mar%20%20%202019.xlsx" TargetMode="External"/><Relationship Id="rId1" Type="http://schemas.openxmlformats.org/officeDocument/2006/relationships/externalLinkPath" Target="/Users/emebrtechfrs.STRIKEONE/Desktop/FRS%20May%2020/FRS%20UPDATED%20WITH%20NEW%20FORMAT/Secure%20Disk/G%20DRIVE/FRS%20FOLDER/ALL%20EQPT%20AUTH%20HELD%202019/ALL%20EQPT%20AUTH%20HELD%20Mar%20%20%202019.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Documents%20and%20Settings/User%2004/Application%20Data/Microsoft/Excel/MESR/FRS%20Nov%2010/Central%20Comd.xls" TargetMode="External"/><Relationship Id="rId1" Type="http://schemas.openxmlformats.org/officeDocument/2006/relationships/externalLinkPath" Target="/Documents%20and%20Settings/User%2004/Application%20Data/Microsoft/Excel/MESR/FRS%20Nov%2010/Central%20Com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S Units held amd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S Units held amdt"/>
      <sheetName val="DROPDOWN"/>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Tech Manager"/>
      <sheetName val="Dependent User Unit"/>
      <sheetName val="VOR EOA EHT "/>
      <sheetName val="A Vehs"/>
      <sheetName val="A Vehs Data"/>
      <sheetName val="B Vehs"/>
      <sheetName val="SPL Vehs"/>
      <sheetName val="Engr eqpt"/>
      <sheetName val="Power eqpt"/>
      <sheetName val="Inst eqpt"/>
      <sheetName val="Sig eqpt"/>
      <sheetName val="Small arms"/>
      <sheetName val="Armt"/>
      <sheetName val="Armt Data "/>
      <sheetName val="Radar  missile"/>
      <sheetName val="Computer"/>
      <sheetName val="VOR EOA DEMAND"/>
      <sheetName val="Fitment of Eng"/>
      <sheetName val="Eqpt in Base Wksp"/>
      <sheetName val="Sml"/>
      <sheetName val="ACSFP EQPT"/>
      <sheetName val="Eqpt Aval (Electronic)"/>
      <sheetName val="FR of EQPT"/>
      <sheetName val="EOA State RO, LINE,Radar"/>
      <sheetName val="Re Distribution of BFSR"/>
      <sheetName val="Strip Insp"/>
      <sheetName val="Fitment of Retainer"/>
      <sheetName val="DP Conversion"/>
      <sheetName val="DR84mmRL"/>
    </sheetNames>
    <sheetDataSet>
      <sheetData sheetId="0"/>
      <sheetData sheetId="1"/>
      <sheetData sheetId="2">
        <row r="6">
          <cell r="B6" t="str">
            <v>196 (I) Fd Wksp Coy</v>
          </cell>
          <cell r="C6" t="str">
            <v>302 Lt Regt</v>
          </cell>
        </row>
        <row r="7">
          <cell r="C7" t="str">
            <v>200 Fd Regt</v>
          </cell>
        </row>
        <row r="8">
          <cell r="C8" t="str">
            <v>1988 (I) Med Bty</v>
          </cell>
        </row>
        <row r="9">
          <cell r="C9" t="str">
            <v>Garh Scouts</v>
          </cell>
        </row>
        <row r="10">
          <cell r="C10" t="str">
            <v>2 Madras</v>
          </cell>
        </row>
        <row r="11">
          <cell r="C11" t="str">
            <v>1 MAHAR</v>
          </cell>
        </row>
        <row r="12">
          <cell r="C12" t="str">
            <v>Kumaon Scouts</v>
          </cell>
        </row>
        <row r="13">
          <cell r="C13" t="str">
            <v>5009 Coy ASC</v>
          </cell>
        </row>
        <row r="14">
          <cell r="C14" t="str">
            <v>8 (I) Fd Coy</v>
          </cell>
        </row>
        <row r="15">
          <cell r="C15" t="str">
            <v>2009 Fd Hosp</v>
          </cell>
        </row>
        <row r="16">
          <cell r="C16" t="str">
            <v>883 AT Bn</v>
          </cell>
        </row>
        <row r="17">
          <cell r="C17" t="str">
            <v>3 Coy Sig Regt</v>
          </cell>
        </row>
        <row r="18">
          <cell r="C18" t="str">
            <v>HQ 9 (I) Mtn Bde Gp</v>
          </cell>
        </row>
        <row r="19">
          <cell r="C19" t="str">
            <v>9 (I) Mtn Bde OMP</v>
          </cell>
        </row>
        <row r="20">
          <cell r="C20" t="str">
            <v>9 (I) Mtn Bde Pro Unit</v>
          </cell>
        </row>
        <row r="21">
          <cell r="C21" t="str">
            <v>25 MFVH</v>
          </cell>
        </row>
        <row r="22">
          <cell r="C22" t="str">
            <v>41 FARS</v>
          </cell>
        </row>
        <row r="23">
          <cell r="C23" t="str">
            <v>30 MFVH</v>
          </cell>
        </row>
        <row r="24">
          <cell r="C24" t="str">
            <v>871 EWS</v>
          </cell>
        </row>
        <row r="25">
          <cell r="C25" t="str">
            <v>830 FPO</v>
          </cell>
        </row>
        <row r="26">
          <cell r="C26" t="str">
            <v>798 FPO</v>
          </cell>
        </row>
        <row r="27">
          <cell r="C27" t="str">
            <v>8 UP NCC</v>
          </cell>
        </row>
        <row r="28">
          <cell r="C28" t="str">
            <v>9 JAK LI</v>
          </cell>
        </row>
        <row r="29">
          <cell r="C29" t="str">
            <v>1 ARCHER</v>
          </cell>
        </row>
        <row r="30">
          <cell r="C30" t="str">
            <v>Tawaghat Sig Sector</v>
          </cell>
        </row>
        <row r="31">
          <cell r="C31" t="str">
            <v>DIBER Auli</v>
          </cell>
        </row>
        <row r="32">
          <cell r="C32" t="str">
            <v>1/567 INT &amp; FS Unit</v>
          </cell>
        </row>
        <row r="33">
          <cell r="C33" t="str">
            <v>196 (I) Fd Wksp Coy</v>
          </cell>
        </row>
        <row r="34">
          <cell r="C34" t="str">
            <v>104 Engr Regt</v>
          </cell>
        </row>
        <row r="35">
          <cell r="C35" t="str">
            <v>127 TA Eco Coy</v>
          </cell>
        </row>
      </sheetData>
      <sheetData sheetId="3"/>
      <sheetData sheetId="4"/>
      <sheetData sheetId="5">
        <row r="117">
          <cell r="B117" t="str">
            <v>Org</v>
          </cell>
        </row>
      </sheetData>
      <sheetData sheetId="6">
        <row r="8">
          <cell r="B8" t="str">
            <v xml:space="preserve">M/C CD 100 Hero Honda </v>
          </cell>
        </row>
      </sheetData>
      <sheetData sheetId="7">
        <row r="7">
          <cell r="B7" t="str">
            <v>Tk 6x6 Kraz 255B (MSS)</v>
          </cell>
        </row>
      </sheetData>
      <sheetData sheetId="8">
        <row r="5">
          <cell r="B5" t="str">
            <v>Air Compressor All types</v>
          </cell>
        </row>
        <row r="6">
          <cell r="B6" t="str">
            <v>Anchor Br 60 Lbs</v>
          </cell>
        </row>
        <row r="7">
          <cell r="B7" t="str">
            <v>Atomization test bench</v>
          </cell>
        </row>
        <row r="8">
          <cell r="B8" t="str">
            <v>Bailey Pontoon Bridge Folding</v>
          </cell>
        </row>
        <row r="9">
          <cell r="B9" t="str">
            <v>Bailey Pontoon Increment Set</v>
          </cell>
        </row>
        <row r="10">
          <cell r="B10" t="str">
            <v>Bailey Suspension Bridge all types</v>
          </cell>
        </row>
        <row r="11">
          <cell r="B11" t="str">
            <v>Baut all types</v>
          </cell>
        </row>
        <row r="12">
          <cell r="B12" t="str">
            <v>Blower elect port 240V SP 50HZ</v>
          </cell>
        </row>
        <row r="13">
          <cell r="B13" t="str">
            <v>Boat Aslt all types</v>
          </cell>
        </row>
        <row r="14">
          <cell r="B14" t="str">
            <v>Boat Folding eqpt all types</v>
          </cell>
        </row>
        <row r="15">
          <cell r="B15" t="str">
            <v>Boat Inflatable</v>
          </cell>
        </row>
        <row r="16">
          <cell r="B16" t="str">
            <v>Boat Recce 3 Men 2A</v>
          </cell>
        </row>
        <row r="17">
          <cell r="B17" t="str">
            <v>Bridge AM-50</v>
          </cell>
        </row>
        <row r="18">
          <cell r="B18" t="str">
            <v>Camo flat eqpt MK I</v>
          </cell>
        </row>
        <row r="19">
          <cell r="B19" t="str">
            <v>CET</v>
          </cell>
        </row>
        <row r="20">
          <cell r="B20" t="str">
            <v>Chain Saw all types</v>
          </cell>
        </row>
        <row r="21">
          <cell r="B21" t="str">
            <v>Cleaner &amp; Tester Sparking Plug</v>
          </cell>
        </row>
        <row r="22">
          <cell r="B22" t="str">
            <v>Concrete Breaker</v>
          </cell>
        </row>
        <row r="23">
          <cell r="B23" t="str">
            <v>Cr Tr Size-II D-50 A-15</v>
          </cell>
        </row>
        <row r="24">
          <cell r="B24" t="str">
            <v>Cr Tr Size-II D-80 A-12/A-8</v>
          </cell>
        </row>
        <row r="25">
          <cell r="B25" t="str">
            <v>Drill eqpt port hy duty</v>
          </cell>
        </row>
        <row r="26">
          <cell r="B26" t="str">
            <v>Drive Flexible 17 mm 68</v>
          </cell>
        </row>
        <row r="27">
          <cell r="B27" t="str">
            <v>Drive Flexible 17.5  mm 16</v>
          </cell>
        </row>
        <row r="28">
          <cell r="B28" t="str">
            <v>Drive Flexible 17.5 mm 24</v>
          </cell>
        </row>
        <row r="29">
          <cell r="B29" t="str">
            <v>Drive Flexible 22 mm 04</v>
          </cell>
        </row>
        <row r="30">
          <cell r="B30" t="str">
            <v>Drive Flexible 22mm 08</v>
          </cell>
        </row>
        <row r="31">
          <cell r="B31" t="str">
            <v>Electronic Stethoscope</v>
          </cell>
        </row>
        <row r="32">
          <cell r="B32" t="str">
            <v>Erection Boat Bridge</v>
          </cell>
        </row>
        <row r="33">
          <cell r="B33" t="str">
            <v>Excavator LoaderTATA (JCB)</v>
          </cell>
        </row>
        <row r="34">
          <cell r="B34" t="str">
            <v xml:space="preserve">Fork Lifter </v>
          </cell>
        </row>
        <row r="35">
          <cell r="B35" t="str">
            <v>Hammer drill pneumatic</v>
          </cell>
        </row>
        <row r="36">
          <cell r="B36" t="str">
            <v>Hydrema 910 MCV-2</v>
          </cell>
        </row>
        <row r="37">
          <cell r="B37" t="str">
            <v xml:space="preserve">India sarvatra </v>
          </cell>
        </row>
        <row r="38">
          <cell r="B38" t="str">
            <v>Jumbo Deisel</v>
          </cell>
        </row>
        <row r="39">
          <cell r="B39" t="str">
            <v>KM Briding Eqpt KM Float</v>
          </cell>
        </row>
        <row r="40">
          <cell r="B40" t="str">
            <v>KM Briding Filling unit</v>
          </cell>
        </row>
        <row r="41">
          <cell r="B41" t="str">
            <v>Lathe Machine 7 " dia Constr SS &amp; SC Duty 36</v>
          </cell>
        </row>
        <row r="42">
          <cell r="B42" t="str">
            <v>Lubricating Unit</v>
          </cell>
        </row>
        <row r="43">
          <cell r="B43" t="str">
            <v>Machine Drilling Portable all types</v>
          </cell>
        </row>
        <row r="44">
          <cell r="B44" t="str">
            <v>Mech mine layer</v>
          </cell>
        </row>
        <row r="45">
          <cell r="B45" t="str">
            <v>Mechanical Mine Layer all types</v>
          </cell>
        </row>
        <row r="46">
          <cell r="B46" t="str">
            <v>Motor Grader GD 605 R2 (BEML)</v>
          </cell>
        </row>
        <row r="47">
          <cell r="B47" t="str">
            <v>MTL BMK-130</v>
          </cell>
        </row>
        <row r="48">
          <cell r="B48" t="str">
            <v>MTL-634 (with Tlr/SP-5)</v>
          </cell>
        </row>
        <row r="49">
          <cell r="B49" t="str">
            <v>OBM all types</v>
          </cell>
        </row>
        <row r="50">
          <cell r="B50" t="str">
            <v>Pinjor Rock Drill All type</v>
          </cell>
        </row>
        <row r="51">
          <cell r="B51" t="str">
            <v>Plant Electric Welding</v>
          </cell>
        </row>
        <row r="52">
          <cell r="B52" t="str">
            <v>Plant Washing all types</v>
          </cell>
        </row>
        <row r="53">
          <cell r="B53" t="str">
            <v>Plant Welding all types</v>
          </cell>
        </row>
        <row r="54">
          <cell r="B54" t="str">
            <v>PMP Br System (1.5 Set)</v>
          </cell>
        </row>
        <row r="55">
          <cell r="B55" t="str">
            <v>PMS Bridging System (1.5 Set)</v>
          </cell>
        </row>
        <row r="56">
          <cell r="B56" t="str">
            <v>Prodder mine</v>
          </cell>
        </row>
        <row r="57">
          <cell r="B57" t="str">
            <v>Pump Water Centrifugal</v>
          </cell>
        </row>
        <row r="58">
          <cell r="B58" t="str">
            <v>Pumping set all type</v>
          </cell>
        </row>
        <row r="59">
          <cell r="B59" t="str">
            <v>Pumping Set No 4</v>
          </cell>
        </row>
        <row r="60">
          <cell r="B60" t="str">
            <v>Pumping Set No 5</v>
          </cell>
        </row>
        <row r="61">
          <cell r="B61" t="str">
            <v>Skid steer loader</v>
          </cell>
        </row>
        <row r="62">
          <cell r="B62" t="str">
            <v xml:space="preserve">Spray Trolley / Plant all types </v>
          </cell>
        </row>
        <row r="63">
          <cell r="B63" t="str">
            <v>Static Plants</v>
          </cell>
        </row>
        <row r="64">
          <cell r="B64" t="str">
            <v>Sudan pump</v>
          </cell>
        </row>
        <row r="65">
          <cell r="B65" t="str">
            <v>Tlr 50 Ton BEML</v>
          </cell>
        </row>
        <row r="66">
          <cell r="B66" t="str">
            <v>Tlr Fire pump all types</v>
          </cell>
        </row>
        <row r="67">
          <cell r="B67" t="str">
            <v>Tractor Agriculture</v>
          </cell>
        </row>
        <row r="68">
          <cell r="B68" t="str">
            <v>Trench Digger BTM</v>
          </cell>
        </row>
        <row r="69">
          <cell r="B69" t="str">
            <v>Washer motor hydro fork</v>
          </cell>
        </row>
        <row r="70">
          <cell r="B70" t="str">
            <v>Water Purification Plant</v>
          </cell>
        </row>
        <row r="71">
          <cell r="B71" t="str">
            <v>Wheel Dozer G 14 D1 / Road Roller</v>
          </cell>
        </row>
        <row r="72">
          <cell r="B72" t="str">
            <v>Wksp Servicing Plant</v>
          </cell>
        </row>
      </sheetData>
      <sheetData sheetId="9">
        <row r="7">
          <cell r="B7" t="str">
            <v>Chg Set ED 150 W</v>
          </cell>
        </row>
      </sheetData>
      <sheetData sheetId="10">
        <row r="7">
          <cell r="B7" t="str">
            <v>HHTI (Elop)</v>
          </cell>
        </row>
      </sheetData>
      <sheetData sheetId="11">
        <row r="7">
          <cell r="B7" t="str">
            <v>RS VA/VB/VC MK-II</v>
          </cell>
        </row>
      </sheetData>
      <sheetData sheetId="12">
        <row r="7">
          <cell r="B7" t="str">
            <v>Rif 5.56mm INSAS</v>
          </cell>
        </row>
      </sheetData>
      <sheetData sheetId="13">
        <row r="6">
          <cell r="B6" t="str">
            <v>125mm SBG (T-72)</v>
          </cell>
        </row>
      </sheetData>
      <sheetData sheetId="14">
        <row r="3461">
          <cell r="O3461" t="str">
            <v>I</v>
          </cell>
        </row>
      </sheetData>
      <sheetData sheetId="15"/>
      <sheetData sheetId="16"/>
      <sheetData sheetId="17"/>
      <sheetData sheetId="18"/>
      <sheetData sheetId="19"/>
      <sheetData sheetId="20"/>
      <sheetData sheetId="21">
        <row r="130">
          <cell r="B130" t="str">
            <v>Sml 2.5 Ton</v>
          </cell>
        </row>
      </sheetData>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externalLinkPath" Target="/Users/hclkemebr_4c/Desktop/FRS%20Oct%202025,,,,.xlsx" TargetMode="External"/><Relationship Id="rId7" Type="http://schemas.openxmlformats.org/officeDocument/2006/relationships/externalLinkPath" Target="/Users/hclkemebr_4c/Desktop/FRS%20Oct%202025,,,,.xlsx" TargetMode="External"/><Relationship Id="rId2" Type="http://schemas.openxmlformats.org/officeDocument/2006/relationships/externalLinkPath" Target="/Users/hclkemebr_4c/Desktop/FRS%20Oct%202025,,,,.xlsx" TargetMode="External"/><Relationship Id="rId1" Type="http://schemas.openxmlformats.org/officeDocument/2006/relationships/externalLinkPath" Target="/Users/hclkemebr_4c/Desktop/FRS%20Oct%202025,,,,.xlsx" TargetMode="External"/><Relationship Id="rId6" Type="http://schemas.openxmlformats.org/officeDocument/2006/relationships/externalLinkPath" Target="/Users/hclkemebr_4c/Desktop/FRS%20Oct%202025,,,,.xlsx" TargetMode="External"/><Relationship Id="rId5" Type="http://schemas.openxmlformats.org/officeDocument/2006/relationships/externalLinkPath" Target="/Users/hclkemebr_4c/Desktop/FRS%20Oct%202025,,,,.xlsx" TargetMode="External"/><Relationship Id="rId4" Type="http://schemas.openxmlformats.org/officeDocument/2006/relationships/externalLinkPath" Target="/Users/hclkemebr_4c/Desktop/FRS%20Oct%202025,,,,.xlsx"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externalLinkPath" Target="/Users/hclkemebr_4c/Desktop/FRS%20Oct%202025,,,,.xlsx" TargetMode="External"/><Relationship Id="rId7" Type="http://schemas.openxmlformats.org/officeDocument/2006/relationships/externalLinkPath" Target="/Users/hclkemebr_4c/Desktop/FRS%20Oct%202025,,,,.xlsx" TargetMode="External"/><Relationship Id="rId2" Type="http://schemas.openxmlformats.org/officeDocument/2006/relationships/externalLinkPath" Target="/Users/hclkemebr_4c/Desktop/FRS%20Oct%202025,,,,.xlsx" TargetMode="External"/><Relationship Id="rId1" Type="http://schemas.openxmlformats.org/officeDocument/2006/relationships/externalLinkPath" Target="/Users/hclkemebr_4c/Desktop/FRS%20Oct%202025,,,,.xlsx" TargetMode="External"/><Relationship Id="rId6" Type="http://schemas.openxmlformats.org/officeDocument/2006/relationships/externalLinkPath" Target="/Users/hclkemebr_4c/Desktop/FRS%20Oct%202025,,,,.xlsx" TargetMode="External"/><Relationship Id="rId5" Type="http://schemas.openxmlformats.org/officeDocument/2006/relationships/externalLinkPath" Target="/Users/hclkemebr_4c/Desktop/FRS%20Oct%202025,,,,.xlsx" TargetMode="External"/><Relationship Id="rId4" Type="http://schemas.openxmlformats.org/officeDocument/2006/relationships/externalLinkPath" Target="/Users/hclkemebr_4c/Desktop/FRS%20Oct%202025,,,,.xlsx" TargetMode="External"/></Relationships>
</file>

<file path=xl/worksheets/_rels/sheet3.xml.rels><?xml version="1.0" encoding="UTF-8" standalone="yes"?>
<Relationships xmlns="http://schemas.openxmlformats.org/package/2006/relationships"><Relationship Id="rId3" Type="http://schemas.openxmlformats.org/officeDocument/2006/relationships/externalLinkPath" Target="/Users/HCLKEM~1/AppData/Local/Temp/Rar$DIa10660.26290/Armt.xlsx" TargetMode="External"/><Relationship Id="rId2" Type="http://schemas.openxmlformats.org/officeDocument/2006/relationships/externalLinkPath" Target="/Users/HCLKEM~1/AppData/Local/Temp/Rar$DIa10660.26290/Armt.xlsx" TargetMode="External"/><Relationship Id="rId1" Type="http://schemas.openxmlformats.org/officeDocument/2006/relationships/externalLinkPath" Target="/Users/HCLKEM~1/AppData/Local/Temp/Rar$DIa10660.26290/Armt.xlsx"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externalLinkPath" Target="/Users/HCLKEM~1/AppData/Local/Temp/Rar$DIa10660.23135/SA.xlsx" TargetMode="External"/><Relationship Id="rId7" Type="http://schemas.openxmlformats.org/officeDocument/2006/relationships/externalLinkPath" Target="/Users/HCLKEM~1/AppData/Local/Temp/Rar$DIa10660.23135/SA.xlsx" TargetMode="External"/><Relationship Id="rId2" Type="http://schemas.openxmlformats.org/officeDocument/2006/relationships/externalLinkPath" Target="/Users/HCLKEM~1/AppData/Local/Temp/Rar$DIa10660.23135/SA.xlsx" TargetMode="External"/><Relationship Id="rId1" Type="http://schemas.openxmlformats.org/officeDocument/2006/relationships/externalLinkPath" Target="/Users/HCLKEM~1/AppData/Local/Temp/Rar$DIa10660.23135/SA.xlsx" TargetMode="External"/><Relationship Id="rId6" Type="http://schemas.openxmlformats.org/officeDocument/2006/relationships/externalLinkPath" Target="/Users/HCLKEM~1/AppData/Local/Temp/Rar$DIa10660.23135/SA.xlsx" TargetMode="External"/><Relationship Id="rId5" Type="http://schemas.openxmlformats.org/officeDocument/2006/relationships/externalLinkPath" Target="/Users/HCLKEM~1/AppData/Local/Temp/Rar$DIa10660.23135/SA.xlsx" TargetMode="External"/><Relationship Id="rId4" Type="http://schemas.openxmlformats.org/officeDocument/2006/relationships/externalLinkPath" Target="/Users/HCLKEM~1/AppData/Local/Temp/Rar$DIa10660.23135/SA.xlsx"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1DA70-3DFA-49A6-83BD-E7DAE6983744}">
  <dimension ref="A1:J137"/>
  <sheetViews>
    <sheetView view="pageBreakPreview" zoomScale="115" zoomScaleNormal="100" zoomScaleSheetLayoutView="115" workbookViewId="0">
      <pane ySplit="4" topLeftCell="A104" activePane="bottomLeft" state="frozen"/>
      <selection pane="bottomLeft" activeCell="J104" sqref="J104"/>
    </sheetView>
  </sheetViews>
  <sheetFormatPr defaultColWidth="9.109375" defaultRowHeight="15" x14ac:dyDescent="0.25"/>
  <cols>
    <col min="1" max="1" width="10.109375" style="1" bestFit="1" customWidth="1"/>
    <col min="2" max="2" width="48.5546875" style="146" customWidth="1"/>
    <col min="3" max="3" width="8" style="1" customWidth="1"/>
    <col min="4" max="4" width="8.33203125" style="1" customWidth="1"/>
    <col min="5" max="5" width="7.6640625" style="1" bestFit="1" customWidth="1"/>
    <col min="6" max="6" width="7" style="1" bestFit="1" customWidth="1"/>
    <col min="7" max="7" width="5.5546875" style="1" bestFit="1" customWidth="1"/>
    <col min="8" max="9" width="7.5546875" style="1" customWidth="1"/>
    <col min="10" max="10" width="67.6640625" style="2" customWidth="1"/>
    <col min="11" max="16384" width="9.109375" style="1"/>
  </cols>
  <sheetData>
    <row r="1" spans="1:10" ht="21" customHeight="1" x14ac:dyDescent="0.3">
      <c r="A1" s="165" t="s">
        <v>115</v>
      </c>
      <c r="B1" s="165"/>
      <c r="C1" s="165"/>
      <c r="D1" s="165"/>
      <c r="E1" s="165"/>
      <c r="F1" s="165"/>
      <c r="G1" s="165"/>
      <c r="H1" s="165"/>
      <c r="I1" s="165"/>
      <c r="J1" s="165"/>
    </row>
    <row r="2" spans="1:10" ht="21" customHeight="1" x14ac:dyDescent="0.3">
      <c r="A2" s="166" t="s">
        <v>34</v>
      </c>
      <c r="B2" s="62" t="s">
        <v>63</v>
      </c>
      <c r="C2" s="167" t="s">
        <v>33</v>
      </c>
      <c r="D2" s="167"/>
      <c r="E2" s="166" t="s">
        <v>32</v>
      </c>
      <c r="F2" s="166"/>
      <c r="G2" s="166"/>
      <c r="H2" s="166"/>
      <c r="I2" s="166" t="s">
        <v>31</v>
      </c>
      <c r="J2" s="168" t="s">
        <v>30</v>
      </c>
    </row>
    <row r="3" spans="1:10" ht="30.75" customHeight="1" x14ac:dyDescent="0.3">
      <c r="A3" s="166"/>
      <c r="B3" s="142"/>
      <c r="C3" s="25" t="s">
        <v>29</v>
      </c>
      <c r="D3" s="25" t="s">
        <v>28</v>
      </c>
      <c r="E3" s="24" t="s">
        <v>27</v>
      </c>
      <c r="F3" s="24" t="s">
        <v>26</v>
      </c>
      <c r="G3" s="24" t="s">
        <v>25</v>
      </c>
      <c r="H3" s="23" t="s">
        <v>24</v>
      </c>
      <c r="I3" s="166"/>
      <c r="J3" s="168"/>
    </row>
    <row r="4" spans="1:10" s="22" customFormat="1" ht="21" customHeight="1" x14ac:dyDescent="0.3">
      <c r="A4" s="24" t="s">
        <v>23</v>
      </c>
      <c r="B4" s="38" t="s">
        <v>22</v>
      </c>
      <c r="C4" s="24" t="s">
        <v>21</v>
      </c>
      <c r="D4" s="24" t="s">
        <v>20</v>
      </c>
      <c r="E4" s="24" t="s">
        <v>19</v>
      </c>
      <c r="F4" s="24" t="s">
        <v>18</v>
      </c>
      <c r="G4" s="24" t="s">
        <v>17</v>
      </c>
      <c r="H4" s="24" t="s">
        <v>16</v>
      </c>
      <c r="I4" s="24" t="s">
        <v>15</v>
      </c>
      <c r="J4" s="23" t="s">
        <v>14</v>
      </c>
    </row>
    <row r="5" spans="1:10" s="3" customFormat="1" ht="21" customHeight="1" x14ac:dyDescent="0.3">
      <c r="A5" s="163" t="s">
        <v>13</v>
      </c>
      <c r="B5" s="163"/>
      <c r="C5" s="12"/>
      <c r="D5" s="12"/>
      <c r="E5" s="12"/>
      <c r="F5" s="12"/>
      <c r="G5" s="12"/>
      <c r="H5" s="12"/>
      <c r="I5" s="12"/>
      <c r="J5" s="21"/>
    </row>
    <row r="6" spans="1:10" s="3" customFormat="1" ht="15" customHeight="1" x14ac:dyDescent="0.3">
      <c r="A6" s="8">
        <v>1</v>
      </c>
      <c r="B6" s="61" t="s">
        <v>127</v>
      </c>
      <c r="C6" s="13">
        <v>1387</v>
      </c>
      <c r="D6" s="6">
        <v>861</v>
      </c>
      <c r="E6" s="6">
        <v>3</v>
      </c>
      <c r="F6" s="6">
        <v>0</v>
      </c>
      <c r="G6" s="6">
        <v>11</v>
      </c>
      <c r="H6" s="6">
        <f t="shared" ref="H6:H15" si="0">E6+F6+G6</f>
        <v>14</v>
      </c>
      <c r="I6" s="5">
        <f t="shared" ref="I6:I15" si="1">D6-H6</f>
        <v>847</v>
      </c>
      <c r="J6" s="17" t="s">
        <v>118</v>
      </c>
    </row>
    <row r="7" spans="1:10" s="3" customFormat="1" ht="124.2" x14ac:dyDescent="0.3">
      <c r="A7" s="8">
        <v>2</v>
      </c>
      <c r="B7" s="61" t="s">
        <v>128</v>
      </c>
      <c r="C7" s="13">
        <v>1898</v>
      </c>
      <c r="D7" s="6">
        <v>1378</v>
      </c>
      <c r="E7" s="6">
        <v>5</v>
      </c>
      <c r="F7" s="6">
        <v>0</v>
      </c>
      <c r="G7" s="6">
        <v>15</v>
      </c>
      <c r="H7" s="6">
        <f t="shared" si="0"/>
        <v>20</v>
      </c>
      <c r="I7" s="5">
        <f t="shared" si="1"/>
        <v>1358</v>
      </c>
      <c r="J7" s="17" t="s">
        <v>252</v>
      </c>
    </row>
    <row r="8" spans="1:10" s="3" customFormat="1" ht="124.2" x14ac:dyDescent="0.3">
      <c r="A8" s="8">
        <v>3</v>
      </c>
      <c r="B8" s="61" t="s">
        <v>129</v>
      </c>
      <c r="C8" s="13">
        <v>2136</v>
      </c>
      <c r="D8" s="6">
        <v>1638</v>
      </c>
      <c r="E8" s="6">
        <v>3</v>
      </c>
      <c r="F8" s="6">
        <v>0</v>
      </c>
      <c r="G8" s="6">
        <v>19</v>
      </c>
      <c r="H8" s="6">
        <f t="shared" si="0"/>
        <v>22</v>
      </c>
      <c r="I8" s="5">
        <f t="shared" si="1"/>
        <v>1616</v>
      </c>
      <c r="J8" s="17" t="s">
        <v>253</v>
      </c>
    </row>
    <row r="9" spans="1:10" s="3" customFormat="1" x14ac:dyDescent="0.3">
      <c r="A9" s="8">
        <v>4</v>
      </c>
      <c r="B9" s="61" t="s">
        <v>130</v>
      </c>
      <c r="C9" s="13">
        <v>18</v>
      </c>
      <c r="D9" s="6">
        <v>22</v>
      </c>
      <c r="E9" s="6">
        <v>0</v>
      </c>
      <c r="F9" s="6">
        <v>0</v>
      </c>
      <c r="G9" s="6">
        <v>3</v>
      </c>
      <c r="H9" s="6">
        <f t="shared" si="0"/>
        <v>3</v>
      </c>
      <c r="I9" s="5">
        <f t="shared" si="1"/>
        <v>19</v>
      </c>
      <c r="J9" s="4" t="s">
        <v>12</v>
      </c>
    </row>
    <row r="10" spans="1:10" s="3" customFormat="1" ht="27.75" customHeight="1" x14ac:dyDescent="0.3">
      <c r="A10" s="8">
        <v>5</v>
      </c>
      <c r="B10" s="61" t="s">
        <v>131</v>
      </c>
      <c r="C10" s="13">
        <v>0</v>
      </c>
      <c r="D10" s="6">
        <v>0</v>
      </c>
      <c r="E10" s="6">
        <v>0</v>
      </c>
      <c r="F10" s="6">
        <v>0</v>
      </c>
      <c r="G10" s="6">
        <v>0</v>
      </c>
      <c r="H10" s="6">
        <f t="shared" si="0"/>
        <v>0</v>
      </c>
      <c r="I10" s="5">
        <f t="shared" si="1"/>
        <v>0</v>
      </c>
      <c r="J10" s="4"/>
    </row>
    <row r="11" spans="1:10" s="3" customFormat="1" ht="27.75" customHeight="1" x14ac:dyDescent="0.3">
      <c r="A11" s="8">
        <v>6</v>
      </c>
      <c r="B11" s="61" t="s">
        <v>132</v>
      </c>
      <c r="C11" s="13">
        <v>0</v>
      </c>
      <c r="D11" s="6">
        <v>0</v>
      </c>
      <c r="E11" s="6">
        <v>0</v>
      </c>
      <c r="F11" s="6">
        <v>0</v>
      </c>
      <c r="G11" s="6">
        <v>0</v>
      </c>
      <c r="H11" s="6">
        <f t="shared" si="0"/>
        <v>0</v>
      </c>
      <c r="I11" s="5">
        <f t="shared" si="1"/>
        <v>0</v>
      </c>
      <c r="J11" s="4"/>
    </row>
    <row r="12" spans="1:10" s="3" customFormat="1" ht="27.75" customHeight="1" x14ac:dyDescent="0.3">
      <c r="A12" s="8">
        <v>7</v>
      </c>
      <c r="B12" s="61" t="s">
        <v>133</v>
      </c>
      <c r="C12" s="13">
        <v>0</v>
      </c>
      <c r="D12" s="6">
        <v>0</v>
      </c>
      <c r="E12" s="6">
        <v>0</v>
      </c>
      <c r="F12" s="6">
        <v>0</v>
      </c>
      <c r="G12" s="6">
        <v>0</v>
      </c>
      <c r="H12" s="6">
        <f t="shared" si="0"/>
        <v>0</v>
      </c>
      <c r="I12" s="5">
        <f t="shared" si="1"/>
        <v>0</v>
      </c>
      <c r="J12" s="4"/>
    </row>
    <row r="13" spans="1:10" s="3" customFormat="1" ht="27.75" customHeight="1" x14ac:dyDescent="0.3">
      <c r="A13" s="8">
        <v>8</v>
      </c>
      <c r="B13" s="61" t="s">
        <v>134</v>
      </c>
      <c r="C13" s="13">
        <v>4</v>
      </c>
      <c r="D13" s="6">
        <v>4</v>
      </c>
      <c r="E13" s="6">
        <v>0</v>
      </c>
      <c r="F13" s="6">
        <v>0</v>
      </c>
      <c r="G13" s="6">
        <v>0</v>
      </c>
      <c r="H13" s="6">
        <f t="shared" si="0"/>
        <v>0</v>
      </c>
      <c r="I13" s="5">
        <f t="shared" si="1"/>
        <v>4</v>
      </c>
      <c r="J13" s="4"/>
    </row>
    <row r="14" spans="1:10" s="3" customFormat="1" ht="27.75" customHeight="1" x14ac:dyDescent="0.3">
      <c r="A14" s="8">
        <v>9</v>
      </c>
      <c r="B14" s="61" t="s">
        <v>135</v>
      </c>
      <c r="C14" s="13">
        <v>18</v>
      </c>
      <c r="D14" s="6">
        <v>17</v>
      </c>
      <c r="E14" s="6">
        <v>0</v>
      </c>
      <c r="F14" s="6">
        <v>0</v>
      </c>
      <c r="G14" s="6">
        <v>0</v>
      </c>
      <c r="H14" s="6">
        <f t="shared" si="0"/>
        <v>0</v>
      </c>
      <c r="I14" s="5">
        <f t="shared" si="1"/>
        <v>17</v>
      </c>
      <c r="J14" s="4"/>
    </row>
    <row r="15" spans="1:10" ht="255" x14ac:dyDescent="0.3">
      <c r="A15" s="8">
        <v>10</v>
      </c>
      <c r="B15" s="61" t="s">
        <v>136</v>
      </c>
      <c r="C15" s="7">
        <v>0</v>
      </c>
      <c r="D15" s="10">
        <v>28</v>
      </c>
      <c r="E15" s="10">
        <v>0</v>
      </c>
      <c r="F15" s="10">
        <v>0</v>
      </c>
      <c r="G15" s="10">
        <v>6</v>
      </c>
      <c r="H15" s="6">
        <f t="shared" si="0"/>
        <v>6</v>
      </c>
      <c r="I15" s="5">
        <f t="shared" si="1"/>
        <v>22</v>
      </c>
      <c r="J15" s="60" t="s">
        <v>254</v>
      </c>
    </row>
    <row r="16" spans="1:10" s="3" customFormat="1" ht="28.5" customHeight="1" x14ac:dyDescent="0.3">
      <c r="A16" s="162" t="s">
        <v>11</v>
      </c>
      <c r="B16" s="162"/>
      <c r="C16" s="12"/>
      <c r="D16" s="12"/>
      <c r="E16" s="12"/>
      <c r="F16" s="12"/>
      <c r="G16" s="12"/>
      <c r="H16" s="6"/>
      <c r="I16" s="5"/>
      <c r="J16" s="4"/>
    </row>
    <row r="17" spans="1:10" s="3" customFormat="1" ht="21" customHeight="1" x14ac:dyDescent="0.3">
      <c r="A17" s="14">
        <v>11</v>
      </c>
      <c r="B17" s="143" t="s">
        <v>137</v>
      </c>
      <c r="C17" s="13">
        <v>0</v>
      </c>
      <c r="D17" s="6">
        <v>0</v>
      </c>
      <c r="E17" s="6">
        <v>0</v>
      </c>
      <c r="F17" s="6">
        <v>0</v>
      </c>
      <c r="G17" s="6">
        <v>0</v>
      </c>
      <c r="H17" s="6">
        <f t="shared" ref="H17:H60" si="2">E17+F17+G17</f>
        <v>0</v>
      </c>
      <c r="I17" s="5">
        <f t="shared" ref="I17:I60" si="3">D17-H17</f>
        <v>0</v>
      </c>
      <c r="J17" s="4"/>
    </row>
    <row r="18" spans="1:10" s="3" customFormat="1" ht="21" customHeight="1" x14ac:dyDescent="0.3">
      <c r="A18" s="14">
        <v>12</v>
      </c>
      <c r="B18" s="143" t="s">
        <v>138</v>
      </c>
      <c r="C18" s="13">
        <v>0</v>
      </c>
      <c r="D18" s="6">
        <v>0</v>
      </c>
      <c r="E18" s="6">
        <v>0</v>
      </c>
      <c r="F18" s="6">
        <v>0</v>
      </c>
      <c r="G18" s="6">
        <v>0</v>
      </c>
      <c r="H18" s="6">
        <f t="shared" si="2"/>
        <v>0</v>
      </c>
      <c r="I18" s="5">
        <f t="shared" si="3"/>
        <v>0</v>
      </c>
      <c r="J18" s="4"/>
    </row>
    <row r="19" spans="1:10" s="3" customFormat="1" ht="21" customHeight="1" x14ac:dyDescent="0.3">
      <c r="A19" s="14">
        <v>13</v>
      </c>
      <c r="B19" s="143" t="s">
        <v>139</v>
      </c>
      <c r="C19" s="13">
        <v>0</v>
      </c>
      <c r="D19" s="6">
        <v>0</v>
      </c>
      <c r="E19" s="6">
        <v>0</v>
      </c>
      <c r="F19" s="6">
        <v>0</v>
      </c>
      <c r="G19" s="6">
        <v>0</v>
      </c>
      <c r="H19" s="6">
        <f t="shared" si="2"/>
        <v>0</v>
      </c>
      <c r="I19" s="5">
        <f t="shared" si="3"/>
        <v>0</v>
      </c>
      <c r="J19" s="4"/>
    </row>
    <row r="20" spans="1:10" s="3" customFormat="1" ht="21" customHeight="1" x14ac:dyDescent="0.3">
      <c r="A20" s="14">
        <v>14</v>
      </c>
      <c r="B20" s="143" t="s">
        <v>140</v>
      </c>
      <c r="C20" s="13">
        <v>0</v>
      </c>
      <c r="D20" s="6">
        <v>0</v>
      </c>
      <c r="E20" s="6">
        <v>0</v>
      </c>
      <c r="F20" s="6">
        <v>0</v>
      </c>
      <c r="G20" s="6">
        <v>0</v>
      </c>
      <c r="H20" s="6">
        <f t="shared" si="2"/>
        <v>0</v>
      </c>
      <c r="I20" s="5">
        <f t="shared" si="3"/>
        <v>0</v>
      </c>
      <c r="J20" s="4"/>
    </row>
    <row r="21" spans="1:10" s="3" customFormat="1" ht="21" customHeight="1" x14ac:dyDescent="0.3">
      <c r="A21" s="14">
        <v>15</v>
      </c>
      <c r="B21" s="143" t="s">
        <v>141</v>
      </c>
      <c r="C21" s="13">
        <v>0</v>
      </c>
      <c r="D21" s="6">
        <v>0</v>
      </c>
      <c r="E21" s="6">
        <v>0</v>
      </c>
      <c r="F21" s="6">
        <v>0</v>
      </c>
      <c r="G21" s="6">
        <v>0</v>
      </c>
      <c r="H21" s="6">
        <f t="shared" si="2"/>
        <v>0</v>
      </c>
      <c r="I21" s="5">
        <f t="shared" si="3"/>
        <v>0</v>
      </c>
      <c r="J21" s="4"/>
    </row>
    <row r="22" spans="1:10" s="3" customFormat="1" ht="21" customHeight="1" x14ac:dyDescent="0.3">
      <c r="A22" s="14">
        <v>16</v>
      </c>
      <c r="B22" s="143" t="s">
        <v>142</v>
      </c>
      <c r="C22" s="13">
        <v>0</v>
      </c>
      <c r="D22" s="6">
        <v>0</v>
      </c>
      <c r="E22" s="6">
        <v>0</v>
      </c>
      <c r="F22" s="6">
        <v>0</v>
      </c>
      <c r="G22" s="6">
        <v>0</v>
      </c>
      <c r="H22" s="6">
        <f t="shared" si="2"/>
        <v>0</v>
      </c>
      <c r="I22" s="5">
        <f t="shared" si="3"/>
        <v>0</v>
      </c>
      <c r="J22" s="4"/>
    </row>
    <row r="23" spans="1:10" s="3" customFormat="1" ht="45" x14ac:dyDescent="0.3">
      <c r="A23" s="14">
        <v>17</v>
      </c>
      <c r="B23" s="143" t="s">
        <v>143</v>
      </c>
      <c r="C23" s="13">
        <v>90</v>
      </c>
      <c r="D23" s="6">
        <v>84</v>
      </c>
      <c r="E23" s="6">
        <v>0</v>
      </c>
      <c r="F23" s="6">
        <v>3</v>
      </c>
      <c r="G23" s="6">
        <v>5</v>
      </c>
      <c r="H23" s="6">
        <f t="shared" si="2"/>
        <v>8</v>
      </c>
      <c r="I23" s="5">
        <f t="shared" si="3"/>
        <v>76</v>
      </c>
      <c r="J23" s="60" t="s">
        <v>255</v>
      </c>
    </row>
    <row r="24" spans="1:10" s="3" customFormat="1" ht="21" customHeight="1" x14ac:dyDescent="0.3">
      <c r="A24" s="14">
        <v>18</v>
      </c>
      <c r="B24" s="143" t="s">
        <v>144</v>
      </c>
      <c r="C24" s="13">
        <v>0</v>
      </c>
      <c r="D24" s="6">
        <v>0</v>
      </c>
      <c r="E24" s="6">
        <v>0</v>
      </c>
      <c r="F24" s="6">
        <v>0</v>
      </c>
      <c r="G24" s="6">
        <v>0</v>
      </c>
      <c r="H24" s="6">
        <f t="shared" si="2"/>
        <v>0</v>
      </c>
      <c r="I24" s="5">
        <f t="shared" si="3"/>
        <v>0</v>
      </c>
      <c r="J24" s="4"/>
    </row>
    <row r="25" spans="1:10" s="3" customFormat="1" ht="21" customHeight="1" x14ac:dyDescent="0.3">
      <c r="A25" s="14">
        <v>19</v>
      </c>
      <c r="B25" s="143" t="s">
        <v>145</v>
      </c>
      <c r="C25" s="13">
        <v>0</v>
      </c>
      <c r="D25" s="6">
        <v>0</v>
      </c>
      <c r="E25" s="6">
        <v>0</v>
      </c>
      <c r="F25" s="6">
        <v>0</v>
      </c>
      <c r="G25" s="6">
        <v>0</v>
      </c>
      <c r="H25" s="6">
        <f t="shared" si="2"/>
        <v>0</v>
      </c>
      <c r="I25" s="5">
        <f t="shared" si="3"/>
        <v>0</v>
      </c>
      <c r="J25" s="4"/>
    </row>
    <row r="26" spans="1:10" s="3" customFormat="1" ht="21" customHeight="1" x14ac:dyDescent="0.3">
      <c r="A26" s="14">
        <v>20</v>
      </c>
      <c r="B26" s="143" t="s">
        <v>146</v>
      </c>
      <c r="C26" s="13">
        <v>0</v>
      </c>
      <c r="D26" s="6">
        <v>0</v>
      </c>
      <c r="E26" s="6">
        <v>0</v>
      </c>
      <c r="F26" s="6">
        <v>0</v>
      </c>
      <c r="G26" s="6">
        <v>0</v>
      </c>
      <c r="H26" s="6">
        <f t="shared" si="2"/>
        <v>0</v>
      </c>
      <c r="I26" s="5">
        <f t="shared" si="3"/>
        <v>0</v>
      </c>
      <c r="J26" s="4"/>
    </row>
    <row r="27" spans="1:10" s="3" customFormat="1" ht="30" x14ac:dyDescent="0.3">
      <c r="A27" s="14">
        <v>21</v>
      </c>
      <c r="B27" s="143" t="s">
        <v>147</v>
      </c>
      <c r="C27" s="13">
        <v>41</v>
      </c>
      <c r="D27" s="6">
        <v>25</v>
      </c>
      <c r="E27" s="6">
        <v>0</v>
      </c>
      <c r="F27" s="6">
        <v>1</v>
      </c>
      <c r="G27" s="6">
        <v>1</v>
      </c>
      <c r="H27" s="6">
        <f t="shared" si="2"/>
        <v>2</v>
      </c>
      <c r="I27" s="5">
        <f t="shared" si="3"/>
        <v>23</v>
      </c>
      <c r="J27" s="61" t="s">
        <v>256</v>
      </c>
    </row>
    <row r="28" spans="1:10" s="3" customFormat="1" ht="21" customHeight="1" x14ac:dyDescent="0.3">
      <c r="A28" s="14">
        <v>22</v>
      </c>
      <c r="B28" s="143" t="s">
        <v>148</v>
      </c>
      <c r="C28" s="13">
        <v>0</v>
      </c>
      <c r="D28" s="6">
        <v>0</v>
      </c>
      <c r="E28" s="6">
        <v>0</v>
      </c>
      <c r="F28" s="6">
        <v>0</v>
      </c>
      <c r="G28" s="6">
        <v>0</v>
      </c>
      <c r="H28" s="6">
        <f t="shared" si="2"/>
        <v>0</v>
      </c>
      <c r="I28" s="5">
        <f t="shared" si="3"/>
        <v>0</v>
      </c>
      <c r="J28" s="4"/>
    </row>
    <row r="29" spans="1:10" s="3" customFormat="1" ht="21" customHeight="1" x14ac:dyDescent="0.3">
      <c r="A29" s="14">
        <v>23</v>
      </c>
      <c r="B29" s="143" t="s">
        <v>149</v>
      </c>
      <c r="C29" s="13">
        <v>0</v>
      </c>
      <c r="D29" s="6">
        <v>0</v>
      </c>
      <c r="E29" s="6">
        <v>0</v>
      </c>
      <c r="F29" s="6">
        <v>0</v>
      </c>
      <c r="G29" s="6">
        <v>0</v>
      </c>
      <c r="H29" s="6">
        <f t="shared" si="2"/>
        <v>0</v>
      </c>
      <c r="I29" s="5">
        <f t="shared" si="3"/>
        <v>0</v>
      </c>
      <c r="J29" s="4"/>
    </row>
    <row r="30" spans="1:10" s="3" customFormat="1" ht="21" customHeight="1" x14ac:dyDescent="0.3">
      <c r="A30" s="14">
        <v>24</v>
      </c>
      <c r="B30" s="143" t="s">
        <v>150</v>
      </c>
      <c r="C30" s="13">
        <v>0</v>
      </c>
      <c r="D30" s="6">
        <v>0</v>
      </c>
      <c r="E30" s="6">
        <v>0</v>
      </c>
      <c r="F30" s="6">
        <v>0</v>
      </c>
      <c r="G30" s="6">
        <v>0</v>
      </c>
      <c r="H30" s="6">
        <f t="shared" si="2"/>
        <v>0</v>
      </c>
      <c r="I30" s="5">
        <f t="shared" si="3"/>
        <v>0</v>
      </c>
      <c r="J30" s="4"/>
    </row>
    <row r="31" spans="1:10" ht="21" customHeight="1" x14ac:dyDescent="0.3">
      <c r="A31" s="14">
        <v>25</v>
      </c>
      <c r="B31" s="143" t="s">
        <v>151</v>
      </c>
      <c r="C31" s="7">
        <v>2</v>
      </c>
      <c r="D31" s="6">
        <v>2</v>
      </c>
      <c r="E31" s="6">
        <v>0</v>
      </c>
      <c r="F31" s="6">
        <v>0</v>
      </c>
      <c r="G31" s="6">
        <v>0</v>
      </c>
      <c r="H31" s="6">
        <f t="shared" si="2"/>
        <v>0</v>
      </c>
      <c r="I31" s="5">
        <f t="shared" si="3"/>
        <v>2</v>
      </c>
      <c r="J31" s="4"/>
    </row>
    <row r="32" spans="1:10" s="3" customFormat="1" ht="21" customHeight="1" x14ac:dyDescent="0.3">
      <c r="A32" s="14">
        <v>26</v>
      </c>
      <c r="B32" s="143" t="s">
        <v>152</v>
      </c>
      <c r="C32" s="7">
        <v>0</v>
      </c>
      <c r="D32" s="6">
        <v>0</v>
      </c>
      <c r="E32" s="6">
        <v>0</v>
      </c>
      <c r="F32" s="6">
        <v>0</v>
      </c>
      <c r="G32" s="6">
        <v>0</v>
      </c>
      <c r="H32" s="6">
        <f t="shared" si="2"/>
        <v>0</v>
      </c>
      <c r="I32" s="5">
        <f t="shared" si="3"/>
        <v>0</v>
      </c>
      <c r="J32" s="4"/>
    </row>
    <row r="33" spans="1:10" s="3" customFormat="1" ht="21" customHeight="1" x14ac:dyDescent="0.3">
      <c r="A33" s="14">
        <v>27</v>
      </c>
      <c r="B33" s="143" t="s">
        <v>153</v>
      </c>
      <c r="C33" s="7">
        <v>0</v>
      </c>
      <c r="D33" s="6">
        <v>0</v>
      </c>
      <c r="E33" s="6">
        <v>0</v>
      </c>
      <c r="F33" s="6">
        <v>0</v>
      </c>
      <c r="G33" s="6">
        <v>0</v>
      </c>
      <c r="H33" s="6">
        <f t="shared" si="2"/>
        <v>0</v>
      </c>
      <c r="I33" s="5">
        <f t="shared" si="3"/>
        <v>0</v>
      </c>
      <c r="J33" s="4"/>
    </row>
    <row r="34" spans="1:10" s="3" customFormat="1" ht="21" customHeight="1" x14ac:dyDescent="0.3">
      <c r="A34" s="14">
        <v>28</v>
      </c>
      <c r="B34" s="143" t="s">
        <v>154</v>
      </c>
      <c r="C34" s="7">
        <v>0</v>
      </c>
      <c r="D34" s="6">
        <v>0</v>
      </c>
      <c r="E34" s="6">
        <v>0</v>
      </c>
      <c r="F34" s="6">
        <v>0</v>
      </c>
      <c r="G34" s="6">
        <v>0</v>
      </c>
      <c r="H34" s="6">
        <f t="shared" si="2"/>
        <v>0</v>
      </c>
      <c r="I34" s="5">
        <f t="shared" si="3"/>
        <v>0</v>
      </c>
      <c r="J34" s="4"/>
    </row>
    <row r="35" spans="1:10" s="3" customFormat="1" ht="21" customHeight="1" x14ac:dyDescent="0.3">
      <c r="A35" s="14">
        <v>29</v>
      </c>
      <c r="B35" s="143" t="s">
        <v>155</v>
      </c>
      <c r="C35" s="6">
        <v>0</v>
      </c>
      <c r="D35" s="6">
        <v>0</v>
      </c>
      <c r="E35" s="6">
        <v>0</v>
      </c>
      <c r="F35" s="6">
        <v>0</v>
      </c>
      <c r="G35" s="6">
        <v>0</v>
      </c>
      <c r="H35" s="6">
        <f t="shared" si="2"/>
        <v>0</v>
      </c>
      <c r="I35" s="5">
        <f t="shared" si="3"/>
        <v>0</v>
      </c>
      <c r="J35" s="4"/>
    </row>
    <row r="36" spans="1:10" s="3" customFormat="1" ht="15.6" x14ac:dyDescent="0.3">
      <c r="A36" s="14">
        <v>30</v>
      </c>
      <c r="B36" s="143" t="s">
        <v>156</v>
      </c>
      <c r="C36" s="6">
        <v>24</v>
      </c>
      <c r="D36" s="6">
        <v>16</v>
      </c>
      <c r="E36" s="6">
        <v>0</v>
      </c>
      <c r="F36" s="6">
        <v>0</v>
      </c>
      <c r="G36" s="6">
        <v>0</v>
      </c>
      <c r="H36" s="6">
        <f t="shared" si="2"/>
        <v>0</v>
      </c>
      <c r="I36" s="5">
        <f t="shared" si="3"/>
        <v>16</v>
      </c>
      <c r="J36" s="4"/>
    </row>
    <row r="37" spans="1:10" s="3" customFormat="1" ht="21" customHeight="1" x14ac:dyDescent="0.3">
      <c r="A37" s="14">
        <v>31</v>
      </c>
      <c r="B37" s="143" t="s">
        <v>157</v>
      </c>
      <c r="C37" s="13">
        <v>0</v>
      </c>
      <c r="D37" s="6">
        <v>0</v>
      </c>
      <c r="E37" s="6">
        <v>0</v>
      </c>
      <c r="F37" s="6">
        <v>0</v>
      </c>
      <c r="G37" s="6">
        <v>0</v>
      </c>
      <c r="H37" s="6">
        <f t="shared" si="2"/>
        <v>0</v>
      </c>
      <c r="I37" s="5">
        <f t="shared" si="3"/>
        <v>0</v>
      </c>
      <c r="J37" s="4"/>
    </row>
    <row r="38" spans="1:10" s="3" customFormat="1" ht="21" customHeight="1" x14ac:dyDescent="0.3">
      <c r="A38" s="14">
        <v>32</v>
      </c>
      <c r="B38" s="143" t="s">
        <v>158</v>
      </c>
      <c r="C38" s="13">
        <v>6</v>
      </c>
      <c r="D38" s="6">
        <v>5</v>
      </c>
      <c r="E38" s="6">
        <v>0</v>
      </c>
      <c r="F38" s="6">
        <v>0</v>
      </c>
      <c r="G38" s="6">
        <v>0</v>
      </c>
      <c r="H38" s="6">
        <f t="shared" si="2"/>
        <v>0</v>
      </c>
      <c r="I38" s="5">
        <f t="shared" si="3"/>
        <v>5</v>
      </c>
      <c r="J38" s="4"/>
    </row>
    <row r="39" spans="1:10" s="3" customFormat="1" ht="21" customHeight="1" x14ac:dyDescent="0.3">
      <c r="A39" s="14">
        <v>33</v>
      </c>
      <c r="B39" s="143" t="s">
        <v>159</v>
      </c>
      <c r="C39" s="6">
        <v>0</v>
      </c>
      <c r="D39" s="6">
        <v>0</v>
      </c>
      <c r="E39" s="6">
        <v>0</v>
      </c>
      <c r="F39" s="6">
        <v>0</v>
      </c>
      <c r="G39" s="6">
        <v>0</v>
      </c>
      <c r="H39" s="6">
        <f t="shared" si="2"/>
        <v>0</v>
      </c>
      <c r="I39" s="5">
        <f t="shared" si="3"/>
        <v>0</v>
      </c>
      <c r="J39" s="4"/>
    </row>
    <row r="40" spans="1:10" s="3" customFormat="1" ht="15.6" x14ac:dyDescent="0.3">
      <c r="A40" s="14">
        <v>34</v>
      </c>
      <c r="B40" s="143" t="s">
        <v>160</v>
      </c>
      <c r="C40" s="13">
        <v>12</v>
      </c>
      <c r="D40" s="6">
        <v>9</v>
      </c>
      <c r="E40" s="6">
        <v>0</v>
      </c>
      <c r="F40" s="6">
        <v>0</v>
      </c>
      <c r="G40" s="6">
        <v>0</v>
      </c>
      <c r="H40" s="6">
        <f t="shared" si="2"/>
        <v>0</v>
      </c>
      <c r="I40" s="5">
        <f t="shared" si="3"/>
        <v>9</v>
      </c>
      <c r="J40" s="20"/>
    </row>
    <row r="41" spans="1:10" s="3" customFormat="1" ht="21" customHeight="1" x14ac:dyDescent="0.3">
      <c r="A41" s="14">
        <v>35</v>
      </c>
      <c r="B41" s="143" t="s">
        <v>161</v>
      </c>
      <c r="C41" s="13">
        <v>0</v>
      </c>
      <c r="D41" s="6">
        <v>0</v>
      </c>
      <c r="E41" s="6">
        <v>0</v>
      </c>
      <c r="F41" s="6">
        <v>0</v>
      </c>
      <c r="G41" s="6">
        <v>0</v>
      </c>
      <c r="H41" s="6">
        <f t="shared" si="2"/>
        <v>0</v>
      </c>
      <c r="I41" s="5">
        <f t="shared" si="3"/>
        <v>0</v>
      </c>
      <c r="J41" s="4"/>
    </row>
    <row r="42" spans="1:10" s="3" customFormat="1" ht="21" customHeight="1" x14ac:dyDescent="0.3">
      <c r="A42" s="14">
        <v>36</v>
      </c>
      <c r="B42" s="143" t="s">
        <v>162</v>
      </c>
      <c r="C42" s="13">
        <v>0</v>
      </c>
      <c r="D42" s="6">
        <v>0</v>
      </c>
      <c r="E42" s="6">
        <v>0</v>
      </c>
      <c r="F42" s="6">
        <v>0</v>
      </c>
      <c r="G42" s="6">
        <v>0</v>
      </c>
      <c r="H42" s="6">
        <f t="shared" si="2"/>
        <v>0</v>
      </c>
      <c r="I42" s="5">
        <f t="shared" si="3"/>
        <v>0</v>
      </c>
      <c r="J42" s="4"/>
    </row>
    <row r="43" spans="1:10" s="3" customFormat="1" ht="21" customHeight="1" x14ac:dyDescent="0.3">
      <c r="A43" s="14">
        <v>37</v>
      </c>
      <c r="B43" s="143" t="s">
        <v>163</v>
      </c>
      <c r="C43" s="13">
        <v>0</v>
      </c>
      <c r="D43" s="6">
        <v>0</v>
      </c>
      <c r="E43" s="6">
        <v>0</v>
      </c>
      <c r="F43" s="6">
        <v>0</v>
      </c>
      <c r="G43" s="6">
        <v>0</v>
      </c>
      <c r="H43" s="6">
        <f t="shared" si="2"/>
        <v>0</v>
      </c>
      <c r="I43" s="5">
        <f t="shared" si="3"/>
        <v>0</v>
      </c>
      <c r="J43" s="4"/>
    </row>
    <row r="44" spans="1:10" s="3" customFormat="1" ht="21" customHeight="1" x14ac:dyDescent="0.3">
      <c r="A44" s="14">
        <v>38</v>
      </c>
      <c r="B44" s="143" t="s">
        <v>164</v>
      </c>
      <c r="C44" s="13">
        <v>4</v>
      </c>
      <c r="D44" s="6">
        <v>4</v>
      </c>
      <c r="E44" s="6">
        <v>0</v>
      </c>
      <c r="F44" s="6">
        <v>0</v>
      </c>
      <c r="G44" s="6">
        <v>0</v>
      </c>
      <c r="H44" s="6">
        <f t="shared" si="2"/>
        <v>0</v>
      </c>
      <c r="I44" s="5">
        <f t="shared" si="3"/>
        <v>4</v>
      </c>
      <c r="J44" s="4"/>
    </row>
    <row r="45" spans="1:10" s="3" customFormat="1" ht="21" customHeight="1" x14ac:dyDescent="0.3">
      <c r="A45" s="14">
        <v>39</v>
      </c>
      <c r="B45" s="143" t="s">
        <v>165</v>
      </c>
      <c r="C45" s="7">
        <v>0</v>
      </c>
      <c r="D45" s="6">
        <v>0</v>
      </c>
      <c r="E45" s="6">
        <v>0</v>
      </c>
      <c r="F45" s="6">
        <v>0</v>
      </c>
      <c r="G45" s="6">
        <v>0</v>
      </c>
      <c r="H45" s="6">
        <f t="shared" si="2"/>
        <v>0</v>
      </c>
      <c r="I45" s="5">
        <f t="shared" si="3"/>
        <v>0</v>
      </c>
      <c r="J45" s="4"/>
    </row>
    <row r="46" spans="1:10" s="3" customFormat="1" ht="21" customHeight="1" x14ac:dyDescent="0.3">
      <c r="A46" s="14">
        <v>40</v>
      </c>
      <c r="B46" s="143" t="s">
        <v>166</v>
      </c>
      <c r="C46" s="6">
        <v>0</v>
      </c>
      <c r="D46" s="6">
        <v>0</v>
      </c>
      <c r="E46" s="6">
        <v>0</v>
      </c>
      <c r="F46" s="6">
        <v>0</v>
      </c>
      <c r="G46" s="6">
        <v>0</v>
      </c>
      <c r="H46" s="6">
        <f t="shared" si="2"/>
        <v>0</v>
      </c>
      <c r="I46" s="5">
        <f t="shared" si="3"/>
        <v>0</v>
      </c>
      <c r="J46" s="4"/>
    </row>
    <row r="47" spans="1:10" s="3" customFormat="1" ht="21" customHeight="1" x14ac:dyDescent="0.3">
      <c r="A47" s="14">
        <v>41</v>
      </c>
      <c r="B47" s="143" t="s">
        <v>167</v>
      </c>
      <c r="C47" s="7">
        <v>0</v>
      </c>
      <c r="D47" s="6">
        <v>0</v>
      </c>
      <c r="E47" s="6">
        <v>0</v>
      </c>
      <c r="F47" s="6">
        <v>0</v>
      </c>
      <c r="G47" s="6">
        <v>0</v>
      </c>
      <c r="H47" s="6">
        <f t="shared" si="2"/>
        <v>0</v>
      </c>
      <c r="I47" s="5">
        <f t="shared" si="3"/>
        <v>0</v>
      </c>
      <c r="J47" s="4"/>
    </row>
    <row r="48" spans="1:10" s="3" customFormat="1" ht="21" customHeight="1" x14ac:dyDescent="0.3">
      <c r="A48" s="14">
        <v>42</v>
      </c>
      <c r="B48" s="143" t="s">
        <v>168</v>
      </c>
      <c r="C48" s="13">
        <v>0</v>
      </c>
      <c r="D48" s="6">
        <v>0</v>
      </c>
      <c r="E48" s="6">
        <v>0</v>
      </c>
      <c r="F48" s="6">
        <v>0</v>
      </c>
      <c r="G48" s="6">
        <v>0</v>
      </c>
      <c r="H48" s="6">
        <f t="shared" si="2"/>
        <v>0</v>
      </c>
      <c r="I48" s="5">
        <f t="shared" si="3"/>
        <v>0</v>
      </c>
      <c r="J48" s="4"/>
    </row>
    <row r="49" spans="1:10" s="3" customFormat="1" ht="21" customHeight="1" x14ac:dyDescent="0.3">
      <c r="A49" s="14">
        <v>43</v>
      </c>
      <c r="B49" s="143" t="s">
        <v>169</v>
      </c>
      <c r="C49" s="7">
        <v>0</v>
      </c>
      <c r="D49" s="6">
        <v>0</v>
      </c>
      <c r="E49" s="6">
        <v>0</v>
      </c>
      <c r="F49" s="6">
        <v>0</v>
      </c>
      <c r="G49" s="6">
        <v>0</v>
      </c>
      <c r="H49" s="6">
        <f t="shared" si="2"/>
        <v>0</v>
      </c>
      <c r="I49" s="5">
        <f t="shared" si="3"/>
        <v>0</v>
      </c>
      <c r="J49" s="4"/>
    </row>
    <row r="50" spans="1:10" s="3" customFormat="1" ht="21" customHeight="1" x14ac:dyDescent="0.3">
      <c r="A50" s="14">
        <v>44</v>
      </c>
      <c r="B50" s="143" t="s">
        <v>170</v>
      </c>
      <c r="C50" s="7">
        <v>0</v>
      </c>
      <c r="D50" s="6">
        <v>0</v>
      </c>
      <c r="E50" s="6">
        <v>0</v>
      </c>
      <c r="F50" s="6">
        <v>0</v>
      </c>
      <c r="G50" s="6">
        <v>0</v>
      </c>
      <c r="H50" s="6">
        <f t="shared" si="2"/>
        <v>0</v>
      </c>
      <c r="I50" s="5">
        <f t="shared" si="3"/>
        <v>0</v>
      </c>
      <c r="J50" s="4"/>
    </row>
    <row r="51" spans="1:10" s="3" customFormat="1" ht="21" customHeight="1" x14ac:dyDescent="0.3">
      <c r="A51" s="14">
        <v>45</v>
      </c>
      <c r="B51" s="143" t="s">
        <v>171</v>
      </c>
      <c r="C51" s="13">
        <v>0</v>
      </c>
      <c r="D51" s="6">
        <v>0</v>
      </c>
      <c r="E51" s="6">
        <v>0</v>
      </c>
      <c r="F51" s="6">
        <v>0</v>
      </c>
      <c r="G51" s="6">
        <v>0</v>
      </c>
      <c r="H51" s="6">
        <f t="shared" si="2"/>
        <v>0</v>
      </c>
      <c r="I51" s="5">
        <f t="shared" si="3"/>
        <v>0</v>
      </c>
      <c r="J51" s="4"/>
    </row>
    <row r="52" spans="1:10" s="3" customFormat="1" ht="21" customHeight="1" x14ac:dyDescent="0.3">
      <c r="A52" s="14">
        <v>46</v>
      </c>
      <c r="B52" s="143" t="s">
        <v>172</v>
      </c>
      <c r="C52" s="7">
        <v>0</v>
      </c>
      <c r="D52" s="6">
        <v>54</v>
      </c>
      <c r="E52" s="6">
        <v>0</v>
      </c>
      <c r="F52" s="6">
        <v>0</v>
      </c>
      <c r="G52" s="6">
        <v>9</v>
      </c>
      <c r="H52" s="6">
        <f t="shared" si="2"/>
        <v>9</v>
      </c>
      <c r="I52" s="5">
        <f t="shared" si="3"/>
        <v>45</v>
      </c>
      <c r="J52" s="15" t="s">
        <v>10</v>
      </c>
    </row>
    <row r="53" spans="1:10" s="3" customFormat="1" ht="21" customHeight="1" x14ac:dyDescent="0.3">
      <c r="A53" s="14">
        <v>47</v>
      </c>
      <c r="B53" s="143" t="s">
        <v>173</v>
      </c>
      <c r="C53" s="7">
        <v>0</v>
      </c>
      <c r="D53" s="6">
        <v>0</v>
      </c>
      <c r="E53" s="6">
        <v>0</v>
      </c>
      <c r="F53" s="6">
        <v>0</v>
      </c>
      <c r="G53" s="6">
        <v>0</v>
      </c>
      <c r="H53" s="6">
        <f t="shared" si="2"/>
        <v>0</v>
      </c>
      <c r="I53" s="5">
        <f t="shared" si="3"/>
        <v>0</v>
      </c>
      <c r="J53" s="4"/>
    </row>
    <row r="54" spans="1:10" s="3" customFormat="1" ht="60" x14ac:dyDescent="0.3">
      <c r="A54" s="14">
        <v>48</v>
      </c>
      <c r="B54" s="143" t="s">
        <v>174</v>
      </c>
      <c r="C54" s="7">
        <v>196</v>
      </c>
      <c r="D54" s="6">
        <v>184</v>
      </c>
      <c r="E54" s="6">
        <v>3</v>
      </c>
      <c r="F54" s="6">
        <v>0</v>
      </c>
      <c r="G54" s="6">
        <v>2</v>
      </c>
      <c r="H54" s="6">
        <f t="shared" si="2"/>
        <v>5</v>
      </c>
      <c r="I54" s="5">
        <f t="shared" si="3"/>
        <v>179</v>
      </c>
      <c r="J54" s="60" t="s">
        <v>117</v>
      </c>
    </row>
    <row r="55" spans="1:10" s="3" customFormat="1" ht="20.25" customHeight="1" x14ac:dyDescent="0.3">
      <c r="A55" s="14">
        <v>49</v>
      </c>
      <c r="B55" s="143" t="s">
        <v>175</v>
      </c>
      <c r="C55" s="7">
        <v>26</v>
      </c>
      <c r="D55" s="6">
        <v>21</v>
      </c>
      <c r="E55" s="6">
        <v>0</v>
      </c>
      <c r="F55" s="6">
        <v>0</v>
      </c>
      <c r="G55" s="6">
        <v>0</v>
      </c>
      <c r="H55" s="6">
        <f t="shared" si="2"/>
        <v>0</v>
      </c>
      <c r="I55" s="5">
        <f t="shared" si="3"/>
        <v>21</v>
      </c>
      <c r="J55" s="4"/>
    </row>
    <row r="56" spans="1:10" s="3" customFormat="1" ht="20.25" customHeight="1" x14ac:dyDescent="0.3">
      <c r="A56" s="14">
        <v>50</v>
      </c>
      <c r="B56" s="143" t="s">
        <v>176</v>
      </c>
      <c r="C56" s="7">
        <v>6</v>
      </c>
      <c r="D56" s="6">
        <v>9</v>
      </c>
      <c r="E56" s="6">
        <v>0</v>
      </c>
      <c r="F56" s="6">
        <v>0</v>
      </c>
      <c r="G56" s="6">
        <v>0</v>
      </c>
      <c r="H56" s="6">
        <f t="shared" si="2"/>
        <v>0</v>
      </c>
      <c r="I56" s="5">
        <f t="shared" si="3"/>
        <v>9</v>
      </c>
      <c r="J56" s="4"/>
    </row>
    <row r="57" spans="1:10" s="3" customFormat="1" ht="21" customHeight="1" x14ac:dyDescent="0.3">
      <c r="A57" s="14">
        <v>51</v>
      </c>
      <c r="B57" s="143" t="s">
        <v>177</v>
      </c>
      <c r="C57" s="7">
        <v>4</v>
      </c>
      <c r="D57" s="6">
        <v>0</v>
      </c>
      <c r="E57" s="6">
        <v>0</v>
      </c>
      <c r="F57" s="6">
        <v>0</v>
      </c>
      <c r="G57" s="6">
        <v>0</v>
      </c>
      <c r="H57" s="6">
        <f t="shared" si="2"/>
        <v>0</v>
      </c>
      <c r="I57" s="5">
        <f t="shared" si="3"/>
        <v>0</v>
      </c>
      <c r="J57" s="4"/>
    </row>
    <row r="58" spans="1:10" s="3" customFormat="1" ht="21" customHeight="1" x14ac:dyDescent="0.3">
      <c r="A58" s="14">
        <v>52</v>
      </c>
      <c r="B58" s="143" t="s">
        <v>178</v>
      </c>
      <c r="C58" s="7">
        <v>9</v>
      </c>
      <c r="D58" s="6">
        <v>4</v>
      </c>
      <c r="E58" s="6">
        <v>0</v>
      </c>
      <c r="F58" s="6">
        <v>0</v>
      </c>
      <c r="G58" s="6">
        <v>0</v>
      </c>
      <c r="H58" s="6">
        <f t="shared" si="2"/>
        <v>0</v>
      </c>
      <c r="I58" s="5">
        <f t="shared" si="3"/>
        <v>4</v>
      </c>
      <c r="J58" s="4"/>
    </row>
    <row r="59" spans="1:10" s="3" customFormat="1" ht="21" customHeight="1" x14ac:dyDescent="0.3">
      <c r="A59" s="14">
        <v>53</v>
      </c>
      <c r="B59" s="143" t="s">
        <v>179</v>
      </c>
      <c r="C59" s="7">
        <v>8</v>
      </c>
      <c r="D59" s="6">
        <v>0</v>
      </c>
      <c r="E59" s="6">
        <v>0</v>
      </c>
      <c r="F59" s="6">
        <v>0</v>
      </c>
      <c r="G59" s="6">
        <v>0</v>
      </c>
      <c r="H59" s="6">
        <f t="shared" si="2"/>
        <v>0</v>
      </c>
      <c r="I59" s="5">
        <f t="shared" si="3"/>
        <v>0</v>
      </c>
      <c r="J59" s="4"/>
    </row>
    <row r="60" spans="1:10" s="3" customFormat="1" ht="21" customHeight="1" x14ac:dyDescent="0.3">
      <c r="A60" s="14">
        <v>54</v>
      </c>
      <c r="B60" s="143" t="s">
        <v>180</v>
      </c>
      <c r="C60" s="6">
        <v>0</v>
      </c>
      <c r="D60" s="6">
        <v>0</v>
      </c>
      <c r="E60" s="6">
        <v>0</v>
      </c>
      <c r="F60" s="6">
        <v>0</v>
      </c>
      <c r="G60" s="6">
        <v>0</v>
      </c>
      <c r="H60" s="6">
        <f t="shared" si="2"/>
        <v>0</v>
      </c>
      <c r="I60" s="5">
        <f t="shared" si="3"/>
        <v>0</v>
      </c>
      <c r="J60" s="4"/>
    </row>
    <row r="61" spans="1:10" s="3" customFormat="1" ht="25.5" customHeight="1" x14ac:dyDescent="0.3">
      <c r="A61" s="162" t="s">
        <v>9</v>
      </c>
      <c r="B61" s="162"/>
      <c r="C61" s="12"/>
      <c r="D61" s="12"/>
      <c r="E61" s="12"/>
      <c r="F61" s="12"/>
      <c r="G61" s="12"/>
      <c r="H61" s="6"/>
      <c r="I61" s="5"/>
      <c r="J61" s="4"/>
    </row>
    <row r="62" spans="1:10" s="3" customFormat="1" ht="21" customHeight="1" x14ac:dyDescent="0.3">
      <c r="A62" s="14">
        <v>55</v>
      </c>
      <c r="B62" s="144" t="s">
        <v>181</v>
      </c>
      <c r="C62" s="13">
        <v>4</v>
      </c>
      <c r="D62" s="6">
        <v>4</v>
      </c>
      <c r="E62" s="6">
        <v>0</v>
      </c>
      <c r="F62" s="6">
        <v>0</v>
      </c>
      <c r="G62" s="6">
        <v>0</v>
      </c>
      <c r="H62" s="6">
        <f t="shared" ref="H62:H68" si="4">E62+F62+G62</f>
        <v>0</v>
      </c>
      <c r="I62" s="5">
        <f t="shared" ref="I62:I68" si="5">D62-H62</f>
        <v>4</v>
      </c>
      <c r="J62" s="4"/>
    </row>
    <row r="63" spans="1:10" s="3" customFormat="1" ht="90" x14ac:dyDescent="0.3">
      <c r="A63" s="8">
        <v>56</v>
      </c>
      <c r="B63" s="144" t="s">
        <v>182</v>
      </c>
      <c r="C63" s="13">
        <v>56</v>
      </c>
      <c r="D63" s="6">
        <v>92</v>
      </c>
      <c r="E63" s="6">
        <v>0</v>
      </c>
      <c r="F63" s="6">
        <v>0</v>
      </c>
      <c r="G63" s="6">
        <v>19</v>
      </c>
      <c r="H63" s="6">
        <f t="shared" si="4"/>
        <v>19</v>
      </c>
      <c r="I63" s="5">
        <f t="shared" si="5"/>
        <v>73</v>
      </c>
      <c r="J63" s="59" t="s">
        <v>257</v>
      </c>
    </row>
    <row r="64" spans="1:10" s="3" customFormat="1" ht="21.75" customHeight="1" x14ac:dyDescent="0.3">
      <c r="A64" s="14">
        <v>57</v>
      </c>
      <c r="B64" s="144" t="s">
        <v>183</v>
      </c>
      <c r="C64" s="13">
        <v>85</v>
      </c>
      <c r="D64" s="6">
        <v>61</v>
      </c>
      <c r="E64" s="6">
        <v>0</v>
      </c>
      <c r="F64" s="6">
        <v>0</v>
      </c>
      <c r="G64" s="6">
        <v>0</v>
      </c>
      <c r="H64" s="6">
        <f t="shared" si="4"/>
        <v>0</v>
      </c>
      <c r="I64" s="5">
        <f t="shared" si="5"/>
        <v>61</v>
      </c>
      <c r="J64" s="60"/>
    </row>
    <row r="65" spans="1:10" s="3" customFormat="1" ht="27.6" x14ac:dyDescent="0.3">
      <c r="A65" s="8">
        <v>58</v>
      </c>
      <c r="B65" s="144" t="s">
        <v>184</v>
      </c>
      <c r="C65" s="13">
        <v>79</v>
      </c>
      <c r="D65" s="6">
        <v>16</v>
      </c>
      <c r="E65" s="6">
        <v>0</v>
      </c>
      <c r="F65" s="6">
        <v>0</v>
      </c>
      <c r="G65" s="6">
        <v>1</v>
      </c>
      <c r="H65" s="6">
        <f t="shared" si="4"/>
        <v>1</v>
      </c>
      <c r="I65" s="5">
        <f t="shared" si="5"/>
        <v>15</v>
      </c>
      <c r="J65" s="17" t="s">
        <v>258</v>
      </c>
    </row>
    <row r="66" spans="1:10" s="3" customFormat="1" ht="21" customHeight="1" x14ac:dyDescent="0.3">
      <c r="A66" s="14">
        <v>59</v>
      </c>
      <c r="B66" s="144" t="s">
        <v>185</v>
      </c>
      <c r="C66" s="13">
        <v>6</v>
      </c>
      <c r="D66" s="6">
        <v>7</v>
      </c>
      <c r="E66" s="6">
        <v>0</v>
      </c>
      <c r="F66" s="6">
        <v>0</v>
      </c>
      <c r="G66" s="6">
        <v>0</v>
      </c>
      <c r="H66" s="6">
        <f t="shared" si="4"/>
        <v>0</v>
      </c>
      <c r="I66" s="5">
        <f t="shared" si="5"/>
        <v>7</v>
      </c>
      <c r="J66" s="4"/>
    </row>
    <row r="67" spans="1:10" s="3" customFormat="1" ht="21" customHeight="1" x14ac:dyDescent="0.3">
      <c r="A67" s="8">
        <v>60</v>
      </c>
      <c r="B67" s="144" t="s">
        <v>186</v>
      </c>
      <c r="C67" s="7">
        <v>27</v>
      </c>
      <c r="D67" s="6">
        <v>45</v>
      </c>
      <c r="E67" s="6">
        <v>0</v>
      </c>
      <c r="F67" s="6">
        <v>0</v>
      </c>
      <c r="G67" s="6">
        <v>0</v>
      </c>
      <c r="H67" s="6">
        <f t="shared" si="4"/>
        <v>0</v>
      </c>
      <c r="I67" s="5">
        <f t="shared" si="5"/>
        <v>45</v>
      </c>
      <c r="J67" s="60"/>
    </row>
    <row r="68" spans="1:10" s="3" customFormat="1" ht="21" customHeight="1" x14ac:dyDescent="0.3">
      <c r="A68" s="14">
        <v>61</v>
      </c>
      <c r="B68" s="144" t="s">
        <v>187</v>
      </c>
      <c r="C68" s="7">
        <v>0</v>
      </c>
      <c r="D68" s="6">
        <v>1</v>
      </c>
      <c r="E68" s="6">
        <v>0</v>
      </c>
      <c r="F68" s="6">
        <v>0</v>
      </c>
      <c r="G68" s="6">
        <v>0</v>
      </c>
      <c r="H68" s="6">
        <f t="shared" si="4"/>
        <v>0</v>
      </c>
      <c r="I68" s="5">
        <f t="shared" si="5"/>
        <v>1</v>
      </c>
      <c r="J68" s="4"/>
    </row>
    <row r="69" spans="1:10" s="3" customFormat="1" ht="24" customHeight="1" x14ac:dyDescent="0.3">
      <c r="A69" s="162" t="s">
        <v>8</v>
      </c>
      <c r="B69" s="162"/>
      <c r="C69" s="12"/>
      <c r="D69" s="12"/>
      <c r="E69" s="12"/>
      <c r="F69" s="12"/>
      <c r="G69" s="12"/>
      <c r="H69" s="6"/>
      <c r="I69" s="5"/>
      <c r="J69" s="4"/>
    </row>
    <row r="70" spans="1:10" s="3" customFormat="1" x14ac:dyDescent="0.3">
      <c r="A70" s="14">
        <v>62</v>
      </c>
      <c r="B70" s="144" t="s">
        <v>188</v>
      </c>
      <c r="C70" s="13">
        <v>4</v>
      </c>
      <c r="D70" s="6">
        <v>4</v>
      </c>
      <c r="E70" s="6">
        <v>0</v>
      </c>
      <c r="F70" s="6">
        <v>0</v>
      </c>
      <c r="G70" s="6">
        <v>0</v>
      </c>
      <c r="H70" s="6">
        <f>E70+F70+G70</f>
        <v>0</v>
      </c>
      <c r="I70" s="5">
        <f>D70-H70</f>
        <v>4</v>
      </c>
      <c r="J70" s="61"/>
    </row>
    <row r="71" spans="1:10" s="3" customFormat="1" ht="27.6" x14ac:dyDescent="0.3">
      <c r="A71" s="8">
        <v>63</v>
      </c>
      <c r="B71" s="144" t="s">
        <v>189</v>
      </c>
      <c r="C71" s="13">
        <v>104</v>
      </c>
      <c r="D71" s="6">
        <v>98</v>
      </c>
      <c r="E71" s="6">
        <v>0</v>
      </c>
      <c r="F71" s="6">
        <v>0</v>
      </c>
      <c r="G71" s="6">
        <v>6</v>
      </c>
      <c r="H71" s="6">
        <f>E71+F71+G71</f>
        <v>6</v>
      </c>
      <c r="I71" s="5">
        <f>D71-H71</f>
        <v>92</v>
      </c>
      <c r="J71" s="17" t="s">
        <v>259</v>
      </c>
    </row>
    <row r="72" spans="1:10" s="3" customFormat="1" ht="35.25" customHeight="1" x14ac:dyDescent="0.3">
      <c r="A72" s="14">
        <v>64</v>
      </c>
      <c r="B72" s="144" t="s">
        <v>190</v>
      </c>
      <c r="C72" s="13">
        <v>5</v>
      </c>
      <c r="D72" s="6">
        <v>10</v>
      </c>
      <c r="E72" s="6">
        <v>0</v>
      </c>
      <c r="F72" s="6">
        <v>0</v>
      </c>
      <c r="G72" s="6">
        <v>0</v>
      </c>
      <c r="H72" s="6">
        <f>E72+F72+G72</f>
        <v>0</v>
      </c>
      <c r="I72" s="5">
        <f>D72-H72</f>
        <v>10</v>
      </c>
      <c r="J72" s="4"/>
    </row>
    <row r="73" spans="1:10" s="3" customFormat="1" ht="28.5" customHeight="1" x14ac:dyDescent="0.3">
      <c r="A73" s="162" t="s">
        <v>7</v>
      </c>
      <c r="B73" s="162"/>
      <c r="C73" s="12"/>
      <c r="D73" s="12"/>
      <c r="E73" s="12"/>
      <c r="F73" s="12"/>
      <c r="G73" s="12"/>
      <c r="H73" s="6"/>
      <c r="I73" s="5"/>
      <c r="J73" s="4"/>
    </row>
    <row r="74" spans="1:10" s="3" customFormat="1" ht="55.2" x14ac:dyDescent="0.3">
      <c r="A74" s="14">
        <v>65</v>
      </c>
      <c r="B74" s="145" t="s">
        <v>191</v>
      </c>
      <c r="C74" s="13">
        <v>214</v>
      </c>
      <c r="D74" s="6">
        <v>199</v>
      </c>
      <c r="E74" s="6">
        <v>0</v>
      </c>
      <c r="F74" s="6">
        <v>0</v>
      </c>
      <c r="G74" s="6">
        <v>3</v>
      </c>
      <c r="H74" s="6">
        <f>E74+F74+G74</f>
        <v>3</v>
      </c>
      <c r="I74" s="5">
        <f>D74-H74</f>
        <v>196</v>
      </c>
      <c r="J74" s="17" t="s">
        <v>260</v>
      </c>
    </row>
    <row r="75" spans="1:10" s="3" customFormat="1" ht="21.75" customHeight="1" x14ac:dyDescent="0.3">
      <c r="A75" s="8">
        <v>66</v>
      </c>
      <c r="B75" s="143" t="s">
        <v>192</v>
      </c>
      <c r="C75" s="13">
        <v>55</v>
      </c>
      <c r="D75" s="6">
        <v>54</v>
      </c>
      <c r="E75" s="6">
        <v>0</v>
      </c>
      <c r="F75" s="6">
        <v>0</v>
      </c>
      <c r="G75" s="6">
        <v>0</v>
      </c>
      <c r="H75" s="6">
        <f>E75+F75+G75</f>
        <v>0</v>
      </c>
      <c r="I75" s="5">
        <f>D75-H75</f>
        <v>54</v>
      </c>
      <c r="J75" s="4"/>
    </row>
    <row r="76" spans="1:10" s="3" customFormat="1" ht="22.5" customHeight="1" x14ac:dyDescent="0.3">
      <c r="A76" s="164" t="s">
        <v>6</v>
      </c>
      <c r="B76" s="164"/>
      <c r="C76" s="18"/>
      <c r="D76" s="18"/>
      <c r="E76" s="18"/>
      <c r="F76" s="18"/>
      <c r="G76" s="18"/>
      <c r="H76" s="6"/>
      <c r="I76" s="5"/>
      <c r="J76" s="4"/>
    </row>
    <row r="77" spans="1:10" s="3" customFormat="1" x14ac:dyDescent="0.3">
      <c r="A77" s="14">
        <v>67</v>
      </c>
      <c r="B77" s="144" t="s">
        <v>193</v>
      </c>
      <c r="C77" s="6">
        <v>43</v>
      </c>
      <c r="D77" s="6">
        <v>56</v>
      </c>
      <c r="E77" s="6">
        <v>0</v>
      </c>
      <c r="F77" s="6">
        <v>0</v>
      </c>
      <c r="G77" s="6">
        <v>3</v>
      </c>
      <c r="H77" s="6">
        <f t="shared" ref="H77:H94" si="6">E77+F77+G77</f>
        <v>3</v>
      </c>
      <c r="I77" s="5">
        <f t="shared" ref="I77:I94" si="7">D77-H77</f>
        <v>53</v>
      </c>
      <c r="J77" s="60" t="s">
        <v>88</v>
      </c>
    </row>
    <row r="78" spans="1:10" s="3" customFormat="1" x14ac:dyDescent="0.3">
      <c r="A78" s="8">
        <v>68</v>
      </c>
      <c r="B78" s="144" t="s">
        <v>194</v>
      </c>
      <c r="C78" s="7">
        <v>184</v>
      </c>
      <c r="D78" s="6">
        <v>185</v>
      </c>
      <c r="E78" s="6">
        <v>0</v>
      </c>
      <c r="F78" s="6">
        <v>0</v>
      </c>
      <c r="G78" s="6">
        <v>2</v>
      </c>
      <c r="H78" s="6">
        <f t="shared" si="6"/>
        <v>2</v>
      </c>
      <c r="I78" s="5">
        <f t="shared" si="7"/>
        <v>183</v>
      </c>
      <c r="J78" s="17" t="s">
        <v>89</v>
      </c>
    </row>
    <row r="79" spans="1:10" s="3" customFormat="1" x14ac:dyDescent="0.3">
      <c r="A79" s="14">
        <v>69</v>
      </c>
      <c r="B79" s="144" t="s">
        <v>195</v>
      </c>
      <c r="C79" s="7">
        <v>299</v>
      </c>
      <c r="D79" s="6">
        <v>264</v>
      </c>
      <c r="E79" s="6">
        <v>0</v>
      </c>
      <c r="F79" s="6">
        <v>0</v>
      </c>
      <c r="G79" s="6">
        <v>7</v>
      </c>
      <c r="H79" s="6">
        <f t="shared" si="6"/>
        <v>7</v>
      </c>
      <c r="I79" s="5">
        <f t="shared" si="7"/>
        <v>257</v>
      </c>
      <c r="J79" s="60" t="s">
        <v>5</v>
      </c>
    </row>
    <row r="80" spans="1:10" s="3" customFormat="1" ht="21" customHeight="1" x14ac:dyDescent="0.3">
      <c r="A80" s="8">
        <v>70</v>
      </c>
      <c r="B80" s="144" t="s">
        <v>196</v>
      </c>
      <c r="C80" s="7">
        <v>10</v>
      </c>
      <c r="D80" s="6">
        <v>19</v>
      </c>
      <c r="E80" s="6">
        <v>0</v>
      </c>
      <c r="F80" s="6">
        <v>0</v>
      </c>
      <c r="G80" s="6">
        <v>0</v>
      </c>
      <c r="H80" s="6">
        <f t="shared" si="6"/>
        <v>0</v>
      </c>
      <c r="I80" s="5">
        <f t="shared" si="7"/>
        <v>19</v>
      </c>
      <c r="J80" s="4"/>
    </row>
    <row r="81" spans="1:10" s="3" customFormat="1" ht="21" customHeight="1" x14ac:dyDescent="0.3">
      <c r="A81" s="14">
        <v>71</v>
      </c>
      <c r="B81" s="144" t="s">
        <v>197</v>
      </c>
      <c r="C81" s="7">
        <v>8</v>
      </c>
      <c r="D81" s="6">
        <v>29</v>
      </c>
      <c r="E81" s="6">
        <v>0</v>
      </c>
      <c r="F81" s="6">
        <v>0</v>
      </c>
      <c r="G81" s="6">
        <v>1</v>
      </c>
      <c r="H81" s="6">
        <f t="shared" si="6"/>
        <v>1</v>
      </c>
      <c r="I81" s="5">
        <f t="shared" si="7"/>
        <v>28</v>
      </c>
      <c r="J81" s="4"/>
    </row>
    <row r="82" spans="1:10" s="3" customFormat="1" x14ac:dyDescent="0.3">
      <c r="A82" s="8">
        <v>72</v>
      </c>
      <c r="B82" s="144" t="s">
        <v>198</v>
      </c>
      <c r="C82" s="7">
        <v>0</v>
      </c>
      <c r="D82" s="6">
        <v>167</v>
      </c>
      <c r="E82" s="6">
        <v>0</v>
      </c>
      <c r="F82" s="6">
        <v>0</v>
      </c>
      <c r="G82" s="6">
        <v>1</v>
      </c>
      <c r="H82" s="6">
        <f t="shared" si="6"/>
        <v>1</v>
      </c>
      <c r="I82" s="5">
        <f t="shared" si="7"/>
        <v>166</v>
      </c>
      <c r="J82" s="60" t="s">
        <v>119</v>
      </c>
    </row>
    <row r="83" spans="1:10" s="3" customFormat="1" ht="21" customHeight="1" x14ac:dyDescent="0.3">
      <c r="A83" s="14">
        <v>73</v>
      </c>
      <c r="B83" s="144" t="s">
        <v>199</v>
      </c>
      <c r="C83" s="7">
        <v>27</v>
      </c>
      <c r="D83" s="6">
        <v>4</v>
      </c>
      <c r="E83" s="6">
        <v>0</v>
      </c>
      <c r="F83" s="6">
        <v>0</v>
      </c>
      <c r="G83" s="6">
        <v>1</v>
      </c>
      <c r="H83" s="6">
        <f t="shared" si="6"/>
        <v>1</v>
      </c>
      <c r="I83" s="5">
        <f t="shared" si="7"/>
        <v>3</v>
      </c>
      <c r="J83" s="4" t="s">
        <v>1</v>
      </c>
    </row>
    <row r="84" spans="1:10" s="3" customFormat="1" ht="21" customHeight="1" x14ac:dyDescent="0.3">
      <c r="A84" s="8">
        <v>74</v>
      </c>
      <c r="B84" s="144" t="s">
        <v>200</v>
      </c>
      <c r="C84" s="7">
        <v>0</v>
      </c>
      <c r="D84" s="6">
        <v>0</v>
      </c>
      <c r="E84" s="6">
        <v>0</v>
      </c>
      <c r="F84" s="6">
        <v>0</v>
      </c>
      <c r="G84" s="6">
        <v>0</v>
      </c>
      <c r="H84" s="6">
        <f t="shared" si="6"/>
        <v>0</v>
      </c>
      <c r="I84" s="5">
        <f t="shared" si="7"/>
        <v>0</v>
      </c>
      <c r="J84" s="4"/>
    </row>
    <row r="85" spans="1:10" s="3" customFormat="1" ht="21" customHeight="1" x14ac:dyDescent="0.3">
      <c r="A85" s="14">
        <v>75</v>
      </c>
      <c r="B85" s="144" t="s">
        <v>201</v>
      </c>
      <c r="C85" s="7">
        <v>0</v>
      </c>
      <c r="D85" s="6">
        <v>5</v>
      </c>
      <c r="E85" s="6">
        <v>0</v>
      </c>
      <c r="F85" s="6">
        <v>0</v>
      </c>
      <c r="G85" s="6">
        <v>0</v>
      </c>
      <c r="H85" s="6">
        <f t="shared" si="6"/>
        <v>0</v>
      </c>
      <c r="I85" s="5">
        <f t="shared" si="7"/>
        <v>5</v>
      </c>
      <c r="J85" s="4"/>
    </row>
    <row r="86" spans="1:10" s="3" customFormat="1" ht="45" x14ac:dyDescent="0.3">
      <c r="A86" s="8">
        <v>76</v>
      </c>
      <c r="B86" s="144" t="s">
        <v>202</v>
      </c>
      <c r="C86" s="7">
        <v>0</v>
      </c>
      <c r="D86" s="6">
        <v>56</v>
      </c>
      <c r="E86" s="6">
        <v>0</v>
      </c>
      <c r="F86" s="6">
        <v>0</v>
      </c>
      <c r="G86" s="6">
        <v>2</v>
      </c>
      <c r="H86" s="6">
        <f t="shared" si="6"/>
        <v>2</v>
      </c>
      <c r="I86" s="5">
        <f t="shared" si="7"/>
        <v>54</v>
      </c>
      <c r="J86" s="60" t="s">
        <v>261</v>
      </c>
    </row>
    <row r="87" spans="1:10" s="3" customFormat="1" ht="24" customHeight="1" x14ac:dyDescent="0.3">
      <c r="A87" s="14">
        <v>77</v>
      </c>
      <c r="B87" s="144" t="s">
        <v>203</v>
      </c>
      <c r="C87" s="7">
        <v>43</v>
      </c>
      <c r="D87" s="6">
        <v>85</v>
      </c>
      <c r="E87" s="6">
        <v>0</v>
      </c>
      <c r="F87" s="6">
        <v>0</v>
      </c>
      <c r="G87" s="6">
        <v>0</v>
      </c>
      <c r="H87" s="6">
        <f t="shared" si="6"/>
        <v>0</v>
      </c>
      <c r="I87" s="5">
        <f t="shared" si="7"/>
        <v>85</v>
      </c>
      <c r="J87" s="4"/>
    </row>
    <row r="88" spans="1:10" s="3" customFormat="1" x14ac:dyDescent="0.3">
      <c r="A88" s="8">
        <v>78</v>
      </c>
      <c r="B88" s="144" t="s">
        <v>204</v>
      </c>
      <c r="C88" s="7">
        <v>33</v>
      </c>
      <c r="D88" s="6">
        <v>108</v>
      </c>
      <c r="E88" s="6">
        <v>0</v>
      </c>
      <c r="F88" s="6">
        <v>0</v>
      </c>
      <c r="G88" s="6">
        <v>0</v>
      </c>
      <c r="H88" s="6">
        <f t="shared" si="6"/>
        <v>0</v>
      </c>
      <c r="I88" s="5">
        <f t="shared" si="7"/>
        <v>108</v>
      </c>
      <c r="J88" s="4"/>
    </row>
    <row r="89" spans="1:10" s="3" customFormat="1" ht="21" customHeight="1" x14ac:dyDescent="0.3">
      <c r="A89" s="14">
        <v>79</v>
      </c>
      <c r="B89" s="144" t="s">
        <v>205</v>
      </c>
      <c r="C89" s="7">
        <v>2</v>
      </c>
      <c r="D89" s="6">
        <v>3</v>
      </c>
      <c r="E89" s="6">
        <v>0</v>
      </c>
      <c r="F89" s="6">
        <v>0</v>
      </c>
      <c r="G89" s="6">
        <v>0</v>
      </c>
      <c r="H89" s="6">
        <f t="shared" si="6"/>
        <v>0</v>
      </c>
      <c r="I89" s="5">
        <f t="shared" si="7"/>
        <v>3</v>
      </c>
      <c r="J89" s="4"/>
    </row>
    <row r="90" spans="1:10" s="3" customFormat="1" ht="21" customHeight="1" x14ac:dyDescent="0.3">
      <c r="A90" s="8">
        <v>80</v>
      </c>
      <c r="B90" s="144" t="s">
        <v>206</v>
      </c>
      <c r="C90" s="7">
        <v>19</v>
      </c>
      <c r="D90" s="6">
        <v>18</v>
      </c>
      <c r="E90" s="6">
        <v>0</v>
      </c>
      <c r="F90" s="6">
        <v>0</v>
      </c>
      <c r="G90" s="6">
        <v>0</v>
      </c>
      <c r="H90" s="6">
        <f t="shared" si="6"/>
        <v>0</v>
      </c>
      <c r="I90" s="5">
        <f t="shared" si="7"/>
        <v>18</v>
      </c>
      <c r="J90" s="4"/>
    </row>
    <row r="91" spans="1:10" s="3" customFormat="1" ht="21" customHeight="1" x14ac:dyDescent="0.3">
      <c r="A91" s="14">
        <v>81</v>
      </c>
      <c r="B91" s="144" t="s">
        <v>207</v>
      </c>
      <c r="C91" s="7">
        <v>9</v>
      </c>
      <c r="D91" s="6">
        <v>1</v>
      </c>
      <c r="E91" s="6">
        <v>0</v>
      </c>
      <c r="F91" s="6">
        <v>0</v>
      </c>
      <c r="G91" s="6">
        <v>0</v>
      </c>
      <c r="H91" s="6">
        <f t="shared" si="6"/>
        <v>0</v>
      </c>
      <c r="I91" s="5">
        <f t="shared" si="7"/>
        <v>1</v>
      </c>
      <c r="J91" s="4"/>
    </row>
    <row r="92" spans="1:10" s="3" customFormat="1" ht="28.5" customHeight="1" x14ac:dyDescent="0.3">
      <c r="A92" s="8">
        <v>82</v>
      </c>
      <c r="B92" s="144" t="s">
        <v>208</v>
      </c>
      <c r="C92" s="7">
        <v>75</v>
      </c>
      <c r="D92" s="6">
        <v>57</v>
      </c>
      <c r="E92" s="6">
        <v>0</v>
      </c>
      <c r="F92" s="6">
        <v>0</v>
      </c>
      <c r="G92" s="6">
        <v>1</v>
      </c>
      <c r="H92" s="6">
        <f t="shared" si="6"/>
        <v>1</v>
      </c>
      <c r="I92" s="5">
        <f t="shared" si="7"/>
        <v>56</v>
      </c>
      <c r="J92" s="15" t="s">
        <v>4</v>
      </c>
    </row>
    <row r="93" spans="1:10" s="3" customFormat="1" ht="21" customHeight="1" x14ac:dyDescent="0.3">
      <c r="A93" s="14">
        <v>83</v>
      </c>
      <c r="B93" s="144" t="s">
        <v>209</v>
      </c>
      <c r="C93" s="7">
        <v>0</v>
      </c>
      <c r="D93" s="6">
        <v>0</v>
      </c>
      <c r="E93" s="6">
        <v>0</v>
      </c>
      <c r="F93" s="6">
        <v>0</v>
      </c>
      <c r="G93" s="6">
        <v>0</v>
      </c>
      <c r="H93" s="6">
        <f t="shared" si="6"/>
        <v>0</v>
      </c>
      <c r="I93" s="5">
        <f t="shared" si="7"/>
        <v>0</v>
      </c>
      <c r="J93" s="4"/>
    </row>
    <row r="94" spans="1:10" s="3" customFormat="1" ht="25.5" customHeight="1" x14ac:dyDescent="0.3">
      <c r="A94" s="8">
        <v>84</v>
      </c>
      <c r="B94" s="144" t="s">
        <v>210</v>
      </c>
      <c r="C94" s="7">
        <v>8</v>
      </c>
      <c r="D94" s="6">
        <v>17</v>
      </c>
      <c r="E94" s="6">
        <v>0</v>
      </c>
      <c r="F94" s="6">
        <v>0</v>
      </c>
      <c r="G94" s="6">
        <v>0</v>
      </c>
      <c r="H94" s="6">
        <f t="shared" si="6"/>
        <v>0</v>
      </c>
      <c r="I94" s="5">
        <f t="shared" si="7"/>
        <v>17</v>
      </c>
      <c r="J94" s="4"/>
    </row>
    <row r="95" spans="1:10" s="3" customFormat="1" ht="18" customHeight="1" x14ac:dyDescent="0.3">
      <c r="A95" s="162" t="s">
        <v>3</v>
      </c>
      <c r="B95" s="162"/>
      <c r="C95" s="12"/>
      <c r="D95" s="12"/>
      <c r="E95" s="12"/>
      <c r="F95" s="12"/>
      <c r="G95" s="12"/>
      <c r="H95" s="6"/>
      <c r="I95" s="5"/>
      <c r="J95" s="4"/>
    </row>
    <row r="96" spans="1:10" s="3" customFormat="1" ht="21" customHeight="1" x14ac:dyDescent="0.3">
      <c r="A96" s="8">
        <v>85</v>
      </c>
      <c r="B96" s="144" t="s">
        <v>211</v>
      </c>
      <c r="C96" s="7">
        <v>0</v>
      </c>
      <c r="D96" s="6">
        <v>0</v>
      </c>
      <c r="E96" s="6">
        <v>0</v>
      </c>
      <c r="F96" s="6">
        <v>0</v>
      </c>
      <c r="G96" s="6">
        <v>0</v>
      </c>
      <c r="H96" s="6">
        <f t="shared" ref="H96:H137" si="8">E96+F96+G96</f>
        <v>0</v>
      </c>
      <c r="I96" s="5">
        <f t="shared" ref="I96:I137" si="9">D96-H96</f>
        <v>0</v>
      </c>
      <c r="J96" s="4"/>
    </row>
    <row r="97" spans="1:10" s="3" customFormat="1" ht="21" customHeight="1" x14ac:dyDescent="0.3">
      <c r="A97" s="14">
        <v>86</v>
      </c>
      <c r="B97" s="144" t="s">
        <v>212</v>
      </c>
      <c r="C97" s="13">
        <v>14</v>
      </c>
      <c r="D97" s="6">
        <v>10</v>
      </c>
      <c r="E97" s="6">
        <v>0</v>
      </c>
      <c r="F97" s="6">
        <v>0</v>
      </c>
      <c r="G97" s="6">
        <v>0</v>
      </c>
      <c r="H97" s="6">
        <f t="shared" si="8"/>
        <v>0</v>
      </c>
      <c r="I97" s="5">
        <f t="shared" si="9"/>
        <v>10</v>
      </c>
      <c r="J97" s="4"/>
    </row>
    <row r="98" spans="1:10" ht="16.5" customHeight="1" x14ac:dyDescent="0.3">
      <c r="A98" s="162" t="s">
        <v>2</v>
      </c>
      <c r="B98" s="162"/>
      <c r="C98" s="12"/>
      <c r="D98" s="12"/>
      <c r="E98" s="12"/>
      <c r="F98" s="12"/>
      <c r="G98" s="12"/>
      <c r="H98" s="6">
        <f t="shared" si="8"/>
        <v>0</v>
      </c>
      <c r="I98" s="5">
        <f t="shared" si="9"/>
        <v>0</v>
      </c>
      <c r="J98" s="4"/>
    </row>
    <row r="99" spans="1:10" ht="16.5" customHeight="1" x14ac:dyDescent="0.3">
      <c r="A99" s="8">
        <v>87</v>
      </c>
      <c r="B99" s="144" t="s">
        <v>213</v>
      </c>
      <c r="C99" s="11">
        <v>0</v>
      </c>
      <c r="D99" s="10">
        <v>3</v>
      </c>
      <c r="E99" s="10">
        <v>0</v>
      </c>
      <c r="F99" s="10">
        <v>0</v>
      </c>
      <c r="G99" s="10">
        <v>0</v>
      </c>
      <c r="H99" s="6">
        <f t="shared" si="8"/>
        <v>0</v>
      </c>
      <c r="I99" s="5">
        <f t="shared" si="9"/>
        <v>3</v>
      </c>
      <c r="J99" s="4"/>
    </row>
    <row r="100" spans="1:10" ht="16.5" customHeight="1" x14ac:dyDescent="0.3">
      <c r="A100" s="8">
        <v>88</v>
      </c>
      <c r="B100" s="144" t="s">
        <v>214</v>
      </c>
      <c r="C100" s="7">
        <v>0</v>
      </c>
      <c r="D100" s="10">
        <v>0</v>
      </c>
      <c r="E100" s="10">
        <v>0</v>
      </c>
      <c r="F100" s="10">
        <v>0</v>
      </c>
      <c r="G100" s="10">
        <v>0</v>
      </c>
      <c r="H100" s="6">
        <f t="shared" si="8"/>
        <v>0</v>
      </c>
      <c r="I100" s="5">
        <f t="shared" si="9"/>
        <v>0</v>
      </c>
      <c r="J100" s="4"/>
    </row>
    <row r="101" spans="1:10" ht="30" x14ac:dyDescent="0.3">
      <c r="A101" s="8">
        <v>89</v>
      </c>
      <c r="B101" s="144" t="s">
        <v>215</v>
      </c>
      <c r="C101" s="7">
        <v>0</v>
      </c>
      <c r="D101" s="10">
        <v>13</v>
      </c>
      <c r="E101" s="10">
        <v>0</v>
      </c>
      <c r="F101" s="10">
        <v>0</v>
      </c>
      <c r="G101" s="10">
        <v>2</v>
      </c>
      <c r="H101" s="6">
        <f t="shared" si="8"/>
        <v>2</v>
      </c>
      <c r="I101" s="5">
        <f t="shared" si="9"/>
        <v>11</v>
      </c>
      <c r="J101" s="60" t="s">
        <v>262</v>
      </c>
    </row>
    <row r="102" spans="1:10" s="3" customFormat="1" ht="16.5" customHeight="1" x14ac:dyDescent="0.3">
      <c r="A102" s="8">
        <v>90</v>
      </c>
      <c r="B102" s="144" t="s">
        <v>216</v>
      </c>
      <c r="C102" s="7">
        <v>0</v>
      </c>
      <c r="D102" s="6">
        <v>0</v>
      </c>
      <c r="E102" s="6">
        <v>0</v>
      </c>
      <c r="F102" s="6">
        <v>0</v>
      </c>
      <c r="G102" s="6">
        <v>0</v>
      </c>
      <c r="H102" s="6">
        <f t="shared" si="8"/>
        <v>0</v>
      </c>
      <c r="I102" s="5">
        <f t="shared" si="9"/>
        <v>0</v>
      </c>
      <c r="J102" s="4"/>
    </row>
    <row r="103" spans="1:10" s="3" customFormat="1" x14ac:dyDescent="0.3">
      <c r="A103" s="8">
        <v>91</v>
      </c>
      <c r="B103" s="144" t="s">
        <v>217</v>
      </c>
      <c r="C103" s="7">
        <v>0</v>
      </c>
      <c r="D103" s="6">
        <v>9</v>
      </c>
      <c r="E103" s="6">
        <v>0</v>
      </c>
      <c r="F103" s="6">
        <v>0</v>
      </c>
      <c r="G103" s="6">
        <v>0</v>
      </c>
      <c r="H103" s="6">
        <f t="shared" si="8"/>
        <v>0</v>
      </c>
      <c r="I103" s="5">
        <f t="shared" si="9"/>
        <v>9</v>
      </c>
      <c r="J103" s="60"/>
    </row>
    <row r="104" spans="1:10" s="3" customFormat="1" x14ac:dyDescent="0.3">
      <c r="A104" s="8">
        <v>92</v>
      </c>
      <c r="B104" s="144" t="s">
        <v>218</v>
      </c>
      <c r="C104" s="7">
        <v>33</v>
      </c>
      <c r="D104" s="6">
        <v>40</v>
      </c>
      <c r="E104" s="6">
        <v>1</v>
      </c>
      <c r="F104" s="6">
        <v>0</v>
      </c>
      <c r="G104" s="6">
        <v>0</v>
      </c>
      <c r="H104" s="6">
        <f t="shared" si="8"/>
        <v>1</v>
      </c>
      <c r="I104" s="5">
        <f t="shared" si="9"/>
        <v>39</v>
      </c>
      <c r="J104" s="60" t="s">
        <v>263</v>
      </c>
    </row>
    <row r="105" spans="1:10" s="3" customFormat="1" ht="16.5" customHeight="1" x14ac:dyDescent="0.3">
      <c r="A105" s="8">
        <v>93</v>
      </c>
      <c r="B105" s="144" t="s">
        <v>219</v>
      </c>
      <c r="C105" s="7">
        <v>5</v>
      </c>
      <c r="D105" s="6">
        <v>2</v>
      </c>
      <c r="E105" s="6">
        <v>0</v>
      </c>
      <c r="F105" s="6">
        <v>0</v>
      </c>
      <c r="G105" s="6">
        <v>0</v>
      </c>
      <c r="H105" s="6">
        <f t="shared" si="8"/>
        <v>0</v>
      </c>
      <c r="I105" s="5">
        <f t="shared" si="9"/>
        <v>2</v>
      </c>
      <c r="J105" s="4"/>
    </row>
    <row r="106" spans="1:10" s="3" customFormat="1" ht="16.5" customHeight="1" x14ac:dyDescent="0.3">
      <c r="A106" s="8">
        <v>94</v>
      </c>
      <c r="B106" s="144" t="s">
        <v>220</v>
      </c>
      <c r="C106" s="7">
        <v>0</v>
      </c>
      <c r="D106" s="6">
        <v>1</v>
      </c>
      <c r="E106" s="6">
        <v>0</v>
      </c>
      <c r="F106" s="6">
        <v>0</v>
      </c>
      <c r="G106" s="6">
        <v>0</v>
      </c>
      <c r="H106" s="6">
        <f t="shared" si="8"/>
        <v>0</v>
      </c>
      <c r="I106" s="5">
        <f t="shared" si="9"/>
        <v>1</v>
      </c>
      <c r="J106" s="4"/>
    </row>
    <row r="107" spans="1:10" s="3" customFormat="1" ht="16.5" customHeight="1" x14ac:dyDescent="0.3">
      <c r="A107" s="8">
        <v>95</v>
      </c>
      <c r="B107" s="144" t="s">
        <v>221</v>
      </c>
      <c r="C107" s="7">
        <v>0</v>
      </c>
      <c r="D107" s="6">
        <v>0</v>
      </c>
      <c r="E107" s="6">
        <v>0</v>
      </c>
      <c r="F107" s="6">
        <v>0</v>
      </c>
      <c r="G107" s="6">
        <v>0</v>
      </c>
      <c r="H107" s="6">
        <f t="shared" si="8"/>
        <v>0</v>
      </c>
      <c r="I107" s="5">
        <f t="shared" si="9"/>
        <v>0</v>
      </c>
      <c r="J107" s="4"/>
    </row>
    <row r="108" spans="1:10" s="3" customFormat="1" ht="16.5" customHeight="1" x14ac:dyDescent="0.3">
      <c r="A108" s="8">
        <v>96</v>
      </c>
      <c r="B108" s="144" t="s">
        <v>222</v>
      </c>
      <c r="C108" s="7">
        <v>18</v>
      </c>
      <c r="D108" s="6">
        <v>11</v>
      </c>
      <c r="E108" s="6">
        <v>0</v>
      </c>
      <c r="F108" s="6">
        <v>0</v>
      </c>
      <c r="G108" s="6">
        <v>0</v>
      </c>
      <c r="H108" s="6">
        <f t="shared" si="8"/>
        <v>0</v>
      </c>
      <c r="I108" s="5">
        <f t="shared" si="9"/>
        <v>11</v>
      </c>
      <c r="J108" s="4"/>
    </row>
    <row r="109" spans="1:10" s="3" customFormat="1" ht="16.5" customHeight="1" x14ac:dyDescent="0.3">
      <c r="A109" s="8">
        <v>97</v>
      </c>
      <c r="B109" s="144" t="s">
        <v>223</v>
      </c>
      <c r="C109" s="7">
        <v>0</v>
      </c>
      <c r="D109" s="6">
        <v>3</v>
      </c>
      <c r="E109" s="6">
        <v>0</v>
      </c>
      <c r="F109" s="6">
        <v>0</v>
      </c>
      <c r="G109" s="6">
        <v>0</v>
      </c>
      <c r="H109" s="6">
        <f t="shared" si="8"/>
        <v>0</v>
      </c>
      <c r="I109" s="5">
        <f t="shared" si="9"/>
        <v>3</v>
      </c>
      <c r="J109" s="4"/>
    </row>
    <row r="110" spans="1:10" s="3" customFormat="1" ht="16.5" customHeight="1" x14ac:dyDescent="0.3">
      <c r="A110" s="8">
        <v>98</v>
      </c>
      <c r="B110" s="144" t="s">
        <v>224</v>
      </c>
      <c r="C110" s="7">
        <v>0</v>
      </c>
      <c r="D110" s="6">
        <v>0</v>
      </c>
      <c r="E110" s="6">
        <v>0</v>
      </c>
      <c r="F110" s="6">
        <v>0</v>
      </c>
      <c r="G110" s="6">
        <v>0</v>
      </c>
      <c r="H110" s="6">
        <f t="shared" si="8"/>
        <v>0</v>
      </c>
      <c r="I110" s="5">
        <f t="shared" si="9"/>
        <v>0</v>
      </c>
      <c r="J110" s="4"/>
    </row>
    <row r="111" spans="1:10" s="3" customFormat="1" ht="16.5" customHeight="1" x14ac:dyDescent="0.3">
      <c r="A111" s="8">
        <v>99</v>
      </c>
      <c r="B111" s="144" t="s">
        <v>225</v>
      </c>
      <c r="C111" s="7">
        <v>6</v>
      </c>
      <c r="D111" s="6">
        <v>5</v>
      </c>
      <c r="E111" s="6">
        <v>0</v>
      </c>
      <c r="F111" s="6">
        <v>0</v>
      </c>
      <c r="G111" s="6">
        <v>0</v>
      </c>
      <c r="H111" s="6">
        <f t="shared" si="8"/>
        <v>0</v>
      </c>
      <c r="I111" s="5">
        <f t="shared" si="9"/>
        <v>5</v>
      </c>
      <c r="J111" s="4"/>
    </row>
    <row r="112" spans="1:10" s="3" customFormat="1" ht="16.5" customHeight="1" x14ac:dyDescent="0.3">
      <c r="A112" s="8">
        <v>100</v>
      </c>
      <c r="B112" s="144" t="s">
        <v>226</v>
      </c>
      <c r="C112" s="7">
        <v>0</v>
      </c>
      <c r="D112" s="6">
        <v>0</v>
      </c>
      <c r="E112" s="6">
        <v>0</v>
      </c>
      <c r="F112" s="6">
        <v>0</v>
      </c>
      <c r="G112" s="6">
        <v>0</v>
      </c>
      <c r="H112" s="6">
        <f t="shared" si="8"/>
        <v>0</v>
      </c>
      <c r="I112" s="5">
        <f t="shared" si="9"/>
        <v>0</v>
      </c>
      <c r="J112" s="4"/>
    </row>
    <row r="113" spans="1:10" s="3" customFormat="1" ht="16.5" customHeight="1" x14ac:dyDescent="0.3">
      <c r="A113" s="8">
        <v>101</v>
      </c>
      <c r="B113" s="144" t="s">
        <v>227</v>
      </c>
      <c r="C113" s="7">
        <v>0</v>
      </c>
      <c r="D113" s="6">
        <v>0</v>
      </c>
      <c r="E113" s="6">
        <v>0</v>
      </c>
      <c r="F113" s="6">
        <v>0</v>
      </c>
      <c r="G113" s="6">
        <v>0</v>
      </c>
      <c r="H113" s="6">
        <f t="shared" si="8"/>
        <v>0</v>
      </c>
      <c r="I113" s="5">
        <f t="shared" si="9"/>
        <v>0</v>
      </c>
      <c r="J113" s="4"/>
    </row>
    <row r="114" spans="1:10" s="3" customFormat="1" ht="16.5" customHeight="1" x14ac:dyDescent="0.3">
      <c r="A114" s="8">
        <v>102</v>
      </c>
      <c r="B114" s="144" t="s">
        <v>228</v>
      </c>
      <c r="C114" s="7">
        <v>0</v>
      </c>
      <c r="D114" s="6">
        <v>0</v>
      </c>
      <c r="E114" s="6">
        <v>0</v>
      </c>
      <c r="F114" s="6">
        <v>0</v>
      </c>
      <c r="G114" s="6">
        <v>0</v>
      </c>
      <c r="H114" s="6">
        <f t="shared" si="8"/>
        <v>0</v>
      </c>
      <c r="I114" s="5">
        <f t="shared" si="9"/>
        <v>0</v>
      </c>
      <c r="J114" s="4"/>
    </row>
    <row r="115" spans="1:10" s="3" customFormat="1" ht="16.5" customHeight="1" x14ac:dyDescent="0.3">
      <c r="A115" s="8">
        <v>103</v>
      </c>
      <c r="B115" s="144" t="s">
        <v>229</v>
      </c>
      <c r="C115" s="7">
        <v>2</v>
      </c>
      <c r="D115" s="6">
        <v>2</v>
      </c>
      <c r="E115" s="6">
        <v>0</v>
      </c>
      <c r="F115" s="6">
        <v>0</v>
      </c>
      <c r="G115" s="6">
        <v>0</v>
      </c>
      <c r="H115" s="6">
        <f t="shared" si="8"/>
        <v>0</v>
      </c>
      <c r="I115" s="5">
        <f t="shared" si="9"/>
        <v>2</v>
      </c>
      <c r="J115" s="4"/>
    </row>
    <row r="116" spans="1:10" s="3" customFormat="1" ht="16.5" customHeight="1" x14ac:dyDescent="0.3">
      <c r="A116" s="8">
        <v>104</v>
      </c>
      <c r="B116" s="144" t="s">
        <v>230</v>
      </c>
      <c r="C116" s="7">
        <v>1</v>
      </c>
      <c r="D116" s="6">
        <v>5</v>
      </c>
      <c r="E116" s="6">
        <v>0</v>
      </c>
      <c r="F116" s="6">
        <v>0</v>
      </c>
      <c r="G116" s="6">
        <v>0</v>
      </c>
      <c r="H116" s="6">
        <f t="shared" si="8"/>
        <v>0</v>
      </c>
      <c r="I116" s="5">
        <f t="shared" si="9"/>
        <v>5</v>
      </c>
      <c r="J116" s="4"/>
    </row>
    <row r="117" spans="1:10" s="3" customFormat="1" ht="16.5" customHeight="1" x14ac:dyDescent="0.3">
      <c r="A117" s="8">
        <v>105</v>
      </c>
      <c r="B117" s="144" t="s">
        <v>231</v>
      </c>
      <c r="C117" s="7">
        <v>0</v>
      </c>
      <c r="D117" s="6">
        <v>0</v>
      </c>
      <c r="E117" s="6">
        <v>0</v>
      </c>
      <c r="F117" s="6">
        <v>0</v>
      </c>
      <c r="G117" s="6">
        <v>0</v>
      </c>
      <c r="H117" s="6">
        <f t="shared" si="8"/>
        <v>0</v>
      </c>
      <c r="I117" s="5">
        <f t="shared" si="9"/>
        <v>0</v>
      </c>
      <c r="J117" s="4"/>
    </row>
    <row r="118" spans="1:10" s="3" customFormat="1" ht="16.5" customHeight="1" x14ac:dyDescent="0.3">
      <c r="A118" s="8">
        <v>106</v>
      </c>
      <c r="B118" s="144" t="s">
        <v>232</v>
      </c>
      <c r="C118" s="7">
        <v>0</v>
      </c>
      <c r="D118" s="6">
        <v>5</v>
      </c>
      <c r="E118" s="6">
        <v>0</v>
      </c>
      <c r="F118" s="6">
        <v>0</v>
      </c>
      <c r="G118" s="6">
        <v>1</v>
      </c>
      <c r="H118" s="6">
        <f t="shared" si="8"/>
        <v>1</v>
      </c>
      <c r="I118" s="5">
        <f t="shared" si="9"/>
        <v>4</v>
      </c>
      <c r="J118" s="4" t="s">
        <v>1</v>
      </c>
    </row>
    <row r="119" spans="1:10" s="3" customFormat="1" ht="16.5" customHeight="1" x14ac:dyDescent="0.3">
      <c r="A119" s="8">
        <v>107</v>
      </c>
      <c r="B119" s="144" t="s">
        <v>233</v>
      </c>
      <c r="C119" s="7">
        <v>0</v>
      </c>
      <c r="D119" s="6">
        <v>0</v>
      </c>
      <c r="E119" s="6">
        <v>0</v>
      </c>
      <c r="F119" s="6">
        <v>0</v>
      </c>
      <c r="G119" s="6">
        <v>0</v>
      </c>
      <c r="H119" s="6">
        <f t="shared" si="8"/>
        <v>0</v>
      </c>
      <c r="I119" s="5">
        <f t="shared" si="9"/>
        <v>0</v>
      </c>
      <c r="J119" s="4"/>
    </row>
    <row r="120" spans="1:10" s="3" customFormat="1" ht="16.5" customHeight="1" x14ac:dyDescent="0.3">
      <c r="A120" s="8">
        <v>108</v>
      </c>
      <c r="B120" s="144" t="s">
        <v>234</v>
      </c>
      <c r="C120" s="7">
        <v>0</v>
      </c>
      <c r="D120" s="6">
        <v>1</v>
      </c>
      <c r="E120" s="6">
        <v>0</v>
      </c>
      <c r="F120" s="6">
        <v>0</v>
      </c>
      <c r="G120" s="6">
        <v>0</v>
      </c>
      <c r="H120" s="6">
        <f t="shared" si="8"/>
        <v>0</v>
      </c>
      <c r="I120" s="5">
        <f t="shared" si="9"/>
        <v>1</v>
      </c>
      <c r="J120" s="4"/>
    </row>
    <row r="121" spans="1:10" s="3" customFormat="1" ht="16.5" customHeight="1" x14ac:dyDescent="0.3">
      <c r="A121" s="8">
        <v>109</v>
      </c>
      <c r="B121" s="144" t="s">
        <v>235</v>
      </c>
      <c r="C121" s="7">
        <v>0</v>
      </c>
      <c r="D121" s="6">
        <v>1</v>
      </c>
      <c r="E121" s="6">
        <v>0</v>
      </c>
      <c r="F121" s="6">
        <v>0</v>
      </c>
      <c r="G121" s="6">
        <v>0</v>
      </c>
      <c r="H121" s="6">
        <f t="shared" si="8"/>
        <v>0</v>
      </c>
      <c r="I121" s="5">
        <f t="shared" si="9"/>
        <v>1</v>
      </c>
      <c r="J121" s="4"/>
    </row>
    <row r="122" spans="1:10" s="3" customFormat="1" ht="16.5" customHeight="1" x14ac:dyDescent="0.3">
      <c r="A122" s="8">
        <v>110</v>
      </c>
      <c r="B122" s="144" t="s">
        <v>236</v>
      </c>
      <c r="C122" s="7">
        <v>3</v>
      </c>
      <c r="D122" s="6">
        <v>4</v>
      </c>
      <c r="E122" s="6">
        <v>0</v>
      </c>
      <c r="F122" s="6">
        <v>0</v>
      </c>
      <c r="G122" s="6">
        <v>0</v>
      </c>
      <c r="H122" s="6">
        <f t="shared" si="8"/>
        <v>0</v>
      </c>
      <c r="I122" s="5">
        <f t="shared" si="9"/>
        <v>4</v>
      </c>
      <c r="J122" s="4"/>
    </row>
    <row r="123" spans="1:10" s="3" customFormat="1" ht="16.5" customHeight="1" x14ac:dyDescent="0.3">
      <c r="A123" s="8">
        <v>111</v>
      </c>
      <c r="B123" s="144" t="s">
        <v>237</v>
      </c>
      <c r="C123" s="7">
        <v>5</v>
      </c>
      <c r="D123" s="6">
        <v>3</v>
      </c>
      <c r="E123" s="6">
        <v>0</v>
      </c>
      <c r="F123" s="6">
        <v>0</v>
      </c>
      <c r="G123" s="6">
        <v>0</v>
      </c>
      <c r="H123" s="6">
        <f t="shared" si="8"/>
        <v>0</v>
      </c>
      <c r="I123" s="5">
        <f t="shared" si="9"/>
        <v>3</v>
      </c>
      <c r="J123" s="4"/>
    </row>
    <row r="124" spans="1:10" s="3" customFormat="1" ht="16.5" customHeight="1" x14ac:dyDescent="0.3">
      <c r="A124" s="8">
        <v>112</v>
      </c>
      <c r="B124" s="144" t="s">
        <v>238</v>
      </c>
      <c r="C124" s="7">
        <v>0</v>
      </c>
      <c r="D124" s="6">
        <v>0</v>
      </c>
      <c r="E124" s="6">
        <v>0</v>
      </c>
      <c r="F124" s="6">
        <v>0</v>
      </c>
      <c r="G124" s="6">
        <v>0</v>
      </c>
      <c r="H124" s="6">
        <f t="shared" si="8"/>
        <v>0</v>
      </c>
      <c r="I124" s="5">
        <f t="shared" si="9"/>
        <v>0</v>
      </c>
      <c r="J124" s="4"/>
    </row>
    <row r="125" spans="1:10" s="3" customFormat="1" ht="16.5" customHeight="1" x14ac:dyDescent="0.3">
      <c r="A125" s="8">
        <v>113</v>
      </c>
      <c r="B125" s="144" t="s">
        <v>239</v>
      </c>
      <c r="C125" s="7">
        <v>2</v>
      </c>
      <c r="D125" s="6">
        <v>0</v>
      </c>
      <c r="E125" s="6">
        <v>0</v>
      </c>
      <c r="F125" s="6">
        <v>0</v>
      </c>
      <c r="G125" s="6">
        <v>0</v>
      </c>
      <c r="H125" s="6">
        <f t="shared" si="8"/>
        <v>0</v>
      </c>
      <c r="I125" s="5">
        <f t="shared" si="9"/>
        <v>0</v>
      </c>
      <c r="J125" s="4"/>
    </row>
    <row r="126" spans="1:10" s="3" customFormat="1" ht="16.5" customHeight="1" x14ac:dyDescent="0.3">
      <c r="A126" s="8">
        <v>114</v>
      </c>
      <c r="B126" s="144" t="s">
        <v>240</v>
      </c>
      <c r="C126" s="7">
        <v>0</v>
      </c>
      <c r="D126" s="6">
        <v>0</v>
      </c>
      <c r="E126" s="6">
        <v>0</v>
      </c>
      <c r="F126" s="6">
        <v>0</v>
      </c>
      <c r="G126" s="6">
        <v>0</v>
      </c>
      <c r="H126" s="6">
        <f t="shared" si="8"/>
        <v>0</v>
      </c>
      <c r="I126" s="5">
        <f t="shared" si="9"/>
        <v>0</v>
      </c>
      <c r="J126" s="4"/>
    </row>
    <row r="127" spans="1:10" s="3" customFormat="1" ht="16.5" customHeight="1" x14ac:dyDescent="0.3">
      <c r="A127" s="8">
        <v>115</v>
      </c>
      <c r="B127" s="144" t="s">
        <v>241</v>
      </c>
      <c r="C127" s="7">
        <v>0</v>
      </c>
      <c r="D127" s="6">
        <v>1</v>
      </c>
      <c r="E127" s="6">
        <v>0</v>
      </c>
      <c r="F127" s="6">
        <v>0</v>
      </c>
      <c r="G127" s="6">
        <v>0</v>
      </c>
      <c r="H127" s="6">
        <f t="shared" si="8"/>
        <v>0</v>
      </c>
      <c r="I127" s="5">
        <f t="shared" si="9"/>
        <v>1</v>
      </c>
      <c r="J127" s="4"/>
    </row>
    <row r="128" spans="1:10" s="3" customFormat="1" ht="16.5" customHeight="1" x14ac:dyDescent="0.3">
      <c r="A128" s="8">
        <v>116</v>
      </c>
      <c r="B128" s="144" t="s">
        <v>242</v>
      </c>
      <c r="C128" s="7">
        <v>3</v>
      </c>
      <c r="D128" s="6">
        <v>10</v>
      </c>
      <c r="E128" s="6">
        <v>0</v>
      </c>
      <c r="F128" s="6">
        <v>0</v>
      </c>
      <c r="G128" s="6">
        <v>0</v>
      </c>
      <c r="H128" s="6">
        <f t="shared" si="8"/>
        <v>0</v>
      </c>
      <c r="I128" s="5">
        <f t="shared" si="9"/>
        <v>10</v>
      </c>
      <c r="J128" s="4"/>
    </row>
    <row r="129" spans="1:10" s="3" customFormat="1" ht="16.5" customHeight="1" x14ac:dyDescent="0.3">
      <c r="A129" s="8">
        <v>117</v>
      </c>
      <c r="B129" s="144" t="s">
        <v>243</v>
      </c>
      <c r="C129" s="7">
        <v>0</v>
      </c>
      <c r="D129" s="6">
        <v>0</v>
      </c>
      <c r="E129" s="6">
        <v>0</v>
      </c>
      <c r="F129" s="6">
        <v>0</v>
      </c>
      <c r="G129" s="6">
        <v>0</v>
      </c>
      <c r="H129" s="6">
        <f t="shared" si="8"/>
        <v>0</v>
      </c>
      <c r="I129" s="5">
        <f t="shared" si="9"/>
        <v>0</v>
      </c>
      <c r="J129" s="4"/>
    </row>
    <row r="130" spans="1:10" s="3" customFormat="1" ht="16.5" customHeight="1" x14ac:dyDescent="0.3">
      <c r="A130" s="8">
        <v>118</v>
      </c>
      <c r="B130" s="144" t="s">
        <v>244</v>
      </c>
      <c r="C130" s="7">
        <v>6</v>
      </c>
      <c r="D130" s="6">
        <v>6</v>
      </c>
      <c r="E130" s="6">
        <v>0</v>
      </c>
      <c r="F130" s="6">
        <v>0</v>
      </c>
      <c r="G130" s="6">
        <v>0</v>
      </c>
      <c r="H130" s="6">
        <f t="shared" si="8"/>
        <v>0</v>
      </c>
      <c r="I130" s="5">
        <f t="shared" si="9"/>
        <v>6</v>
      </c>
      <c r="J130" s="4"/>
    </row>
    <row r="131" spans="1:10" s="3" customFormat="1" ht="16.5" customHeight="1" x14ac:dyDescent="0.3">
      <c r="A131" s="8">
        <v>119</v>
      </c>
      <c r="B131" s="144" t="s">
        <v>245</v>
      </c>
      <c r="C131" s="7">
        <v>0</v>
      </c>
      <c r="D131" s="6">
        <v>0</v>
      </c>
      <c r="E131" s="6">
        <v>0</v>
      </c>
      <c r="F131" s="6">
        <v>0</v>
      </c>
      <c r="G131" s="6">
        <v>0</v>
      </c>
      <c r="H131" s="6">
        <f t="shared" si="8"/>
        <v>0</v>
      </c>
      <c r="I131" s="5">
        <f t="shared" si="9"/>
        <v>0</v>
      </c>
      <c r="J131" s="4"/>
    </row>
    <row r="132" spans="1:10" s="3" customFormat="1" ht="16.5" customHeight="1" x14ac:dyDescent="0.3">
      <c r="A132" s="8">
        <v>120</v>
      </c>
      <c r="B132" s="144" t="s">
        <v>246</v>
      </c>
      <c r="C132" s="7">
        <v>8</v>
      </c>
      <c r="D132" s="6">
        <v>6</v>
      </c>
      <c r="E132" s="6">
        <v>0</v>
      </c>
      <c r="F132" s="6">
        <v>0</v>
      </c>
      <c r="G132" s="6">
        <v>0</v>
      </c>
      <c r="H132" s="6">
        <f t="shared" si="8"/>
        <v>0</v>
      </c>
      <c r="I132" s="5">
        <f t="shared" si="9"/>
        <v>6</v>
      </c>
      <c r="J132" s="4"/>
    </row>
    <row r="133" spans="1:10" s="3" customFormat="1" ht="16.5" customHeight="1" x14ac:dyDescent="0.3">
      <c r="A133" s="8">
        <v>121</v>
      </c>
      <c r="B133" s="144" t="s">
        <v>247</v>
      </c>
      <c r="C133" s="7">
        <v>0</v>
      </c>
      <c r="D133" s="6">
        <v>0</v>
      </c>
      <c r="E133" s="6">
        <v>0</v>
      </c>
      <c r="F133" s="6">
        <v>0</v>
      </c>
      <c r="G133" s="6">
        <v>0</v>
      </c>
      <c r="H133" s="6">
        <f t="shared" si="8"/>
        <v>0</v>
      </c>
      <c r="I133" s="5">
        <f t="shared" si="9"/>
        <v>0</v>
      </c>
      <c r="J133" s="4"/>
    </row>
    <row r="134" spans="1:10" s="3" customFormat="1" ht="16.5" customHeight="1" x14ac:dyDescent="0.3">
      <c r="A134" s="8">
        <v>122</v>
      </c>
      <c r="B134" s="144" t="s">
        <v>248</v>
      </c>
      <c r="C134" s="7">
        <v>0</v>
      </c>
      <c r="D134" s="6">
        <v>0</v>
      </c>
      <c r="E134" s="6">
        <v>0</v>
      </c>
      <c r="F134" s="6">
        <v>0</v>
      </c>
      <c r="G134" s="6">
        <v>0</v>
      </c>
      <c r="H134" s="6">
        <f t="shared" si="8"/>
        <v>0</v>
      </c>
      <c r="I134" s="5">
        <f t="shared" si="9"/>
        <v>0</v>
      </c>
      <c r="J134" s="4"/>
    </row>
    <row r="135" spans="1:10" s="3" customFormat="1" ht="16.5" customHeight="1" x14ac:dyDescent="0.3">
      <c r="A135" s="8">
        <v>123</v>
      </c>
      <c r="B135" s="144" t="s">
        <v>249</v>
      </c>
      <c r="C135" s="7">
        <v>0</v>
      </c>
      <c r="D135" s="6">
        <v>0</v>
      </c>
      <c r="E135" s="6">
        <v>0</v>
      </c>
      <c r="F135" s="6">
        <v>0</v>
      </c>
      <c r="G135" s="6">
        <v>0</v>
      </c>
      <c r="H135" s="6">
        <f t="shared" si="8"/>
        <v>0</v>
      </c>
      <c r="I135" s="5">
        <f t="shared" si="9"/>
        <v>0</v>
      </c>
      <c r="J135" s="4"/>
    </row>
    <row r="136" spans="1:10" s="3" customFormat="1" ht="16.5" customHeight="1" x14ac:dyDescent="0.3">
      <c r="A136" s="8">
        <v>124</v>
      </c>
      <c r="B136" s="144" t="s">
        <v>250</v>
      </c>
      <c r="C136" s="7">
        <v>0</v>
      </c>
      <c r="D136" s="6">
        <v>0</v>
      </c>
      <c r="E136" s="6">
        <v>0</v>
      </c>
      <c r="F136" s="6">
        <v>0</v>
      </c>
      <c r="G136" s="6">
        <v>0</v>
      </c>
      <c r="H136" s="6">
        <f t="shared" si="8"/>
        <v>0</v>
      </c>
      <c r="I136" s="5">
        <f t="shared" si="9"/>
        <v>0</v>
      </c>
      <c r="J136" s="4"/>
    </row>
    <row r="137" spans="1:10" s="3" customFormat="1" ht="16.5" customHeight="1" x14ac:dyDescent="0.3">
      <c r="A137" s="8">
        <v>125</v>
      </c>
      <c r="B137" s="144" t="s">
        <v>251</v>
      </c>
      <c r="C137" s="7">
        <v>0</v>
      </c>
      <c r="D137" s="6">
        <v>1</v>
      </c>
      <c r="E137" s="6">
        <v>0</v>
      </c>
      <c r="F137" s="6">
        <v>0</v>
      </c>
      <c r="G137" s="6">
        <v>0</v>
      </c>
      <c r="H137" s="6">
        <f t="shared" si="8"/>
        <v>0</v>
      </c>
      <c r="I137" s="5">
        <f t="shared" si="9"/>
        <v>1</v>
      </c>
      <c r="J137" s="4"/>
    </row>
  </sheetData>
  <dataConsolidate>
    <dataRefs count="7">
      <dataRef ref="C8:I139" sheet="409B" r:id="rId1"/>
      <dataRef ref="C8:I139" sheet="4B" r:id="rId2"/>
      <dataRef ref="C8:I139" sheet="537B" r:id="rId3"/>
      <dataRef ref="C8:I139" sheet="605B" r:id="rId4"/>
      <dataRef ref="C8:I139" sheet="621B" r:id="rId5"/>
      <dataRef ref="C8:I139" sheet="671B" r:id="rId6"/>
      <dataRef ref="C8:I139" sheet="7004B" r:id="rId7"/>
    </dataRefs>
  </dataConsolidate>
  <mergeCells count="14">
    <mergeCell ref="A1:J1"/>
    <mergeCell ref="A2:A3"/>
    <mergeCell ref="C2:D2"/>
    <mergeCell ref="E2:H2"/>
    <mergeCell ref="I2:I3"/>
    <mergeCell ref="J2:J3"/>
    <mergeCell ref="A95:B95"/>
    <mergeCell ref="A98:B98"/>
    <mergeCell ref="A5:B5"/>
    <mergeCell ref="A16:B16"/>
    <mergeCell ref="A61:B61"/>
    <mergeCell ref="A69:B69"/>
    <mergeCell ref="A73:B73"/>
    <mergeCell ref="A76:B76"/>
  </mergeCells>
  <conditionalFormatting sqref="B72">
    <cfRule type="duplicateValues" dxfId="1" priority="2"/>
  </conditionalFormatting>
  <conditionalFormatting sqref="B94">
    <cfRule type="duplicateValues" dxfId="0" priority="1"/>
  </conditionalFormatting>
  <pageMargins left="0.7" right="0.7" top="0.75" bottom="0.75" header="0.3" footer="0.3"/>
  <pageSetup paperSize="9" scale="4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A80A6-41C4-472F-9F81-6AD8E0A3F8E2}">
  <dimension ref="A1:J126"/>
  <sheetViews>
    <sheetView workbookViewId="0">
      <pane ySplit="4" topLeftCell="A5" activePane="bottomLeft" state="frozen"/>
      <selection pane="bottomLeft" activeCell="J14" sqref="J14"/>
    </sheetView>
  </sheetViews>
  <sheetFormatPr defaultColWidth="9.109375" defaultRowHeight="15" x14ac:dyDescent="0.25"/>
  <cols>
    <col min="1" max="1" width="5.88671875" style="27" customWidth="1"/>
    <col min="2" max="2" width="56.44140625" style="26" customWidth="1"/>
    <col min="3" max="3" width="8.33203125" style="27" customWidth="1"/>
    <col min="4" max="4" width="8.44140625" style="27" customWidth="1"/>
    <col min="5" max="8" width="7.6640625" style="27" customWidth="1"/>
    <col min="9" max="9" width="6.33203125" style="27" customWidth="1"/>
    <col min="10" max="10" width="59.44140625" style="26" customWidth="1"/>
    <col min="11" max="16384" width="9.109375" style="26"/>
  </cols>
  <sheetData>
    <row r="1" spans="1:10" ht="15.6" x14ac:dyDescent="0.25">
      <c r="A1" s="172"/>
      <c r="B1" s="173"/>
      <c r="C1" s="173"/>
      <c r="D1" s="173"/>
      <c r="E1" s="173"/>
      <c r="F1" s="173"/>
      <c r="G1" s="173"/>
      <c r="H1" s="173"/>
      <c r="I1" s="173"/>
      <c r="J1" s="174"/>
    </row>
    <row r="2" spans="1:10" ht="18" customHeight="1" x14ac:dyDescent="0.25">
      <c r="A2" s="175" t="s">
        <v>114</v>
      </c>
      <c r="B2" s="175"/>
      <c r="C2" s="175"/>
      <c r="D2" s="175"/>
      <c r="E2" s="175"/>
      <c r="F2" s="175"/>
      <c r="G2" s="175"/>
      <c r="H2" s="175"/>
      <c r="I2" s="175"/>
      <c r="J2" s="175"/>
    </row>
    <row r="3" spans="1:10" s="54" customFormat="1" ht="15.6" x14ac:dyDescent="0.3">
      <c r="A3" s="176" t="s">
        <v>64</v>
      </c>
      <c r="B3" s="177" t="s">
        <v>63</v>
      </c>
      <c r="C3" s="176" t="s">
        <v>33</v>
      </c>
      <c r="D3" s="176"/>
      <c r="E3" s="176" t="s">
        <v>62</v>
      </c>
      <c r="F3" s="176"/>
      <c r="G3" s="176"/>
      <c r="H3" s="176"/>
      <c r="I3" s="176" t="s">
        <v>61</v>
      </c>
      <c r="J3" s="176" t="s">
        <v>60</v>
      </c>
    </row>
    <row r="4" spans="1:10" s="54" customFormat="1" ht="31.2" x14ac:dyDescent="0.3">
      <c r="A4" s="176"/>
      <c r="B4" s="178"/>
      <c r="C4" s="55" t="s">
        <v>59</v>
      </c>
      <c r="D4" s="55" t="s">
        <v>58</v>
      </c>
      <c r="E4" s="55" t="s">
        <v>57</v>
      </c>
      <c r="F4" s="55" t="s">
        <v>26</v>
      </c>
      <c r="G4" s="55" t="s">
        <v>25</v>
      </c>
      <c r="H4" s="28" t="s">
        <v>24</v>
      </c>
      <c r="I4" s="176"/>
      <c r="J4" s="176"/>
    </row>
    <row r="5" spans="1:10" s="54" customFormat="1" ht="15.6" x14ac:dyDescent="0.3">
      <c r="A5" s="55" t="s">
        <v>23</v>
      </c>
      <c r="B5" s="55" t="s">
        <v>22</v>
      </c>
      <c r="C5" s="55" t="s">
        <v>21</v>
      </c>
      <c r="D5" s="55" t="s">
        <v>20</v>
      </c>
      <c r="E5" s="55" t="s">
        <v>19</v>
      </c>
      <c r="F5" s="55" t="s">
        <v>18</v>
      </c>
      <c r="G5" s="55" t="s">
        <v>17</v>
      </c>
      <c r="H5" s="28" t="s">
        <v>16</v>
      </c>
      <c r="I5" s="55" t="s">
        <v>15</v>
      </c>
      <c r="J5" s="55" t="s">
        <v>14</v>
      </c>
    </row>
    <row r="6" spans="1:10" ht="15.6" x14ac:dyDescent="0.25">
      <c r="A6" s="169" t="s">
        <v>56</v>
      </c>
      <c r="B6" s="169"/>
      <c r="C6" s="53"/>
      <c r="D6" s="53"/>
      <c r="E6" s="53"/>
      <c r="F6" s="53"/>
      <c r="G6" s="53"/>
      <c r="H6" s="53"/>
      <c r="I6" s="53"/>
      <c r="J6" s="43"/>
    </row>
    <row r="7" spans="1:10" ht="15.75" customHeight="1" x14ac:dyDescent="0.25">
      <c r="A7" s="171" t="s">
        <v>55</v>
      </c>
      <c r="B7" s="171"/>
      <c r="C7" s="52"/>
      <c r="D7" s="52"/>
      <c r="E7" s="52"/>
      <c r="F7" s="52"/>
      <c r="G7" s="52"/>
      <c r="H7" s="52"/>
      <c r="I7" s="52"/>
      <c r="J7" s="35"/>
    </row>
    <row r="8" spans="1:10" s="29" customFormat="1" ht="45" x14ac:dyDescent="0.3">
      <c r="A8" s="38">
        <v>1</v>
      </c>
      <c r="B8" s="9" t="s">
        <v>264</v>
      </c>
      <c r="C8" s="38">
        <v>10</v>
      </c>
      <c r="D8" s="32">
        <v>8</v>
      </c>
      <c r="E8" s="32">
        <v>0</v>
      </c>
      <c r="F8" s="32">
        <v>2</v>
      </c>
      <c r="G8" s="32">
        <v>1</v>
      </c>
      <c r="H8" s="32">
        <f t="shared" ref="H8:H40" si="0">E8+F8+G8</f>
        <v>3</v>
      </c>
      <c r="I8" s="31">
        <f t="shared" ref="I8:I40" si="1">D8-H8</f>
        <v>5</v>
      </c>
      <c r="J8" s="35" t="s">
        <v>373</v>
      </c>
    </row>
    <row r="9" spans="1:10" s="29" customFormat="1" x14ac:dyDescent="0.3">
      <c r="A9" s="48">
        <v>2</v>
      </c>
      <c r="B9" s="9" t="s">
        <v>265</v>
      </c>
      <c r="C9" s="48">
        <v>17</v>
      </c>
      <c r="D9" s="47">
        <v>16</v>
      </c>
      <c r="E9" s="47">
        <v>0</v>
      </c>
      <c r="F9" s="47">
        <v>0</v>
      </c>
      <c r="G9" s="47">
        <v>1</v>
      </c>
      <c r="H9" s="32">
        <f t="shared" si="0"/>
        <v>1</v>
      </c>
      <c r="I9" s="31">
        <f t="shared" si="1"/>
        <v>15</v>
      </c>
      <c r="J9" s="51" t="s">
        <v>374</v>
      </c>
    </row>
    <row r="10" spans="1:10" s="29" customFormat="1" ht="15" customHeight="1" x14ac:dyDescent="0.3">
      <c r="A10" s="34">
        <v>3</v>
      </c>
      <c r="B10" s="9" t="s">
        <v>266</v>
      </c>
      <c r="C10" s="34">
        <v>7</v>
      </c>
      <c r="D10" s="33">
        <v>9</v>
      </c>
      <c r="E10" s="33">
        <v>0</v>
      </c>
      <c r="F10" s="33">
        <v>0</v>
      </c>
      <c r="G10" s="33">
        <v>2</v>
      </c>
      <c r="H10" s="32">
        <f t="shared" si="0"/>
        <v>2</v>
      </c>
      <c r="I10" s="31">
        <f t="shared" si="1"/>
        <v>7</v>
      </c>
      <c r="J10" s="9" t="s">
        <v>54</v>
      </c>
    </row>
    <row r="11" spans="1:10" s="29" customFormat="1" x14ac:dyDescent="0.3">
      <c r="A11" s="34">
        <v>4</v>
      </c>
      <c r="B11" s="9" t="s">
        <v>267</v>
      </c>
      <c r="C11" s="34">
        <v>14</v>
      </c>
      <c r="D11" s="33">
        <v>16</v>
      </c>
      <c r="E11" s="33">
        <v>1</v>
      </c>
      <c r="F11" s="33">
        <v>0</v>
      </c>
      <c r="G11" s="33">
        <v>0</v>
      </c>
      <c r="H11" s="32">
        <f t="shared" si="0"/>
        <v>1</v>
      </c>
      <c r="I11" s="31">
        <f t="shared" si="1"/>
        <v>15</v>
      </c>
      <c r="J11" s="30" t="s">
        <v>53</v>
      </c>
    </row>
    <row r="12" spans="1:10" s="29" customFormat="1" x14ac:dyDescent="0.3">
      <c r="A12" s="34">
        <v>5</v>
      </c>
      <c r="B12" s="9" t="s">
        <v>268</v>
      </c>
      <c r="C12" s="34">
        <v>0</v>
      </c>
      <c r="D12" s="33">
        <v>0</v>
      </c>
      <c r="E12" s="33">
        <v>0</v>
      </c>
      <c r="F12" s="33">
        <v>0</v>
      </c>
      <c r="G12" s="33">
        <v>0</v>
      </c>
      <c r="H12" s="32">
        <f t="shared" si="0"/>
        <v>0</v>
      </c>
      <c r="I12" s="31">
        <f t="shared" si="1"/>
        <v>0</v>
      </c>
      <c r="J12" s="30"/>
    </row>
    <row r="13" spans="1:10" s="29" customFormat="1" ht="15.75" customHeight="1" x14ac:dyDescent="0.3">
      <c r="A13" s="170" t="s">
        <v>52</v>
      </c>
      <c r="B13" s="170"/>
      <c r="C13" s="44"/>
      <c r="D13" s="44"/>
      <c r="E13" s="44"/>
      <c r="F13" s="44"/>
      <c r="G13" s="44"/>
      <c r="H13" s="32">
        <f t="shared" si="0"/>
        <v>0</v>
      </c>
      <c r="I13" s="31">
        <f t="shared" si="1"/>
        <v>0</v>
      </c>
      <c r="J13" s="30"/>
    </row>
    <row r="14" spans="1:10" s="29" customFormat="1" x14ac:dyDescent="0.3">
      <c r="A14" s="34">
        <v>6</v>
      </c>
      <c r="B14" s="35" t="s">
        <v>269</v>
      </c>
      <c r="C14" s="34">
        <v>0</v>
      </c>
      <c r="D14" s="33">
        <v>1</v>
      </c>
      <c r="E14" s="33">
        <v>0</v>
      </c>
      <c r="F14" s="33">
        <v>0</v>
      </c>
      <c r="G14" s="33">
        <v>1</v>
      </c>
      <c r="H14" s="32">
        <f t="shared" si="0"/>
        <v>1</v>
      </c>
      <c r="I14" s="31">
        <f t="shared" si="1"/>
        <v>0</v>
      </c>
      <c r="J14" s="30" t="s">
        <v>35</v>
      </c>
    </row>
    <row r="15" spans="1:10" s="29" customFormat="1" x14ac:dyDescent="0.3">
      <c r="A15" s="34">
        <v>7</v>
      </c>
      <c r="B15" s="35" t="s">
        <v>270</v>
      </c>
      <c r="C15" s="34">
        <v>0</v>
      </c>
      <c r="D15" s="33">
        <v>0</v>
      </c>
      <c r="E15" s="33">
        <v>0</v>
      </c>
      <c r="F15" s="33">
        <v>0</v>
      </c>
      <c r="G15" s="33">
        <v>0</v>
      </c>
      <c r="H15" s="32">
        <f t="shared" si="0"/>
        <v>0</v>
      </c>
      <c r="I15" s="31">
        <f t="shared" si="1"/>
        <v>0</v>
      </c>
      <c r="J15" s="30"/>
    </row>
    <row r="16" spans="1:10" s="29" customFormat="1" ht="15.75" customHeight="1" x14ac:dyDescent="0.3">
      <c r="A16" s="170" t="s">
        <v>51</v>
      </c>
      <c r="B16" s="170"/>
      <c r="C16" s="44"/>
      <c r="D16" s="44"/>
      <c r="E16" s="44"/>
      <c r="F16" s="44"/>
      <c r="G16" s="44"/>
      <c r="H16" s="32">
        <f t="shared" si="0"/>
        <v>0</v>
      </c>
      <c r="I16" s="31">
        <f t="shared" si="1"/>
        <v>0</v>
      </c>
      <c r="J16" s="30"/>
    </row>
    <row r="17" spans="1:10" s="29" customFormat="1" x14ac:dyDescent="0.3">
      <c r="A17" s="34">
        <v>8</v>
      </c>
      <c r="B17" s="35" t="s">
        <v>271</v>
      </c>
      <c r="C17" s="34">
        <v>31</v>
      </c>
      <c r="D17" s="33">
        <v>27</v>
      </c>
      <c r="E17" s="33">
        <v>1</v>
      </c>
      <c r="F17" s="33">
        <v>0</v>
      </c>
      <c r="G17" s="33">
        <v>0</v>
      </c>
      <c r="H17" s="32">
        <f t="shared" si="0"/>
        <v>1</v>
      </c>
      <c r="I17" s="31">
        <f t="shared" si="1"/>
        <v>26</v>
      </c>
      <c r="J17" s="30" t="s">
        <v>50</v>
      </c>
    </row>
    <row r="18" spans="1:10" s="29" customFormat="1" ht="41.4" x14ac:dyDescent="0.3">
      <c r="A18" s="38">
        <v>9</v>
      </c>
      <c r="B18" s="35" t="s">
        <v>272</v>
      </c>
      <c r="C18" s="38">
        <v>30</v>
      </c>
      <c r="D18" s="32">
        <v>29</v>
      </c>
      <c r="E18" s="32">
        <v>1</v>
      </c>
      <c r="F18" s="32">
        <v>0</v>
      </c>
      <c r="G18" s="32">
        <v>3</v>
      </c>
      <c r="H18" s="32">
        <f t="shared" si="0"/>
        <v>4</v>
      </c>
      <c r="I18" s="31">
        <f t="shared" si="1"/>
        <v>25</v>
      </c>
      <c r="J18" s="50" t="s">
        <v>90</v>
      </c>
    </row>
    <row r="19" spans="1:10" s="29" customFormat="1" x14ac:dyDescent="0.3">
      <c r="A19" s="42">
        <v>10</v>
      </c>
      <c r="B19" s="35" t="s">
        <v>273</v>
      </c>
      <c r="C19" s="42">
        <v>0</v>
      </c>
      <c r="D19" s="41">
        <v>0</v>
      </c>
      <c r="E19" s="41">
        <v>0</v>
      </c>
      <c r="F19" s="41">
        <v>0</v>
      </c>
      <c r="G19" s="41">
        <v>0</v>
      </c>
      <c r="H19" s="32">
        <f t="shared" si="0"/>
        <v>0</v>
      </c>
      <c r="I19" s="31">
        <f t="shared" si="1"/>
        <v>0</v>
      </c>
      <c r="J19" s="30"/>
    </row>
    <row r="20" spans="1:10" s="29" customFormat="1" x14ac:dyDescent="0.3">
      <c r="A20" s="34">
        <v>11</v>
      </c>
      <c r="B20" s="35" t="s">
        <v>274</v>
      </c>
      <c r="C20" s="34">
        <v>2</v>
      </c>
      <c r="D20" s="33">
        <v>4</v>
      </c>
      <c r="E20" s="33">
        <v>0</v>
      </c>
      <c r="F20" s="33">
        <v>0</v>
      </c>
      <c r="G20" s="33">
        <v>0</v>
      </c>
      <c r="H20" s="32">
        <f t="shared" si="0"/>
        <v>0</v>
      </c>
      <c r="I20" s="31">
        <f t="shared" si="1"/>
        <v>4</v>
      </c>
      <c r="J20" s="30"/>
    </row>
    <row r="21" spans="1:10" s="29" customFormat="1" x14ac:dyDescent="0.3">
      <c r="A21" s="34">
        <v>12</v>
      </c>
      <c r="B21" s="35" t="s">
        <v>275</v>
      </c>
      <c r="C21" s="34">
        <v>0</v>
      </c>
      <c r="D21" s="33">
        <v>0</v>
      </c>
      <c r="E21" s="33">
        <v>0</v>
      </c>
      <c r="F21" s="33">
        <v>0</v>
      </c>
      <c r="G21" s="33">
        <v>0</v>
      </c>
      <c r="H21" s="32">
        <f t="shared" si="0"/>
        <v>0</v>
      </c>
      <c r="I21" s="31">
        <f t="shared" si="1"/>
        <v>0</v>
      </c>
      <c r="J21" s="30"/>
    </row>
    <row r="22" spans="1:10" s="29" customFormat="1" x14ac:dyDescent="0.3">
      <c r="A22" s="34">
        <v>13</v>
      </c>
      <c r="B22" s="35" t="s">
        <v>276</v>
      </c>
      <c r="C22" s="34">
        <v>2</v>
      </c>
      <c r="D22" s="33">
        <v>7</v>
      </c>
      <c r="E22" s="33">
        <v>1</v>
      </c>
      <c r="F22" s="33">
        <v>0</v>
      </c>
      <c r="G22" s="33">
        <v>0</v>
      </c>
      <c r="H22" s="32">
        <f t="shared" si="0"/>
        <v>1</v>
      </c>
      <c r="I22" s="31">
        <f t="shared" si="1"/>
        <v>6</v>
      </c>
      <c r="J22" s="30" t="s">
        <v>49</v>
      </c>
    </row>
    <row r="23" spans="1:10" s="29" customFormat="1" x14ac:dyDescent="0.3">
      <c r="A23" s="34">
        <v>14</v>
      </c>
      <c r="B23" s="35" t="s">
        <v>277</v>
      </c>
      <c r="C23" s="34">
        <v>15</v>
      </c>
      <c r="D23" s="33">
        <v>15</v>
      </c>
      <c r="E23" s="33">
        <v>0</v>
      </c>
      <c r="F23" s="33">
        <v>0</v>
      </c>
      <c r="G23" s="33">
        <v>0</v>
      </c>
      <c r="H23" s="32">
        <f t="shared" si="0"/>
        <v>0</v>
      </c>
      <c r="I23" s="31">
        <f t="shared" si="1"/>
        <v>15</v>
      </c>
      <c r="J23" s="30"/>
    </row>
    <row r="24" spans="1:10" s="29" customFormat="1" x14ac:dyDescent="0.3">
      <c r="A24" s="37">
        <v>15</v>
      </c>
      <c r="B24" s="35" t="s">
        <v>278</v>
      </c>
      <c r="C24" s="37">
        <v>1</v>
      </c>
      <c r="D24" s="36">
        <v>4</v>
      </c>
      <c r="E24" s="36">
        <v>1</v>
      </c>
      <c r="F24" s="36">
        <v>0</v>
      </c>
      <c r="G24" s="36">
        <v>0</v>
      </c>
      <c r="H24" s="32">
        <f t="shared" si="0"/>
        <v>1</v>
      </c>
      <c r="I24" s="31">
        <f t="shared" si="1"/>
        <v>3</v>
      </c>
      <c r="J24" s="35" t="s">
        <v>372</v>
      </c>
    </row>
    <row r="25" spans="1:10" s="29" customFormat="1" x14ac:dyDescent="0.3">
      <c r="A25" s="34">
        <v>16</v>
      </c>
      <c r="B25" s="35" t="s">
        <v>279</v>
      </c>
      <c r="C25" s="34">
        <v>0</v>
      </c>
      <c r="D25" s="33">
        <v>5</v>
      </c>
      <c r="E25" s="33">
        <v>0</v>
      </c>
      <c r="F25" s="33">
        <v>0</v>
      </c>
      <c r="G25" s="33">
        <v>0</v>
      </c>
      <c r="H25" s="32">
        <f t="shared" si="0"/>
        <v>0</v>
      </c>
      <c r="I25" s="31">
        <f t="shared" si="1"/>
        <v>5</v>
      </c>
      <c r="J25" s="30"/>
    </row>
    <row r="26" spans="1:10" s="29" customFormat="1" ht="15.75" customHeight="1" x14ac:dyDescent="0.3">
      <c r="A26" s="170" t="s">
        <v>48</v>
      </c>
      <c r="B26" s="170"/>
      <c r="C26" s="44"/>
      <c r="D26" s="44"/>
      <c r="E26" s="44"/>
      <c r="F26" s="44"/>
      <c r="G26" s="44"/>
      <c r="H26" s="32">
        <f t="shared" si="0"/>
        <v>0</v>
      </c>
      <c r="I26" s="31">
        <f t="shared" si="1"/>
        <v>0</v>
      </c>
      <c r="J26" s="30"/>
    </row>
    <row r="27" spans="1:10" s="29" customFormat="1" x14ac:dyDescent="0.3">
      <c r="A27" s="37">
        <v>17</v>
      </c>
      <c r="B27" s="49" t="s">
        <v>361</v>
      </c>
      <c r="C27" s="48">
        <v>3</v>
      </c>
      <c r="D27" s="47">
        <v>2</v>
      </c>
      <c r="E27" s="47">
        <v>0</v>
      </c>
      <c r="F27" s="47">
        <v>0</v>
      </c>
      <c r="G27" s="47">
        <v>1</v>
      </c>
      <c r="H27" s="32">
        <f t="shared" si="0"/>
        <v>1</v>
      </c>
      <c r="I27" s="31">
        <f t="shared" si="1"/>
        <v>1</v>
      </c>
      <c r="J27" s="16" t="s">
        <v>91</v>
      </c>
    </row>
    <row r="28" spans="1:10" s="29" customFormat="1" x14ac:dyDescent="0.3">
      <c r="A28" s="34">
        <v>18</v>
      </c>
      <c r="B28" s="49" t="s">
        <v>280</v>
      </c>
      <c r="C28" s="34">
        <v>12</v>
      </c>
      <c r="D28" s="33">
        <v>12</v>
      </c>
      <c r="E28" s="33">
        <v>0</v>
      </c>
      <c r="F28" s="33">
        <v>0</v>
      </c>
      <c r="G28" s="33">
        <v>0</v>
      </c>
      <c r="H28" s="32">
        <f t="shared" si="0"/>
        <v>0</v>
      </c>
      <c r="I28" s="31">
        <f t="shared" si="1"/>
        <v>12</v>
      </c>
      <c r="J28" s="30"/>
    </row>
    <row r="29" spans="1:10" s="29" customFormat="1" ht="45" x14ac:dyDescent="0.3">
      <c r="A29" s="38">
        <v>19</v>
      </c>
      <c r="B29" s="49" t="s">
        <v>281</v>
      </c>
      <c r="C29" s="38">
        <v>6</v>
      </c>
      <c r="D29" s="32">
        <v>8</v>
      </c>
      <c r="E29" s="32">
        <v>0</v>
      </c>
      <c r="F29" s="32">
        <v>0</v>
      </c>
      <c r="G29" s="32">
        <v>2</v>
      </c>
      <c r="H29" s="32">
        <f t="shared" si="0"/>
        <v>2</v>
      </c>
      <c r="I29" s="31">
        <f t="shared" si="1"/>
        <v>6</v>
      </c>
      <c r="J29" s="9" t="s">
        <v>371</v>
      </c>
    </row>
    <row r="30" spans="1:10" s="29" customFormat="1" x14ac:dyDescent="0.3">
      <c r="A30" s="34">
        <v>20</v>
      </c>
      <c r="B30" s="49" t="s">
        <v>282</v>
      </c>
      <c r="C30" s="34">
        <v>0</v>
      </c>
      <c r="D30" s="33">
        <v>42</v>
      </c>
      <c r="E30" s="33">
        <v>0</v>
      </c>
      <c r="F30" s="33">
        <v>0</v>
      </c>
      <c r="G30" s="33">
        <v>0</v>
      </c>
      <c r="H30" s="32">
        <f t="shared" si="0"/>
        <v>0</v>
      </c>
      <c r="I30" s="31">
        <f t="shared" si="1"/>
        <v>42</v>
      </c>
      <c r="J30" s="35"/>
    </row>
    <row r="31" spans="1:10" s="29" customFormat="1" ht="15.6" x14ac:dyDescent="0.3">
      <c r="A31" s="170" t="s">
        <v>47</v>
      </c>
      <c r="B31" s="170"/>
      <c r="C31" s="46"/>
      <c r="D31" s="45"/>
      <c r="E31" s="45"/>
      <c r="F31" s="45"/>
      <c r="G31" s="45"/>
      <c r="H31" s="32">
        <f t="shared" si="0"/>
        <v>0</v>
      </c>
      <c r="I31" s="31">
        <f t="shared" si="1"/>
        <v>0</v>
      </c>
      <c r="J31" s="30"/>
    </row>
    <row r="32" spans="1:10" s="29" customFormat="1" x14ac:dyDescent="0.3">
      <c r="A32" s="34">
        <v>21</v>
      </c>
      <c r="B32" s="35" t="s">
        <v>283</v>
      </c>
      <c r="C32" s="34">
        <v>0</v>
      </c>
      <c r="D32" s="33">
        <v>0</v>
      </c>
      <c r="E32" s="33">
        <v>0</v>
      </c>
      <c r="F32" s="33">
        <v>0</v>
      </c>
      <c r="G32" s="33">
        <v>0</v>
      </c>
      <c r="H32" s="32">
        <f t="shared" si="0"/>
        <v>0</v>
      </c>
      <c r="I32" s="31">
        <f t="shared" si="1"/>
        <v>0</v>
      </c>
      <c r="J32" s="30"/>
    </row>
    <row r="33" spans="1:10" s="29" customFormat="1" x14ac:dyDescent="0.3">
      <c r="A33" s="34">
        <v>22</v>
      </c>
      <c r="B33" s="35" t="s">
        <v>362</v>
      </c>
      <c r="C33" s="34">
        <v>3</v>
      </c>
      <c r="D33" s="33">
        <v>5</v>
      </c>
      <c r="E33" s="33">
        <v>0</v>
      </c>
      <c r="F33" s="33">
        <v>0</v>
      </c>
      <c r="G33" s="33">
        <v>0</v>
      </c>
      <c r="H33" s="32">
        <f t="shared" si="0"/>
        <v>0</v>
      </c>
      <c r="I33" s="31">
        <f t="shared" si="1"/>
        <v>5</v>
      </c>
      <c r="J33" s="30"/>
    </row>
    <row r="34" spans="1:10" s="29" customFormat="1" x14ac:dyDescent="0.3">
      <c r="A34" s="34">
        <v>23</v>
      </c>
      <c r="B34" s="35" t="s">
        <v>284</v>
      </c>
      <c r="C34" s="34">
        <v>8</v>
      </c>
      <c r="D34" s="33">
        <v>16</v>
      </c>
      <c r="E34" s="33">
        <v>0</v>
      </c>
      <c r="F34" s="33">
        <v>0</v>
      </c>
      <c r="G34" s="33">
        <v>0</v>
      </c>
      <c r="H34" s="32">
        <f t="shared" si="0"/>
        <v>0</v>
      </c>
      <c r="I34" s="31">
        <f t="shared" si="1"/>
        <v>16</v>
      </c>
      <c r="J34" s="30"/>
    </row>
    <row r="35" spans="1:10" s="29" customFormat="1" x14ac:dyDescent="0.3">
      <c r="A35" s="34">
        <v>24</v>
      </c>
      <c r="B35" s="35" t="s">
        <v>285</v>
      </c>
      <c r="C35" s="34">
        <v>6</v>
      </c>
      <c r="D35" s="33">
        <v>9</v>
      </c>
      <c r="E35" s="33">
        <v>0</v>
      </c>
      <c r="F35" s="33">
        <v>0</v>
      </c>
      <c r="G35" s="33">
        <v>0</v>
      </c>
      <c r="H35" s="32">
        <f t="shared" si="0"/>
        <v>0</v>
      </c>
      <c r="I35" s="31">
        <f t="shared" si="1"/>
        <v>9</v>
      </c>
      <c r="J35" s="30"/>
    </row>
    <row r="36" spans="1:10" s="29" customFormat="1" x14ac:dyDescent="0.3">
      <c r="A36" s="34">
        <v>25</v>
      </c>
      <c r="B36" s="35" t="s">
        <v>286</v>
      </c>
      <c r="C36" s="34">
        <v>3</v>
      </c>
      <c r="D36" s="33">
        <v>11</v>
      </c>
      <c r="E36" s="33">
        <v>0</v>
      </c>
      <c r="F36" s="33">
        <v>0</v>
      </c>
      <c r="G36" s="33">
        <v>0</v>
      </c>
      <c r="H36" s="32">
        <f t="shared" si="0"/>
        <v>0</v>
      </c>
      <c r="I36" s="31">
        <f t="shared" si="1"/>
        <v>11</v>
      </c>
      <c r="J36" s="30"/>
    </row>
    <row r="37" spans="1:10" s="29" customFormat="1" ht="15.75" customHeight="1" x14ac:dyDescent="0.3">
      <c r="A37" s="170" t="s">
        <v>46</v>
      </c>
      <c r="B37" s="170"/>
      <c r="C37" s="44"/>
      <c r="D37" s="44"/>
      <c r="E37" s="44"/>
      <c r="F37" s="44"/>
      <c r="G37" s="44"/>
      <c r="H37" s="32">
        <f t="shared" si="0"/>
        <v>0</v>
      </c>
      <c r="I37" s="31">
        <f t="shared" si="1"/>
        <v>0</v>
      </c>
      <c r="J37" s="30"/>
    </row>
    <row r="38" spans="1:10" s="29" customFormat="1" x14ac:dyDescent="0.3">
      <c r="A38" s="34">
        <v>26</v>
      </c>
      <c r="B38" s="35" t="s">
        <v>287</v>
      </c>
      <c r="C38" s="34">
        <v>8</v>
      </c>
      <c r="D38" s="33">
        <v>7</v>
      </c>
      <c r="E38" s="33">
        <v>0</v>
      </c>
      <c r="F38" s="33">
        <v>0</v>
      </c>
      <c r="G38" s="33">
        <v>0</v>
      </c>
      <c r="H38" s="32">
        <f t="shared" si="0"/>
        <v>0</v>
      </c>
      <c r="I38" s="31">
        <f t="shared" si="1"/>
        <v>7</v>
      </c>
      <c r="J38" s="30"/>
    </row>
    <row r="39" spans="1:10" s="29" customFormat="1" x14ac:dyDescent="0.3">
      <c r="A39" s="34">
        <v>27</v>
      </c>
      <c r="B39" s="35" t="s">
        <v>363</v>
      </c>
      <c r="C39" s="34">
        <v>0</v>
      </c>
      <c r="D39" s="33">
        <v>3</v>
      </c>
      <c r="E39" s="33">
        <v>0</v>
      </c>
      <c r="F39" s="33">
        <v>0</v>
      </c>
      <c r="G39" s="33">
        <v>0</v>
      </c>
      <c r="H39" s="32">
        <f t="shared" si="0"/>
        <v>0</v>
      </c>
      <c r="I39" s="31">
        <f t="shared" si="1"/>
        <v>3</v>
      </c>
      <c r="J39" s="30"/>
    </row>
    <row r="40" spans="1:10" s="29" customFormat="1" x14ac:dyDescent="0.3">
      <c r="A40" s="34">
        <v>28</v>
      </c>
      <c r="B40" s="35" t="s">
        <v>288</v>
      </c>
      <c r="C40" s="34">
        <v>14</v>
      </c>
      <c r="D40" s="33">
        <v>14</v>
      </c>
      <c r="E40" s="33">
        <v>0</v>
      </c>
      <c r="F40" s="33">
        <v>0</v>
      </c>
      <c r="G40" s="33">
        <v>0</v>
      </c>
      <c r="H40" s="32">
        <f t="shared" si="0"/>
        <v>0</v>
      </c>
      <c r="I40" s="31">
        <f t="shared" si="1"/>
        <v>14</v>
      </c>
      <c r="J40" s="30"/>
    </row>
    <row r="41" spans="1:10" s="29" customFormat="1" ht="16.5" customHeight="1" x14ac:dyDescent="0.3">
      <c r="A41" s="170" t="s">
        <v>45</v>
      </c>
      <c r="B41" s="170"/>
      <c r="C41" s="44"/>
      <c r="D41" s="44"/>
      <c r="E41" s="44"/>
      <c r="F41" s="44"/>
      <c r="G41" s="44"/>
      <c r="H41" s="32"/>
      <c r="I41" s="31"/>
      <c r="J41" s="30"/>
    </row>
    <row r="42" spans="1:10" s="29" customFormat="1" x14ac:dyDescent="0.3">
      <c r="A42" s="34">
        <v>29</v>
      </c>
      <c r="B42" s="35" t="s">
        <v>289</v>
      </c>
      <c r="C42" s="34">
        <v>0</v>
      </c>
      <c r="D42" s="33">
        <v>0</v>
      </c>
      <c r="E42" s="33">
        <v>0</v>
      </c>
      <c r="F42" s="33">
        <v>0</v>
      </c>
      <c r="G42" s="33">
        <v>0</v>
      </c>
      <c r="H42" s="32">
        <f t="shared" ref="H42:H51" si="2">E42+F42+G42</f>
        <v>0</v>
      </c>
      <c r="I42" s="31">
        <f t="shared" ref="I42:I51" si="3">D42-H42</f>
        <v>0</v>
      </c>
      <c r="J42" s="30"/>
    </row>
    <row r="43" spans="1:10" s="29" customFormat="1" x14ac:dyDescent="0.3">
      <c r="A43" s="34">
        <v>30</v>
      </c>
      <c r="B43" s="35" t="s">
        <v>364</v>
      </c>
      <c r="C43" s="34">
        <v>0</v>
      </c>
      <c r="D43" s="33">
        <v>0</v>
      </c>
      <c r="E43" s="33">
        <v>0</v>
      </c>
      <c r="F43" s="33">
        <v>0</v>
      </c>
      <c r="G43" s="33">
        <v>0</v>
      </c>
      <c r="H43" s="32">
        <f t="shared" si="2"/>
        <v>0</v>
      </c>
      <c r="I43" s="31">
        <f t="shared" si="3"/>
        <v>0</v>
      </c>
      <c r="J43" s="30"/>
    </row>
    <row r="44" spans="1:10" s="29" customFormat="1" x14ac:dyDescent="0.3">
      <c r="A44" s="34">
        <v>31</v>
      </c>
      <c r="B44" s="35" t="s">
        <v>290</v>
      </c>
      <c r="C44" s="34">
        <v>0</v>
      </c>
      <c r="D44" s="33">
        <v>0</v>
      </c>
      <c r="E44" s="33">
        <v>0</v>
      </c>
      <c r="F44" s="33">
        <v>0</v>
      </c>
      <c r="G44" s="33">
        <v>0</v>
      </c>
      <c r="H44" s="32">
        <f t="shared" si="2"/>
        <v>0</v>
      </c>
      <c r="I44" s="31">
        <f t="shared" si="3"/>
        <v>0</v>
      </c>
      <c r="J44" s="30"/>
    </row>
    <row r="45" spans="1:10" s="29" customFormat="1" x14ac:dyDescent="0.3">
      <c r="A45" s="42">
        <v>32</v>
      </c>
      <c r="B45" s="35" t="s">
        <v>291</v>
      </c>
      <c r="C45" s="42">
        <v>96</v>
      </c>
      <c r="D45" s="41">
        <v>27</v>
      </c>
      <c r="E45" s="41">
        <v>0</v>
      </c>
      <c r="F45" s="41">
        <v>1</v>
      </c>
      <c r="G45" s="41">
        <v>0</v>
      </c>
      <c r="H45" s="32">
        <f t="shared" si="2"/>
        <v>1</v>
      </c>
      <c r="I45" s="31">
        <f t="shared" si="3"/>
        <v>26</v>
      </c>
      <c r="J45" s="30"/>
    </row>
    <row r="46" spans="1:10" s="29" customFormat="1" x14ac:dyDescent="0.3">
      <c r="A46" s="34">
        <v>33</v>
      </c>
      <c r="B46" s="35" t="s">
        <v>292</v>
      </c>
      <c r="C46" s="34">
        <v>104</v>
      </c>
      <c r="D46" s="33">
        <v>47</v>
      </c>
      <c r="E46" s="33">
        <v>0</v>
      </c>
      <c r="F46" s="33">
        <v>0</v>
      </c>
      <c r="G46" s="33">
        <v>0</v>
      </c>
      <c r="H46" s="32">
        <f t="shared" si="2"/>
        <v>0</v>
      </c>
      <c r="I46" s="31">
        <f t="shared" si="3"/>
        <v>47</v>
      </c>
      <c r="J46" s="30"/>
    </row>
    <row r="47" spans="1:10" s="29" customFormat="1" x14ac:dyDescent="0.3">
      <c r="A47" s="34">
        <v>34</v>
      </c>
      <c r="B47" s="35" t="s">
        <v>293</v>
      </c>
      <c r="C47" s="34">
        <v>0</v>
      </c>
      <c r="D47" s="33">
        <v>5</v>
      </c>
      <c r="E47" s="33">
        <v>0</v>
      </c>
      <c r="F47" s="33">
        <v>0</v>
      </c>
      <c r="G47" s="33">
        <v>0</v>
      </c>
      <c r="H47" s="32">
        <f t="shared" si="2"/>
        <v>0</v>
      </c>
      <c r="I47" s="31">
        <f t="shared" si="3"/>
        <v>5</v>
      </c>
      <c r="J47" s="30"/>
    </row>
    <row r="48" spans="1:10" s="29" customFormat="1" x14ac:dyDescent="0.3">
      <c r="A48" s="34">
        <v>35</v>
      </c>
      <c r="B48" s="35" t="s">
        <v>294</v>
      </c>
      <c r="C48" s="34">
        <v>4</v>
      </c>
      <c r="D48" s="33">
        <v>3</v>
      </c>
      <c r="E48" s="33">
        <v>0</v>
      </c>
      <c r="F48" s="33">
        <v>0</v>
      </c>
      <c r="G48" s="33">
        <v>0</v>
      </c>
      <c r="H48" s="32">
        <f t="shared" si="2"/>
        <v>0</v>
      </c>
      <c r="I48" s="31">
        <f t="shared" si="3"/>
        <v>3</v>
      </c>
      <c r="J48" s="30"/>
    </row>
    <row r="49" spans="1:10" s="29" customFormat="1" x14ac:dyDescent="0.3">
      <c r="A49" s="34">
        <v>36</v>
      </c>
      <c r="B49" s="35" t="s">
        <v>295</v>
      </c>
      <c r="C49" s="34">
        <v>0</v>
      </c>
      <c r="D49" s="33">
        <v>1</v>
      </c>
      <c r="E49" s="33">
        <v>0</v>
      </c>
      <c r="F49" s="33">
        <v>0</v>
      </c>
      <c r="G49" s="33">
        <v>0</v>
      </c>
      <c r="H49" s="32">
        <f t="shared" si="2"/>
        <v>0</v>
      </c>
      <c r="I49" s="31">
        <f t="shared" si="3"/>
        <v>1</v>
      </c>
      <c r="J49" s="30"/>
    </row>
    <row r="50" spans="1:10" s="29" customFormat="1" x14ac:dyDescent="0.3">
      <c r="A50" s="37">
        <v>37</v>
      </c>
      <c r="B50" s="35" t="s">
        <v>296</v>
      </c>
      <c r="C50" s="37">
        <v>0</v>
      </c>
      <c r="D50" s="36">
        <v>0</v>
      </c>
      <c r="E50" s="36">
        <v>0</v>
      </c>
      <c r="F50" s="36">
        <v>0</v>
      </c>
      <c r="G50" s="36">
        <v>0</v>
      </c>
      <c r="H50" s="32">
        <f t="shared" si="2"/>
        <v>0</v>
      </c>
      <c r="I50" s="31">
        <f t="shared" si="3"/>
        <v>0</v>
      </c>
      <c r="J50" s="30"/>
    </row>
    <row r="51" spans="1:10" s="29" customFormat="1" x14ac:dyDescent="0.3">
      <c r="A51" s="34">
        <v>38</v>
      </c>
      <c r="B51" s="35" t="s">
        <v>297</v>
      </c>
      <c r="C51" s="34">
        <v>0</v>
      </c>
      <c r="D51" s="33">
        <v>0</v>
      </c>
      <c r="E51" s="33">
        <v>0</v>
      </c>
      <c r="F51" s="33">
        <v>0</v>
      </c>
      <c r="G51" s="33">
        <v>0</v>
      </c>
      <c r="H51" s="32">
        <f t="shared" si="2"/>
        <v>0</v>
      </c>
      <c r="I51" s="31">
        <f t="shared" si="3"/>
        <v>0</v>
      </c>
      <c r="J51" s="30"/>
    </row>
    <row r="52" spans="1:10" s="29" customFormat="1" ht="15.75" customHeight="1" x14ac:dyDescent="0.3">
      <c r="A52" s="170" t="s">
        <v>44</v>
      </c>
      <c r="B52" s="170"/>
      <c r="C52" s="44"/>
      <c r="D52" s="44"/>
      <c r="E52" s="44"/>
      <c r="F52" s="44"/>
      <c r="G52" s="44"/>
      <c r="H52" s="32"/>
      <c r="I52" s="31"/>
      <c r="J52" s="30"/>
    </row>
    <row r="53" spans="1:10" s="29" customFormat="1" x14ac:dyDescent="0.3">
      <c r="A53" s="34">
        <v>39</v>
      </c>
      <c r="B53" s="35" t="s">
        <v>298</v>
      </c>
      <c r="C53" s="34">
        <v>0</v>
      </c>
      <c r="D53" s="33">
        <v>0</v>
      </c>
      <c r="E53" s="33">
        <v>0</v>
      </c>
      <c r="F53" s="33">
        <v>0</v>
      </c>
      <c r="G53" s="33">
        <v>0</v>
      </c>
      <c r="H53" s="32">
        <f t="shared" ref="H53:H65" si="4">E53+F53+G53</f>
        <v>0</v>
      </c>
      <c r="I53" s="31">
        <f t="shared" ref="I53:I65" si="5">D53-H53</f>
        <v>0</v>
      </c>
      <c r="J53" s="30"/>
    </row>
    <row r="54" spans="1:10" s="29" customFormat="1" x14ac:dyDescent="0.3">
      <c r="A54" s="34">
        <v>40</v>
      </c>
      <c r="B54" s="35" t="s">
        <v>365</v>
      </c>
      <c r="C54" s="34">
        <v>0</v>
      </c>
      <c r="D54" s="33">
        <v>0</v>
      </c>
      <c r="E54" s="33">
        <v>0</v>
      </c>
      <c r="F54" s="33">
        <v>0</v>
      </c>
      <c r="G54" s="33">
        <v>0</v>
      </c>
      <c r="H54" s="32">
        <f t="shared" si="4"/>
        <v>0</v>
      </c>
      <c r="I54" s="31">
        <f t="shared" si="5"/>
        <v>0</v>
      </c>
      <c r="J54" s="30"/>
    </row>
    <row r="55" spans="1:10" s="29" customFormat="1" ht="15.75" customHeight="1" x14ac:dyDescent="0.3">
      <c r="A55" s="170" t="s">
        <v>43</v>
      </c>
      <c r="B55" s="170"/>
      <c r="C55" s="44"/>
      <c r="D55" s="44"/>
      <c r="E55" s="44"/>
      <c r="F55" s="44"/>
      <c r="G55" s="44"/>
      <c r="H55" s="32">
        <f t="shared" si="4"/>
        <v>0</v>
      </c>
      <c r="I55" s="31">
        <f t="shared" si="5"/>
        <v>0</v>
      </c>
      <c r="J55" s="30"/>
    </row>
    <row r="56" spans="1:10" s="29" customFormat="1" x14ac:dyDescent="0.3">
      <c r="A56" s="34">
        <v>41</v>
      </c>
      <c r="B56" s="35" t="s">
        <v>299</v>
      </c>
      <c r="C56" s="34">
        <v>5</v>
      </c>
      <c r="D56" s="33">
        <v>17</v>
      </c>
      <c r="E56" s="33">
        <v>0</v>
      </c>
      <c r="F56" s="33">
        <v>0</v>
      </c>
      <c r="G56" s="33">
        <v>0</v>
      </c>
      <c r="H56" s="32">
        <f t="shared" si="4"/>
        <v>0</v>
      </c>
      <c r="I56" s="31">
        <f t="shared" si="5"/>
        <v>17</v>
      </c>
      <c r="J56" s="30"/>
    </row>
    <row r="57" spans="1:10" s="29" customFormat="1" x14ac:dyDescent="0.3">
      <c r="A57" s="34">
        <v>42</v>
      </c>
      <c r="B57" s="35" t="s">
        <v>366</v>
      </c>
      <c r="C57" s="34">
        <v>48</v>
      </c>
      <c r="D57" s="33">
        <v>23</v>
      </c>
      <c r="E57" s="33">
        <v>0</v>
      </c>
      <c r="F57" s="33">
        <v>0</v>
      </c>
      <c r="G57" s="33">
        <v>0</v>
      </c>
      <c r="H57" s="32">
        <f t="shared" si="4"/>
        <v>0</v>
      </c>
      <c r="I57" s="31">
        <f t="shared" si="5"/>
        <v>23</v>
      </c>
      <c r="J57" s="30"/>
    </row>
    <row r="58" spans="1:10" s="29" customFormat="1" x14ac:dyDescent="0.3">
      <c r="A58" s="34">
        <v>43</v>
      </c>
      <c r="B58" s="35" t="s">
        <v>300</v>
      </c>
      <c r="C58" s="34">
        <v>4</v>
      </c>
      <c r="D58" s="33">
        <v>4</v>
      </c>
      <c r="E58" s="33">
        <v>0</v>
      </c>
      <c r="F58" s="33">
        <v>0</v>
      </c>
      <c r="G58" s="33">
        <v>0</v>
      </c>
      <c r="H58" s="32">
        <f t="shared" si="4"/>
        <v>0</v>
      </c>
      <c r="I58" s="31">
        <f t="shared" si="5"/>
        <v>4</v>
      </c>
      <c r="J58" s="30"/>
    </row>
    <row r="59" spans="1:10" s="29" customFormat="1" x14ac:dyDescent="0.3">
      <c r="A59" s="34">
        <v>44</v>
      </c>
      <c r="B59" s="35" t="s">
        <v>301</v>
      </c>
      <c r="C59" s="34">
        <v>15</v>
      </c>
      <c r="D59" s="33">
        <v>12</v>
      </c>
      <c r="E59" s="33">
        <v>0</v>
      </c>
      <c r="F59" s="33">
        <v>0</v>
      </c>
      <c r="G59" s="33">
        <v>0</v>
      </c>
      <c r="H59" s="32">
        <f t="shared" si="4"/>
        <v>0</v>
      </c>
      <c r="I59" s="31">
        <f t="shared" si="5"/>
        <v>12</v>
      </c>
      <c r="J59" s="30"/>
    </row>
    <row r="60" spans="1:10" s="29" customFormat="1" x14ac:dyDescent="0.3">
      <c r="A60" s="34">
        <v>45</v>
      </c>
      <c r="B60" s="35" t="s">
        <v>302</v>
      </c>
      <c r="C60" s="34">
        <v>0</v>
      </c>
      <c r="D60" s="33">
        <v>0</v>
      </c>
      <c r="E60" s="33">
        <v>0</v>
      </c>
      <c r="F60" s="33">
        <v>0</v>
      </c>
      <c r="G60" s="33">
        <v>0</v>
      </c>
      <c r="H60" s="32">
        <f t="shared" si="4"/>
        <v>0</v>
      </c>
      <c r="I60" s="31">
        <f t="shared" si="5"/>
        <v>0</v>
      </c>
      <c r="J60" s="30"/>
    </row>
    <row r="61" spans="1:10" s="29" customFormat="1" x14ac:dyDescent="0.3">
      <c r="A61" s="34">
        <v>46</v>
      </c>
      <c r="B61" s="35" t="s">
        <v>303</v>
      </c>
      <c r="C61" s="34">
        <v>0</v>
      </c>
      <c r="D61" s="33">
        <v>0</v>
      </c>
      <c r="E61" s="33">
        <v>0</v>
      </c>
      <c r="F61" s="33">
        <v>0</v>
      </c>
      <c r="G61" s="33">
        <v>0</v>
      </c>
      <c r="H61" s="32">
        <f t="shared" si="4"/>
        <v>0</v>
      </c>
      <c r="I61" s="31">
        <f t="shared" si="5"/>
        <v>0</v>
      </c>
      <c r="J61" s="30"/>
    </row>
    <row r="62" spans="1:10" s="29" customFormat="1" x14ac:dyDescent="0.3">
      <c r="A62" s="34">
        <v>47</v>
      </c>
      <c r="B62" s="35" t="s">
        <v>304</v>
      </c>
      <c r="C62" s="34">
        <v>0</v>
      </c>
      <c r="D62" s="33">
        <v>0</v>
      </c>
      <c r="E62" s="33">
        <v>0</v>
      </c>
      <c r="F62" s="33">
        <v>0</v>
      </c>
      <c r="G62" s="33">
        <v>0</v>
      </c>
      <c r="H62" s="32">
        <f t="shared" si="4"/>
        <v>0</v>
      </c>
      <c r="I62" s="31">
        <f t="shared" si="5"/>
        <v>0</v>
      </c>
      <c r="J62" s="30"/>
    </row>
    <row r="63" spans="1:10" s="29" customFormat="1" x14ac:dyDescent="0.3">
      <c r="A63" s="34">
        <v>48</v>
      </c>
      <c r="B63" s="35" t="s">
        <v>305</v>
      </c>
      <c r="C63" s="34">
        <v>0</v>
      </c>
      <c r="D63" s="33">
        <v>0</v>
      </c>
      <c r="E63" s="33">
        <v>0</v>
      </c>
      <c r="F63" s="33">
        <v>0</v>
      </c>
      <c r="G63" s="33">
        <v>0</v>
      </c>
      <c r="H63" s="32">
        <f t="shared" si="4"/>
        <v>0</v>
      </c>
      <c r="I63" s="31">
        <f t="shared" si="5"/>
        <v>0</v>
      </c>
      <c r="J63" s="30"/>
    </row>
    <row r="64" spans="1:10" s="29" customFormat="1" x14ac:dyDescent="0.3">
      <c r="A64" s="34">
        <v>49</v>
      </c>
      <c r="B64" s="35" t="s">
        <v>306</v>
      </c>
      <c r="C64" s="34">
        <v>0</v>
      </c>
      <c r="D64" s="33">
        <v>2</v>
      </c>
      <c r="E64" s="33">
        <v>0</v>
      </c>
      <c r="F64" s="33">
        <v>0</v>
      </c>
      <c r="G64" s="33">
        <v>0</v>
      </c>
      <c r="H64" s="32">
        <f t="shared" si="4"/>
        <v>0</v>
      </c>
      <c r="I64" s="31">
        <f t="shared" si="5"/>
        <v>2</v>
      </c>
      <c r="J64" s="30"/>
    </row>
    <row r="65" spans="1:10" s="29" customFormat="1" x14ac:dyDescent="0.3">
      <c r="A65" s="34">
        <v>50</v>
      </c>
      <c r="B65" s="35" t="s">
        <v>307</v>
      </c>
      <c r="C65" s="34">
        <v>26</v>
      </c>
      <c r="D65" s="33">
        <v>63</v>
      </c>
      <c r="E65" s="33">
        <v>0</v>
      </c>
      <c r="F65" s="33">
        <v>0</v>
      </c>
      <c r="G65" s="33">
        <v>14</v>
      </c>
      <c r="H65" s="32">
        <f t="shared" si="4"/>
        <v>14</v>
      </c>
      <c r="I65" s="31">
        <f t="shared" si="5"/>
        <v>49</v>
      </c>
      <c r="J65" s="35" t="s">
        <v>42</v>
      </c>
    </row>
    <row r="66" spans="1:10" s="29" customFormat="1" ht="15.75" customHeight="1" x14ac:dyDescent="0.3">
      <c r="A66" s="170" t="s">
        <v>41</v>
      </c>
      <c r="B66" s="170"/>
      <c r="C66" s="44"/>
      <c r="D66" s="44"/>
      <c r="E66" s="44"/>
      <c r="F66" s="44"/>
      <c r="G66" s="44"/>
      <c r="H66" s="32"/>
      <c r="I66" s="31"/>
      <c r="J66" s="30"/>
    </row>
    <row r="67" spans="1:10" s="29" customFormat="1" ht="15.75" customHeight="1" x14ac:dyDescent="0.3">
      <c r="A67" s="170" t="s">
        <v>40</v>
      </c>
      <c r="B67" s="170"/>
      <c r="C67" s="44"/>
      <c r="D67" s="44"/>
      <c r="E67" s="44"/>
      <c r="F67" s="44"/>
      <c r="G67" s="44"/>
      <c r="H67" s="32"/>
      <c r="I67" s="31"/>
      <c r="J67" s="30"/>
    </row>
    <row r="68" spans="1:10" s="29" customFormat="1" x14ac:dyDescent="0.3">
      <c r="A68" s="38">
        <v>51</v>
      </c>
      <c r="B68" s="9" t="s">
        <v>367</v>
      </c>
      <c r="C68" s="38">
        <v>9</v>
      </c>
      <c r="D68" s="32">
        <v>5</v>
      </c>
      <c r="E68" s="32">
        <v>1</v>
      </c>
      <c r="F68" s="32">
        <v>0</v>
      </c>
      <c r="G68" s="32">
        <v>0</v>
      </c>
      <c r="H68" s="32">
        <f t="shared" ref="H68:H78" si="6">E68+F68+G68</f>
        <v>1</v>
      </c>
      <c r="I68" s="31">
        <f t="shared" ref="I68:I78" si="7">D68-H68</f>
        <v>4</v>
      </c>
      <c r="J68" s="35" t="s">
        <v>39</v>
      </c>
    </row>
    <row r="69" spans="1:10" s="29" customFormat="1" x14ac:dyDescent="0.3">
      <c r="A69" s="34">
        <v>52</v>
      </c>
      <c r="B69" s="35" t="s">
        <v>368</v>
      </c>
      <c r="C69" s="34">
        <v>12</v>
      </c>
      <c r="D69" s="33">
        <v>12</v>
      </c>
      <c r="E69" s="33">
        <v>0</v>
      </c>
      <c r="F69" s="33">
        <v>0</v>
      </c>
      <c r="G69" s="33">
        <v>0</v>
      </c>
      <c r="H69" s="32">
        <f t="shared" si="6"/>
        <v>0</v>
      </c>
      <c r="I69" s="31">
        <f t="shared" si="7"/>
        <v>12</v>
      </c>
      <c r="J69" s="30"/>
    </row>
    <row r="70" spans="1:10" s="29" customFormat="1" ht="15.75" customHeight="1" x14ac:dyDescent="0.3">
      <c r="A70" s="170" t="s">
        <v>38</v>
      </c>
      <c r="B70" s="170"/>
      <c r="C70" s="44"/>
      <c r="D70" s="44"/>
      <c r="E70" s="44"/>
      <c r="F70" s="44"/>
      <c r="G70" s="44"/>
      <c r="H70" s="32">
        <f t="shared" si="6"/>
        <v>0</v>
      </c>
      <c r="I70" s="31">
        <f t="shared" si="7"/>
        <v>0</v>
      </c>
      <c r="J70" s="30"/>
    </row>
    <row r="71" spans="1:10" s="29" customFormat="1" x14ac:dyDescent="0.3">
      <c r="A71" s="34">
        <v>53</v>
      </c>
      <c r="B71" s="35" t="s">
        <v>308</v>
      </c>
      <c r="C71" s="38">
        <v>0</v>
      </c>
      <c r="D71" s="32">
        <v>0</v>
      </c>
      <c r="E71" s="32">
        <v>0</v>
      </c>
      <c r="F71" s="32">
        <v>0</v>
      </c>
      <c r="G71" s="32">
        <v>0</v>
      </c>
      <c r="H71" s="32">
        <f t="shared" si="6"/>
        <v>0</v>
      </c>
      <c r="I71" s="31">
        <f t="shared" si="7"/>
        <v>0</v>
      </c>
      <c r="J71" s="30"/>
    </row>
    <row r="72" spans="1:10" s="29" customFormat="1" x14ac:dyDescent="0.3">
      <c r="A72" s="34">
        <v>54</v>
      </c>
      <c r="B72" s="35" t="s">
        <v>369</v>
      </c>
      <c r="C72" s="39">
        <v>0</v>
      </c>
      <c r="D72" s="33">
        <v>0</v>
      </c>
      <c r="E72" s="33">
        <v>0</v>
      </c>
      <c r="F72" s="33">
        <v>0</v>
      </c>
      <c r="G72" s="33">
        <v>0</v>
      </c>
      <c r="H72" s="32">
        <f t="shared" si="6"/>
        <v>0</v>
      </c>
      <c r="I72" s="31">
        <f t="shared" si="7"/>
        <v>0</v>
      </c>
      <c r="J72" s="30"/>
    </row>
    <row r="73" spans="1:10" s="29" customFormat="1" x14ac:dyDescent="0.3">
      <c r="A73" s="34">
        <v>55</v>
      </c>
      <c r="B73" s="35" t="s">
        <v>309</v>
      </c>
      <c r="C73" s="33">
        <v>0</v>
      </c>
      <c r="D73" s="33">
        <v>0</v>
      </c>
      <c r="E73" s="33">
        <v>0</v>
      </c>
      <c r="F73" s="33">
        <v>0</v>
      </c>
      <c r="G73" s="33">
        <v>0</v>
      </c>
      <c r="H73" s="32">
        <f t="shared" si="6"/>
        <v>0</v>
      </c>
      <c r="I73" s="31">
        <f t="shared" si="7"/>
        <v>0</v>
      </c>
      <c r="J73" s="30"/>
    </row>
    <row r="74" spans="1:10" s="29" customFormat="1" x14ac:dyDescent="0.3">
      <c r="A74" s="34">
        <v>56</v>
      </c>
      <c r="B74" s="35" t="s">
        <v>310</v>
      </c>
      <c r="C74" s="34">
        <v>0</v>
      </c>
      <c r="D74" s="33">
        <v>0</v>
      </c>
      <c r="E74" s="33">
        <v>0</v>
      </c>
      <c r="F74" s="33">
        <v>0</v>
      </c>
      <c r="G74" s="33">
        <v>0</v>
      </c>
      <c r="H74" s="32">
        <f t="shared" si="6"/>
        <v>0</v>
      </c>
      <c r="I74" s="31">
        <f t="shared" si="7"/>
        <v>0</v>
      </c>
      <c r="J74" s="30"/>
    </row>
    <row r="75" spans="1:10" s="29" customFormat="1" x14ac:dyDescent="0.3">
      <c r="A75" s="34">
        <v>57</v>
      </c>
      <c r="B75" s="35" t="s">
        <v>311</v>
      </c>
      <c r="C75" s="34">
        <v>0</v>
      </c>
      <c r="D75" s="33">
        <v>0</v>
      </c>
      <c r="E75" s="33">
        <v>0</v>
      </c>
      <c r="F75" s="33">
        <v>0</v>
      </c>
      <c r="G75" s="33">
        <v>0</v>
      </c>
      <c r="H75" s="32">
        <f t="shared" si="6"/>
        <v>0</v>
      </c>
      <c r="I75" s="31">
        <f t="shared" si="7"/>
        <v>0</v>
      </c>
      <c r="J75" s="30"/>
    </row>
    <row r="76" spans="1:10" s="29" customFormat="1" x14ac:dyDescent="0.3">
      <c r="A76" s="34">
        <v>58</v>
      </c>
      <c r="B76" s="35" t="s">
        <v>312</v>
      </c>
      <c r="C76" s="34">
        <v>0</v>
      </c>
      <c r="D76" s="33">
        <v>0</v>
      </c>
      <c r="E76" s="33">
        <v>0</v>
      </c>
      <c r="F76" s="33">
        <v>0</v>
      </c>
      <c r="G76" s="33">
        <v>0</v>
      </c>
      <c r="H76" s="32">
        <f t="shared" si="6"/>
        <v>0</v>
      </c>
      <c r="I76" s="31">
        <f t="shared" si="7"/>
        <v>0</v>
      </c>
      <c r="J76" s="30"/>
    </row>
    <row r="77" spans="1:10" s="29" customFormat="1" x14ac:dyDescent="0.3">
      <c r="A77" s="34">
        <v>59</v>
      </c>
      <c r="B77" s="35" t="s">
        <v>313</v>
      </c>
      <c r="C77" s="34">
        <v>0</v>
      </c>
      <c r="D77" s="33">
        <v>0</v>
      </c>
      <c r="E77" s="33">
        <v>0</v>
      </c>
      <c r="F77" s="33">
        <v>0</v>
      </c>
      <c r="G77" s="33">
        <v>0</v>
      </c>
      <c r="H77" s="32">
        <f t="shared" si="6"/>
        <v>0</v>
      </c>
      <c r="I77" s="31">
        <f t="shared" si="7"/>
        <v>0</v>
      </c>
      <c r="J77" s="30"/>
    </row>
    <row r="78" spans="1:10" s="29" customFormat="1" x14ac:dyDescent="0.3">
      <c r="A78" s="34">
        <v>60</v>
      </c>
      <c r="B78" s="35" t="s">
        <v>314</v>
      </c>
      <c r="C78" s="34">
        <v>0</v>
      </c>
      <c r="D78" s="33">
        <v>1</v>
      </c>
      <c r="E78" s="33">
        <v>0</v>
      </c>
      <c r="F78" s="33">
        <v>0</v>
      </c>
      <c r="G78" s="33">
        <v>0</v>
      </c>
      <c r="H78" s="32">
        <f t="shared" si="6"/>
        <v>0</v>
      </c>
      <c r="I78" s="31">
        <f t="shared" si="7"/>
        <v>1</v>
      </c>
      <c r="J78" s="30"/>
    </row>
    <row r="79" spans="1:10" s="29" customFormat="1" ht="15.75" customHeight="1" x14ac:dyDescent="0.3">
      <c r="A79" s="170" t="s">
        <v>37</v>
      </c>
      <c r="B79" s="170"/>
      <c r="C79" s="43"/>
      <c r="D79" s="43"/>
      <c r="E79" s="43"/>
      <c r="F79" s="43"/>
      <c r="G79" s="43"/>
      <c r="H79" s="32"/>
      <c r="I79" s="31"/>
      <c r="J79" s="30"/>
    </row>
    <row r="80" spans="1:10" s="29" customFormat="1" x14ac:dyDescent="0.3">
      <c r="A80" s="34">
        <v>61</v>
      </c>
      <c r="B80" s="35" t="s">
        <v>315</v>
      </c>
      <c r="C80" s="33">
        <v>0</v>
      </c>
      <c r="D80" s="33">
        <v>0</v>
      </c>
      <c r="E80" s="33">
        <v>0</v>
      </c>
      <c r="F80" s="33">
        <v>0</v>
      </c>
      <c r="G80" s="33">
        <v>0</v>
      </c>
      <c r="H80" s="33">
        <v>0</v>
      </c>
      <c r="I80" s="33">
        <v>0</v>
      </c>
      <c r="J80" s="30"/>
    </row>
    <row r="81" spans="1:10" s="29" customFormat="1" x14ac:dyDescent="0.3">
      <c r="A81" s="34">
        <v>62</v>
      </c>
      <c r="B81" s="35" t="s">
        <v>370</v>
      </c>
      <c r="C81" s="33">
        <v>0</v>
      </c>
      <c r="D81" s="33">
        <v>0</v>
      </c>
      <c r="E81" s="33">
        <v>0</v>
      </c>
      <c r="F81" s="33">
        <v>0</v>
      </c>
      <c r="G81" s="33">
        <v>0</v>
      </c>
      <c r="H81" s="33">
        <v>0</v>
      </c>
      <c r="I81" s="33">
        <v>0</v>
      </c>
      <c r="J81" s="30"/>
    </row>
    <row r="82" spans="1:10" s="29" customFormat="1" x14ac:dyDescent="0.3">
      <c r="A82" s="34">
        <v>63</v>
      </c>
      <c r="B82" s="35" t="s">
        <v>316</v>
      </c>
      <c r="C82" s="33">
        <v>0</v>
      </c>
      <c r="D82" s="33">
        <v>0</v>
      </c>
      <c r="E82" s="33">
        <v>0</v>
      </c>
      <c r="F82" s="33">
        <v>0</v>
      </c>
      <c r="G82" s="33">
        <v>0</v>
      </c>
      <c r="H82" s="33">
        <v>0</v>
      </c>
      <c r="I82" s="33">
        <v>0</v>
      </c>
      <c r="J82" s="30"/>
    </row>
    <row r="83" spans="1:10" s="29" customFormat="1" x14ac:dyDescent="0.3">
      <c r="A83" s="34">
        <v>64</v>
      </c>
      <c r="B83" s="35" t="s">
        <v>317</v>
      </c>
      <c r="C83" s="33">
        <v>0</v>
      </c>
      <c r="D83" s="33">
        <v>0</v>
      </c>
      <c r="E83" s="33">
        <v>0</v>
      </c>
      <c r="F83" s="33">
        <v>0</v>
      </c>
      <c r="G83" s="33">
        <v>0</v>
      </c>
      <c r="H83" s="33">
        <v>0</v>
      </c>
      <c r="I83" s="33">
        <v>0</v>
      </c>
      <c r="J83" s="30"/>
    </row>
    <row r="84" spans="1:10" s="29" customFormat="1" x14ac:dyDescent="0.3">
      <c r="A84" s="34">
        <v>65</v>
      </c>
      <c r="B84" s="35" t="s">
        <v>318</v>
      </c>
      <c r="C84" s="33">
        <v>0</v>
      </c>
      <c r="D84" s="33">
        <v>0</v>
      </c>
      <c r="E84" s="33">
        <v>0</v>
      </c>
      <c r="F84" s="33">
        <v>0</v>
      </c>
      <c r="G84" s="33">
        <v>0</v>
      </c>
      <c r="H84" s="33">
        <v>0</v>
      </c>
      <c r="I84" s="33">
        <v>0</v>
      </c>
      <c r="J84" s="30"/>
    </row>
    <row r="85" spans="1:10" s="29" customFormat="1" x14ac:dyDescent="0.3">
      <c r="A85" s="42">
        <v>66</v>
      </c>
      <c r="B85" s="35" t="s">
        <v>319</v>
      </c>
      <c r="C85" s="42">
        <v>16</v>
      </c>
      <c r="D85" s="41">
        <v>6</v>
      </c>
      <c r="E85" s="41">
        <v>0</v>
      </c>
      <c r="F85" s="41">
        <v>0</v>
      </c>
      <c r="G85" s="41">
        <v>0</v>
      </c>
      <c r="H85" s="32">
        <f>E85+F85+G85</f>
        <v>0</v>
      </c>
      <c r="I85" s="31">
        <f>D85-H85</f>
        <v>6</v>
      </c>
      <c r="J85" s="30"/>
    </row>
    <row r="86" spans="1:10" s="29" customFormat="1" x14ac:dyDescent="0.3">
      <c r="A86" s="34">
        <v>67</v>
      </c>
      <c r="B86" s="35" t="s">
        <v>320</v>
      </c>
      <c r="C86" s="33">
        <v>0</v>
      </c>
      <c r="D86" s="33">
        <v>0</v>
      </c>
      <c r="E86" s="33">
        <v>0</v>
      </c>
      <c r="F86" s="33">
        <v>0</v>
      </c>
      <c r="G86" s="33">
        <v>0</v>
      </c>
      <c r="H86" s="33">
        <v>0</v>
      </c>
      <c r="I86" s="33">
        <v>0</v>
      </c>
      <c r="J86" s="30"/>
    </row>
    <row r="87" spans="1:10" s="29" customFormat="1" x14ac:dyDescent="0.3">
      <c r="A87" s="34">
        <v>68</v>
      </c>
      <c r="B87" s="35" t="s">
        <v>321</v>
      </c>
      <c r="C87" s="33">
        <v>0</v>
      </c>
      <c r="D87" s="33">
        <v>0</v>
      </c>
      <c r="E87" s="33">
        <v>0</v>
      </c>
      <c r="F87" s="33">
        <v>0</v>
      </c>
      <c r="G87" s="33">
        <v>0</v>
      </c>
      <c r="H87" s="33">
        <v>0</v>
      </c>
      <c r="I87" s="33">
        <v>0</v>
      </c>
      <c r="J87" s="30"/>
    </row>
    <row r="88" spans="1:10" s="29" customFormat="1" x14ac:dyDescent="0.3">
      <c r="A88" s="34">
        <v>69</v>
      </c>
      <c r="B88" s="35" t="s">
        <v>322</v>
      </c>
      <c r="C88" s="34">
        <v>0</v>
      </c>
      <c r="D88" s="33">
        <v>38</v>
      </c>
      <c r="E88" s="33">
        <v>0</v>
      </c>
      <c r="F88" s="33">
        <v>0</v>
      </c>
      <c r="G88" s="33">
        <v>0</v>
      </c>
      <c r="H88" s="32">
        <f>E88+F88+G88</f>
        <v>0</v>
      </c>
      <c r="I88" s="31">
        <f>D88-H88</f>
        <v>38</v>
      </c>
      <c r="J88" s="30"/>
    </row>
    <row r="89" spans="1:10" s="29" customFormat="1" x14ac:dyDescent="0.3">
      <c r="A89" s="34">
        <v>70</v>
      </c>
      <c r="B89" s="35" t="s">
        <v>323</v>
      </c>
      <c r="C89" s="34">
        <v>17</v>
      </c>
      <c r="D89" s="33">
        <v>23</v>
      </c>
      <c r="E89" s="33">
        <v>0</v>
      </c>
      <c r="F89" s="33">
        <v>0</v>
      </c>
      <c r="G89" s="33">
        <v>0</v>
      </c>
      <c r="H89" s="32">
        <f>E89+F89+G89</f>
        <v>0</v>
      </c>
      <c r="I89" s="31">
        <f>D89-H89</f>
        <v>23</v>
      </c>
      <c r="J89" s="40"/>
    </row>
    <row r="90" spans="1:10" s="29" customFormat="1" x14ac:dyDescent="0.3">
      <c r="A90" s="34">
        <v>71</v>
      </c>
      <c r="B90" s="35" t="s">
        <v>324</v>
      </c>
      <c r="C90" s="33">
        <v>0</v>
      </c>
      <c r="D90" s="33">
        <v>0</v>
      </c>
      <c r="E90" s="33">
        <v>0</v>
      </c>
      <c r="F90" s="33">
        <v>0</v>
      </c>
      <c r="G90" s="33">
        <v>0</v>
      </c>
      <c r="H90" s="33">
        <v>0</v>
      </c>
      <c r="I90" s="33">
        <v>0</v>
      </c>
      <c r="J90" s="30"/>
    </row>
    <row r="91" spans="1:10" s="29" customFormat="1" x14ac:dyDescent="0.3">
      <c r="A91" s="34">
        <v>72</v>
      </c>
      <c r="B91" s="35" t="s">
        <v>325</v>
      </c>
      <c r="C91" s="33">
        <v>0</v>
      </c>
      <c r="D91" s="33">
        <v>0</v>
      </c>
      <c r="E91" s="33">
        <v>0</v>
      </c>
      <c r="F91" s="33">
        <v>0</v>
      </c>
      <c r="G91" s="33">
        <v>0</v>
      </c>
      <c r="H91" s="33">
        <v>0</v>
      </c>
      <c r="I91" s="33">
        <v>0</v>
      </c>
      <c r="J91" s="30"/>
    </row>
    <row r="92" spans="1:10" s="29" customFormat="1" x14ac:dyDescent="0.3">
      <c r="A92" s="34">
        <v>73</v>
      </c>
      <c r="B92" s="35" t="s">
        <v>326</v>
      </c>
      <c r="C92" s="34">
        <v>5</v>
      </c>
      <c r="D92" s="33">
        <v>9</v>
      </c>
      <c r="E92" s="33">
        <v>1</v>
      </c>
      <c r="F92" s="33">
        <v>0</v>
      </c>
      <c r="G92" s="33">
        <v>0</v>
      </c>
      <c r="H92" s="32">
        <f t="shared" ref="H92:H97" si="8">E92+F92+G92</f>
        <v>1</v>
      </c>
      <c r="I92" s="31">
        <f t="shared" ref="I92:I97" si="9">D92-H92</f>
        <v>8</v>
      </c>
      <c r="J92" s="30" t="s">
        <v>35</v>
      </c>
    </row>
    <row r="93" spans="1:10" s="29" customFormat="1" x14ac:dyDescent="0.3">
      <c r="A93" s="34">
        <v>74</v>
      </c>
      <c r="B93" s="35" t="s">
        <v>327</v>
      </c>
      <c r="C93" s="34">
        <v>2</v>
      </c>
      <c r="D93" s="33">
        <v>16</v>
      </c>
      <c r="E93" s="33">
        <v>0</v>
      </c>
      <c r="F93" s="33">
        <v>0</v>
      </c>
      <c r="G93" s="33">
        <v>0</v>
      </c>
      <c r="H93" s="32">
        <f t="shared" si="8"/>
        <v>0</v>
      </c>
      <c r="I93" s="31">
        <f t="shared" si="9"/>
        <v>16</v>
      </c>
      <c r="J93" s="30"/>
    </row>
    <row r="94" spans="1:10" s="29" customFormat="1" x14ac:dyDescent="0.3">
      <c r="A94" s="34">
        <v>75</v>
      </c>
      <c r="B94" s="35" t="s">
        <v>328</v>
      </c>
      <c r="C94" s="34">
        <v>0</v>
      </c>
      <c r="D94" s="33">
        <v>1</v>
      </c>
      <c r="E94" s="33">
        <v>0</v>
      </c>
      <c r="F94" s="33">
        <v>0</v>
      </c>
      <c r="G94" s="33">
        <v>0</v>
      </c>
      <c r="H94" s="32">
        <f t="shared" si="8"/>
        <v>0</v>
      </c>
      <c r="I94" s="31">
        <f t="shared" si="9"/>
        <v>1</v>
      </c>
      <c r="J94" s="30"/>
    </row>
    <row r="95" spans="1:10" s="29" customFormat="1" x14ac:dyDescent="0.3">
      <c r="A95" s="34">
        <v>76</v>
      </c>
      <c r="B95" s="35" t="s">
        <v>329</v>
      </c>
      <c r="C95" s="34">
        <v>3</v>
      </c>
      <c r="D95" s="33">
        <v>6</v>
      </c>
      <c r="E95" s="33">
        <v>0</v>
      </c>
      <c r="F95" s="33">
        <v>0</v>
      </c>
      <c r="G95" s="33">
        <v>0</v>
      </c>
      <c r="H95" s="32">
        <f t="shared" si="8"/>
        <v>0</v>
      </c>
      <c r="I95" s="31">
        <f t="shared" si="9"/>
        <v>6</v>
      </c>
      <c r="J95" s="30"/>
    </row>
    <row r="96" spans="1:10" s="29" customFormat="1" x14ac:dyDescent="0.3">
      <c r="A96" s="34">
        <v>77</v>
      </c>
      <c r="B96" s="35" t="s">
        <v>330</v>
      </c>
      <c r="C96" s="34">
        <v>15</v>
      </c>
      <c r="D96" s="33">
        <v>19</v>
      </c>
      <c r="E96" s="33">
        <v>1</v>
      </c>
      <c r="F96" s="33">
        <v>0</v>
      </c>
      <c r="G96" s="33">
        <v>0</v>
      </c>
      <c r="H96" s="32">
        <f t="shared" si="8"/>
        <v>1</v>
      </c>
      <c r="I96" s="31">
        <f t="shared" si="9"/>
        <v>18</v>
      </c>
      <c r="J96" s="16" t="s">
        <v>36</v>
      </c>
    </row>
    <row r="97" spans="1:10" s="29" customFormat="1" x14ac:dyDescent="0.3">
      <c r="A97" s="34">
        <v>78</v>
      </c>
      <c r="B97" s="35" t="s">
        <v>331</v>
      </c>
      <c r="C97" s="34">
        <v>5</v>
      </c>
      <c r="D97" s="33">
        <v>22</v>
      </c>
      <c r="E97" s="33">
        <v>0</v>
      </c>
      <c r="F97" s="33">
        <v>0</v>
      </c>
      <c r="G97" s="33">
        <v>0</v>
      </c>
      <c r="H97" s="32">
        <f t="shared" si="8"/>
        <v>0</v>
      </c>
      <c r="I97" s="31">
        <f t="shared" si="9"/>
        <v>22</v>
      </c>
      <c r="J97" s="30"/>
    </row>
    <row r="98" spans="1:10" s="29" customFormat="1" x14ac:dyDescent="0.3">
      <c r="A98" s="34">
        <v>79</v>
      </c>
      <c r="B98" s="35" t="s">
        <v>332</v>
      </c>
      <c r="C98" s="33">
        <v>0</v>
      </c>
      <c r="D98" s="33">
        <v>0</v>
      </c>
      <c r="E98" s="33">
        <v>0</v>
      </c>
      <c r="F98" s="33">
        <v>0</v>
      </c>
      <c r="G98" s="33">
        <v>0</v>
      </c>
      <c r="H98" s="33">
        <v>0</v>
      </c>
      <c r="I98" s="33">
        <v>0</v>
      </c>
      <c r="J98" s="30"/>
    </row>
    <row r="99" spans="1:10" s="29" customFormat="1" ht="15" customHeight="1" x14ac:dyDescent="0.3">
      <c r="A99" s="38">
        <v>80</v>
      </c>
      <c r="B99" s="35" t="s">
        <v>333</v>
      </c>
      <c r="C99" s="38">
        <v>0</v>
      </c>
      <c r="D99" s="32">
        <v>4</v>
      </c>
      <c r="E99" s="32">
        <v>0</v>
      </c>
      <c r="F99" s="32">
        <v>0</v>
      </c>
      <c r="G99" s="32">
        <v>0</v>
      </c>
      <c r="H99" s="32">
        <f t="shared" ref="H99:H109" si="10">E99+F99+G99</f>
        <v>0</v>
      </c>
      <c r="I99" s="31">
        <f t="shared" ref="I99:I109" si="11">D99-H99</f>
        <v>4</v>
      </c>
      <c r="J99" s="30"/>
    </row>
    <row r="100" spans="1:10" s="29" customFormat="1" x14ac:dyDescent="0.3">
      <c r="A100" s="34">
        <v>81</v>
      </c>
      <c r="B100" s="35" t="s">
        <v>334</v>
      </c>
      <c r="C100" s="39">
        <v>0</v>
      </c>
      <c r="D100" s="33">
        <v>0</v>
      </c>
      <c r="E100" s="33">
        <v>0</v>
      </c>
      <c r="F100" s="33">
        <v>0</v>
      </c>
      <c r="G100" s="33">
        <v>0</v>
      </c>
      <c r="H100" s="32">
        <f t="shared" si="10"/>
        <v>0</v>
      </c>
      <c r="I100" s="31">
        <f t="shared" si="11"/>
        <v>0</v>
      </c>
      <c r="J100" s="30"/>
    </row>
    <row r="101" spans="1:10" s="29" customFormat="1" x14ac:dyDescent="0.3">
      <c r="A101" s="34">
        <v>82</v>
      </c>
      <c r="B101" s="35" t="s">
        <v>335</v>
      </c>
      <c r="C101" s="34">
        <v>0</v>
      </c>
      <c r="D101" s="33">
        <v>0</v>
      </c>
      <c r="E101" s="33">
        <v>0</v>
      </c>
      <c r="F101" s="33">
        <v>0</v>
      </c>
      <c r="G101" s="33">
        <v>0</v>
      </c>
      <c r="H101" s="32">
        <f t="shared" si="10"/>
        <v>0</v>
      </c>
      <c r="I101" s="31">
        <f t="shared" si="11"/>
        <v>0</v>
      </c>
      <c r="J101" s="30"/>
    </row>
    <row r="102" spans="1:10" s="29" customFormat="1" x14ac:dyDescent="0.3">
      <c r="A102" s="34">
        <v>83</v>
      </c>
      <c r="B102" s="35" t="s">
        <v>336</v>
      </c>
      <c r="C102" s="34">
        <v>0</v>
      </c>
      <c r="D102" s="33">
        <v>0</v>
      </c>
      <c r="E102" s="33">
        <v>0</v>
      </c>
      <c r="F102" s="33">
        <v>0</v>
      </c>
      <c r="G102" s="33">
        <v>0</v>
      </c>
      <c r="H102" s="32">
        <f t="shared" si="10"/>
        <v>0</v>
      </c>
      <c r="I102" s="31">
        <f t="shared" si="11"/>
        <v>0</v>
      </c>
      <c r="J102" s="30"/>
    </row>
    <row r="103" spans="1:10" s="29" customFormat="1" x14ac:dyDescent="0.3">
      <c r="A103" s="34">
        <v>84</v>
      </c>
      <c r="B103" s="35" t="s">
        <v>337</v>
      </c>
      <c r="C103" s="34">
        <v>0</v>
      </c>
      <c r="D103" s="33">
        <v>0</v>
      </c>
      <c r="E103" s="33">
        <v>0</v>
      </c>
      <c r="F103" s="33">
        <v>0</v>
      </c>
      <c r="G103" s="33">
        <v>0</v>
      </c>
      <c r="H103" s="32">
        <f t="shared" si="10"/>
        <v>0</v>
      </c>
      <c r="I103" s="31">
        <f t="shared" si="11"/>
        <v>0</v>
      </c>
      <c r="J103" s="30"/>
    </row>
    <row r="104" spans="1:10" s="29" customFormat="1" x14ac:dyDescent="0.3">
      <c r="A104" s="34">
        <v>85</v>
      </c>
      <c r="B104" s="35" t="s">
        <v>338</v>
      </c>
      <c r="C104" s="34">
        <v>5</v>
      </c>
      <c r="D104" s="33">
        <v>23</v>
      </c>
      <c r="E104" s="33">
        <v>0</v>
      </c>
      <c r="F104" s="33">
        <v>0</v>
      </c>
      <c r="G104" s="33">
        <v>0</v>
      </c>
      <c r="H104" s="32">
        <f t="shared" si="10"/>
        <v>0</v>
      </c>
      <c r="I104" s="31">
        <f t="shared" si="11"/>
        <v>23</v>
      </c>
      <c r="J104" s="30"/>
    </row>
    <row r="105" spans="1:10" s="29" customFormat="1" x14ac:dyDescent="0.3">
      <c r="A105" s="34">
        <v>86</v>
      </c>
      <c r="B105" s="35" t="s">
        <v>339</v>
      </c>
      <c r="C105" s="34">
        <v>1</v>
      </c>
      <c r="D105" s="33">
        <v>1</v>
      </c>
      <c r="E105" s="33">
        <v>0</v>
      </c>
      <c r="F105" s="33">
        <v>0</v>
      </c>
      <c r="G105" s="33">
        <v>0</v>
      </c>
      <c r="H105" s="32">
        <f t="shared" si="10"/>
        <v>0</v>
      </c>
      <c r="I105" s="31">
        <f t="shared" si="11"/>
        <v>1</v>
      </c>
      <c r="J105" s="30"/>
    </row>
    <row r="106" spans="1:10" s="29" customFormat="1" x14ac:dyDescent="0.3">
      <c r="A106" s="34">
        <v>87</v>
      </c>
      <c r="B106" s="35" t="s">
        <v>340</v>
      </c>
      <c r="C106" s="34">
        <v>0</v>
      </c>
      <c r="D106" s="33">
        <v>0</v>
      </c>
      <c r="E106" s="33">
        <v>0</v>
      </c>
      <c r="F106" s="33">
        <v>0</v>
      </c>
      <c r="G106" s="33">
        <v>0</v>
      </c>
      <c r="H106" s="32">
        <f t="shared" si="10"/>
        <v>0</v>
      </c>
      <c r="I106" s="31">
        <f t="shared" si="11"/>
        <v>0</v>
      </c>
      <c r="J106" s="30"/>
    </row>
    <row r="107" spans="1:10" s="29" customFormat="1" x14ac:dyDescent="0.3">
      <c r="A107" s="34">
        <v>88</v>
      </c>
      <c r="B107" s="35" t="s">
        <v>341</v>
      </c>
      <c r="C107" s="34">
        <v>0</v>
      </c>
      <c r="D107" s="33">
        <v>0</v>
      </c>
      <c r="E107" s="33">
        <v>0</v>
      </c>
      <c r="F107" s="33">
        <v>0</v>
      </c>
      <c r="G107" s="33">
        <v>0</v>
      </c>
      <c r="H107" s="32">
        <f t="shared" si="10"/>
        <v>0</v>
      </c>
      <c r="I107" s="31">
        <f t="shared" si="11"/>
        <v>0</v>
      </c>
      <c r="J107" s="30"/>
    </row>
    <row r="108" spans="1:10" s="29" customFormat="1" x14ac:dyDescent="0.3">
      <c r="A108" s="34">
        <v>89</v>
      </c>
      <c r="B108" s="35" t="s">
        <v>342</v>
      </c>
      <c r="C108" s="34">
        <v>0</v>
      </c>
      <c r="D108" s="33">
        <v>1</v>
      </c>
      <c r="E108" s="33">
        <v>0</v>
      </c>
      <c r="F108" s="33">
        <v>0</v>
      </c>
      <c r="G108" s="33">
        <v>0</v>
      </c>
      <c r="H108" s="32">
        <f t="shared" si="10"/>
        <v>0</v>
      </c>
      <c r="I108" s="31">
        <f t="shared" si="11"/>
        <v>1</v>
      </c>
      <c r="J108" s="30"/>
    </row>
    <row r="109" spans="1:10" s="29" customFormat="1" x14ac:dyDescent="0.3">
      <c r="A109" s="34">
        <v>90</v>
      </c>
      <c r="B109" s="35" t="s">
        <v>343</v>
      </c>
      <c r="C109" s="34">
        <v>3</v>
      </c>
      <c r="D109" s="33">
        <v>2</v>
      </c>
      <c r="E109" s="33">
        <v>0</v>
      </c>
      <c r="F109" s="33">
        <v>0</v>
      </c>
      <c r="G109" s="33">
        <v>0</v>
      </c>
      <c r="H109" s="32">
        <f t="shared" si="10"/>
        <v>0</v>
      </c>
      <c r="I109" s="31">
        <f t="shared" si="11"/>
        <v>2</v>
      </c>
      <c r="J109" s="30"/>
    </row>
    <row r="110" spans="1:10" s="29" customFormat="1" x14ac:dyDescent="0.3">
      <c r="A110" s="34">
        <v>91</v>
      </c>
      <c r="B110" s="35" t="s">
        <v>344</v>
      </c>
      <c r="C110" s="33">
        <v>0</v>
      </c>
      <c r="D110" s="33">
        <v>0</v>
      </c>
      <c r="E110" s="33">
        <v>0</v>
      </c>
      <c r="F110" s="33">
        <v>0</v>
      </c>
      <c r="G110" s="33">
        <v>0</v>
      </c>
      <c r="H110" s="33">
        <v>0</v>
      </c>
      <c r="I110" s="33">
        <v>0</v>
      </c>
      <c r="J110" s="30"/>
    </row>
    <row r="111" spans="1:10" s="29" customFormat="1" x14ac:dyDescent="0.3">
      <c r="A111" s="34">
        <v>92</v>
      </c>
      <c r="B111" s="35" t="s">
        <v>345</v>
      </c>
      <c r="C111" s="34">
        <v>0</v>
      </c>
      <c r="D111" s="33">
        <v>0</v>
      </c>
      <c r="E111" s="33">
        <v>0</v>
      </c>
      <c r="F111" s="33">
        <v>0</v>
      </c>
      <c r="G111" s="33">
        <v>0</v>
      </c>
      <c r="H111" s="32">
        <f>E111+F111+G111</f>
        <v>0</v>
      </c>
      <c r="I111" s="31">
        <f>D111-H111</f>
        <v>0</v>
      </c>
      <c r="J111" s="30"/>
    </row>
    <row r="112" spans="1:10" s="29" customFormat="1" x14ac:dyDescent="0.3">
      <c r="A112" s="34">
        <v>93</v>
      </c>
      <c r="B112" s="35" t="s">
        <v>346</v>
      </c>
      <c r="C112" s="33">
        <v>0</v>
      </c>
      <c r="D112" s="33">
        <v>0</v>
      </c>
      <c r="E112" s="33">
        <v>0</v>
      </c>
      <c r="F112" s="33">
        <v>0</v>
      </c>
      <c r="G112" s="33">
        <v>0</v>
      </c>
      <c r="H112" s="33">
        <v>0</v>
      </c>
      <c r="I112" s="33">
        <v>0</v>
      </c>
      <c r="J112" s="30"/>
    </row>
    <row r="113" spans="1:10" s="29" customFormat="1" x14ac:dyDescent="0.3">
      <c r="A113" s="34">
        <v>94</v>
      </c>
      <c r="B113" s="35" t="s">
        <v>347</v>
      </c>
      <c r="C113" s="33">
        <v>0</v>
      </c>
      <c r="D113" s="33">
        <v>0</v>
      </c>
      <c r="E113" s="33">
        <v>0</v>
      </c>
      <c r="F113" s="33">
        <v>0</v>
      </c>
      <c r="G113" s="33">
        <v>0</v>
      </c>
      <c r="H113" s="33">
        <v>0</v>
      </c>
      <c r="I113" s="33">
        <v>0</v>
      </c>
      <c r="J113" s="30"/>
    </row>
    <row r="114" spans="1:10" s="29" customFormat="1" ht="33" customHeight="1" x14ac:dyDescent="0.3">
      <c r="A114" s="38">
        <v>95</v>
      </c>
      <c r="B114" s="35" t="s">
        <v>348</v>
      </c>
      <c r="C114" s="38">
        <v>0</v>
      </c>
      <c r="D114" s="32">
        <v>0</v>
      </c>
      <c r="E114" s="32">
        <v>0</v>
      </c>
      <c r="F114" s="32">
        <v>0</v>
      </c>
      <c r="G114" s="32">
        <v>0</v>
      </c>
      <c r="H114" s="32">
        <f>E114+F114+G114</f>
        <v>0</v>
      </c>
      <c r="I114" s="31">
        <f>D114-H114</f>
        <v>0</v>
      </c>
      <c r="J114" s="30"/>
    </row>
    <row r="115" spans="1:10" s="29" customFormat="1" x14ac:dyDescent="0.3">
      <c r="A115" s="34">
        <v>96</v>
      </c>
      <c r="B115" s="35" t="s">
        <v>349</v>
      </c>
      <c r="C115" s="33">
        <v>0</v>
      </c>
      <c r="D115" s="33">
        <v>0</v>
      </c>
      <c r="E115" s="33">
        <v>0</v>
      </c>
      <c r="F115" s="33">
        <v>0</v>
      </c>
      <c r="G115" s="33">
        <v>0</v>
      </c>
      <c r="H115" s="33">
        <v>0</v>
      </c>
      <c r="I115" s="33">
        <v>0</v>
      </c>
      <c r="J115" s="30"/>
    </row>
    <row r="116" spans="1:10" s="29" customFormat="1" x14ac:dyDescent="0.3">
      <c r="A116" s="34">
        <v>97</v>
      </c>
      <c r="B116" s="35" t="s">
        <v>350</v>
      </c>
      <c r="C116" s="34">
        <v>7</v>
      </c>
      <c r="D116" s="33">
        <v>19</v>
      </c>
      <c r="E116" s="33">
        <v>0</v>
      </c>
      <c r="F116" s="33">
        <v>0</v>
      </c>
      <c r="G116" s="33">
        <v>0</v>
      </c>
      <c r="H116" s="32">
        <f>E116+F116+G116</f>
        <v>0</v>
      </c>
      <c r="I116" s="31">
        <f>D116-H116</f>
        <v>19</v>
      </c>
      <c r="J116" s="30"/>
    </row>
    <row r="117" spans="1:10" s="29" customFormat="1" x14ac:dyDescent="0.3">
      <c r="A117" s="34">
        <v>98</v>
      </c>
      <c r="B117" s="35" t="s">
        <v>351</v>
      </c>
      <c r="C117" s="34">
        <v>10</v>
      </c>
      <c r="D117" s="33">
        <v>39</v>
      </c>
      <c r="E117" s="33">
        <v>0</v>
      </c>
      <c r="F117" s="33">
        <v>0</v>
      </c>
      <c r="G117" s="33">
        <v>0</v>
      </c>
      <c r="H117" s="32">
        <f>E117+F117+G117</f>
        <v>0</v>
      </c>
      <c r="I117" s="31">
        <f>D117-H117</f>
        <v>39</v>
      </c>
      <c r="J117" s="30"/>
    </row>
    <row r="118" spans="1:10" s="29" customFormat="1" x14ac:dyDescent="0.3">
      <c r="A118" s="34">
        <v>99</v>
      </c>
      <c r="B118" s="35" t="s">
        <v>352</v>
      </c>
      <c r="C118" s="34">
        <v>0</v>
      </c>
      <c r="D118" s="33">
        <v>0</v>
      </c>
      <c r="E118" s="33">
        <v>0</v>
      </c>
      <c r="F118" s="33">
        <v>0</v>
      </c>
      <c r="G118" s="33">
        <v>0</v>
      </c>
      <c r="H118" s="32">
        <f>E118+F118+G118</f>
        <v>0</v>
      </c>
      <c r="I118" s="31">
        <f>D118-H118</f>
        <v>0</v>
      </c>
      <c r="J118" s="30"/>
    </row>
    <row r="119" spans="1:10" s="29" customFormat="1" x14ac:dyDescent="0.3">
      <c r="A119" s="34">
        <v>100</v>
      </c>
      <c r="B119" s="35" t="s">
        <v>353</v>
      </c>
      <c r="C119" s="33">
        <v>0</v>
      </c>
      <c r="D119" s="33">
        <v>0</v>
      </c>
      <c r="E119" s="33">
        <v>0</v>
      </c>
      <c r="F119" s="33">
        <v>0</v>
      </c>
      <c r="G119" s="33">
        <v>0</v>
      </c>
      <c r="H119" s="33">
        <v>0</v>
      </c>
      <c r="I119" s="33">
        <v>0</v>
      </c>
      <c r="J119" s="30"/>
    </row>
    <row r="120" spans="1:10" s="29" customFormat="1" x14ac:dyDescent="0.3">
      <c r="A120" s="34">
        <v>101</v>
      </c>
      <c r="B120" s="35" t="s">
        <v>354</v>
      </c>
      <c r="C120" s="34">
        <v>8</v>
      </c>
      <c r="D120" s="33">
        <v>68</v>
      </c>
      <c r="E120" s="33">
        <v>0</v>
      </c>
      <c r="F120" s="33">
        <v>0</v>
      </c>
      <c r="G120" s="33">
        <v>0</v>
      </c>
      <c r="H120" s="32">
        <f>E120+F120+G120</f>
        <v>0</v>
      </c>
      <c r="I120" s="31">
        <f>D120-H120</f>
        <v>68</v>
      </c>
      <c r="J120" s="30"/>
    </row>
    <row r="121" spans="1:10" s="29" customFormat="1" x14ac:dyDescent="0.3">
      <c r="A121" s="34">
        <v>102</v>
      </c>
      <c r="B121" s="35" t="s">
        <v>355</v>
      </c>
      <c r="C121" s="33">
        <v>0</v>
      </c>
      <c r="D121" s="33">
        <v>0</v>
      </c>
      <c r="E121" s="33">
        <v>0</v>
      </c>
      <c r="F121" s="33">
        <v>0</v>
      </c>
      <c r="G121" s="33">
        <v>0</v>
      </c>
      <c r="H121" s="33">
        <v>0</v>
      </c>
      <c r="I121" s="33">
        <v>0</v>
      </c>
      <c r="J121" s="30"/>
    </row>
    <row r="122" spans="1:10" s="29" customFormat="1" x14ac:dyDescent="0.3">
      <c r="A122" s="34">
        <v>103</v>
      </c>
      <c r="B122" s="35" t="s">
        <v>356</v>
      </c>
      <c r="C122" s="34">
        <v>0</v>
      </c>
      <c r="D122" s="33">
        <v>0</v>
      </c>
      <c r="E122" s="33">
        <v>0</v>
      </c>
      <c r="F122" s="33">
        <v>0</v>
      </c>
      <c r="G122" s="33">
        <v>0</v>
      </c>
      <c r="H122" s="32">
        <f>E122+F122+G122</f>
        <v>0</v>
      </c>
      <c r="I122" s="31">
        <f t="shared" ref="I122:I126" si="12">D122-H122</f>
        <v>0</v>
      </c>
      <c r="J122" s="30"/>
    </row>
    <row r="123" spans="1:10" s="29" customFormat="1" x14ac:dyDescent="0.3">
      <c r="A123" s="34">
        <v>104</v>
      </c>
      <c r="B123" s="35" t="s">
        <v>357</v>
      </c>
      <c r="C123" s="34">
        <v>0</v>
      </c>
      <c r="D123" s="33">
        <v>0</v>
      </c>
      <c r="E123" s="33">
        <v>0</v>
      </c>
      <c r="F123" s="33">
        <v>0</v>
      </c>
      <c r="G123" s="33">
        <v>0</v>
      </c>
      <c r="H123" s="32">
        <f>E123+F123+G123</f>
        <v>0</v>
      </c>
      <c r="I123" s="31">
        <f t="shared" si="12"/>
        <v>0</v>
      </c>
      <c r="J123" s="30"/>
    </row>
    <row r="124" spans="1:10" s="29" customFormat="1" x14ac:dyDescent="0.3">
      <c r="A124" s="37">
        <v>105</v>
      </c>
      <c r="B124" s="35" t="s">
        <v>358</v>
      </c>
      <c r="C124" s="37">
        <v>0</v>
      </c>
      <c r="D124" s="36">
        <v>0</v>
      </c>
      <c r="E124" s="36">
        <v>0</v>
      </c>
      <c r="F124" s="36">
        <v>0</v>
      </c>
      <c r="G124" s="36">
        <v>0</v>
      </c>
      <c r="H124" s="32">
        <f>E124+F124+G124</f>
        <v>0</v>
      </c>
      <c r="I124" s="31">
        <f t="shared" si="12"/>
        <v>0</v>
      </c>
      <c r="J124" s="30"/>
    </row>
    <row r="125" spans="1:10" s="29" customFormat="1" x14ac:dyDescent="0.3">
      <c r="A125" s="34">
        <v>106</v>
      </c>
      <c r="B125" s="35" t="s">
        <v>359</v>
      </c>
      <c r="C125" s="34">
        <v>2</v>
      </c>
      <c r="D125" s="33">
        <v>2</v>
      </c>
      <c r="E125" s="33">
        <v>0</v>
      </c>
      <c r="F125" s="33">
        <v>0</v>
      </c>
      <c r="G125" s="33">
        <v>0</v>
      </c>
      <c r="H125" s="32">
        <f>E125+F125+G125</f>
        <v>0</v>
      </c>
      <c r="I125" s="31">
        <f t="shared" si="12"/>
        <v>2</v>
      </c>
      <c r="J125" s="30"/>
    </row>
    <row r="126" spans="1:10" s="29" customFormat="1" x14ac:dyDescent="0.3">
      <c r="A126" s="34">
        <v>107</v>
      </c>
      <c r="B126" s="35" t="s">
        <v>360</v>
      </c>
      <c r="C126" s="34">
        <v>0</v>
      </c>
      <c r="D126" s="33">
        <v>1</v>
      </c>
      <c r="E126" s="33">
        <v>0</v>
      </c>
      <c r="F126" s="33">
        <v>0</v>
      </c>
      <c r="G126" s="33">
        <v>1</v>
      </c>
      <c r="H126" s="32">
        <f>E126+F126+G126</f>
        <v>1</v>
      </c>
      <c r="I126" s="31">
        <f t="shared" si="12"/>
        <v>0</v>
      </c>
      <c r="J126" s="30" t="s">
        <v>35</v>
      </c>
    </row>
  </sheetData>
  <dataConsolidate>
    <dataRefs count="7">
      <dataRef ref="C8:I126" sheet="409C" r:id="rId1"/>
      <dataRef ref="C8:I126" sheet="4C" r:id="rId2"/>
      <dataRef ref="C8:I126" sheet="537C" r:id="rId3"/>
      <dataRef ref="C8:I126" sheet="605C" r:id="rId4"/>
      <dataRef ref="C8:I126" sheet="621C" r:id="rId5"/>
      <dataRef ref="C8:I126" sheet="671C" r:id="rId6"/>
      <dataRef ref="C8:I126" sheet="7004C" r:id="rId7"/>
    </dataRefs>
  </dataConsolidate>
  <mergeCells count="22">
    <mergeCell ref="A1:J1"/>
    <mergeCell ref="A2:J2"/>
    <mergeCell ref="A3:A4"/>
    <mergeCell ref="B3:B4"/>
    <mergeCell ref="C3:D3"/>
    <mergeCell ref="E3:H3"/>
    <mergeCell ref="I3:I4"/>
    <mergeCell ref="J3:J4"/>
    <mergeCell ref="A6:B6"/>
    <mergeCell ref="A70:B70"/>
    <mergeCell ref="A79:B79"/>
    <mergeCell ref="A37:B37"/>
    <mergeCell ref="A41:B41"/>
    <mergeCell ref="A52:B52"/>
    <mergeCell ref="A55:B55"/>
    <mergeCell ref="A66:B66"/>
    <mergeCell ref="A67:B67"/>
    <mergeCell ref="A7:B7"/>
    <mergeCell ref="A13:B13"/>
    <mergeCell ref="A16:B16"/>
    <mergeCell ref="A26:B26"/>
    <mergeCell ref="A31:B31"/>
  </mergeCells>
  <phoneticPr fontId="19" type="noConversion"/>
  <pageMargins left="0.7" right="0.7" top="0.75" bottom="0.75" header="0.3" footer="0.3"/>
  <pageSetup paperSize="9" orientation="portrait" horizontalDpi="0" verticalDpi="0"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E868C-7BED-4AD9-8EF1-12A015821E50}">
  <sheetPr>
    <pageSetUpPr fitToPage="1"/>
  </sheetPr>
  <dimension ref="A1:T28"/>
  <sheetViews>
    <sheetView view="pageBreakPreview" zoomScale="85" zoomScaleNormal="85" zoomScaleSheetLayoutView="85" workbookViewId="0">
      <selection activeCell="T15" sqref="T15"/>
    </sheetView>
  </sheetViews>
  <sheetFormatPr defaultColWidth="9.109375" defaultRowHeight="15.6" x14ac:dyDescent="0.3"/>
  <cols>
    <col min="1" max="1" width="6.33203125" style="27" customWidth="1"/>
    <col min="2" max="2" width="36.33203125" style="118" bestFit="1" customWidth="1"/>
    <col min="3" max="3" width="8.109375" style="45" customWidth="1"/>
    <col min="4" max="4" width="8.5546875" style="45" customWidth="1"/>
    <col min="5" max="5" width="7.109375" style="45" bestFit="1" customWidth="1"/>
    <col min="6" max="6" width="8.6640625" style="45" bestFit="1" customWidth="1"/>
    <col min="7" max="7" width="9" style="45" customWidth="1"/>
    <col min="8" max="8" width="5.88671875" style="45" customWidth="1"/>
    <col min="9" max="9" width="6.88671875" style="45" bestFit="1" customWidth="1"/>
    <col min="10" max="10" width="6.109375" style="45" bestFit="1" customWidth="1"/>
    <col min="11" max="11" width="6.44140625" style="45" bestFit="1" customWidth="1"/>
    <col min="12" max="12" width="8.109375" style="45" bestFit="1" customWidth="1"/>
    <col min="13" max="13" width="9.109375" style="45"/>
    <col min="14" max="14" width="9.88671875" style="45" customWidth="1"/>
    <col min="15" max="15" width="8.88671875" style="120" customWidth="1"/>
    <col min="16" max="16" width="11.44140625" style="118" customWidth="1"/>
    <col min="17" max="17" width="13.44140625" style="118" bestFit="1" customWidth="1"/>
    <col min="18" max="18" width="12" style="118" bestFit="1" customWidth="1"/>
    <col min="19" max="19" width="14.109375" style="118" customWidth="1"/>
    <col min="20" max="20" width="97.6640625" style="118" customWidth="1"/>
    <col min="21" max="16384" width="9.109375" style="118"/>
  </cols>
  <sheetData>
    <row r="1" spans="1:20" x14ac:dyDescent="0.25">
      <c r="A1" s="179" t="s">
        <v>120</v>
      </c>
      <c r="B1" s="179"/>
      <c r="C1" s="179"/>
      <c r="D1" s="179"/>
      <c r="E1" s="179"/>
      <c r="F1" s="179"/>
      <c r="G1" s="179"/>
      <c r="H1" s="179"/>
      <c r="I1" s="179"/>
      <c r="J1" s="179"/>
      <c r="K1" s="179"/>
      <c r="L1" s="179"/>
      <c r="M1" s="179"/>
      <c r="N1" s="179"/>
      <c r="O1" s="179"/>
      <c r="P1" s="179"/>
      <c r="Q1" s="179"/>
      <c r="R1" s="179"/>
      <c r="S1" s="179"/>
      <c r="T1" s="179"/>
    </row>
    <row r="2" spans="1:20" x14ac:dyDescent="0.3">
      <c r="A2" s="45"/>
      <c r="B2" s="119"/>
      <c r="R2" s="180"/>
      <c r="S2" s="181"/>
      <c r="T2" s="181"/>
    </row>
    <row r="3" spans="1:20" s="121" customFormat="1" ht="15.75" customHeight="1" x14ac:dyDescent="0.3">
      <c r="A3" s="188" t="s">
        <v>64</v>
      </c>
      <c r="B3" s="182" t="s">
        <v>100</v>
      </c>
      <c r="C3" s="189" t="s">
        <v>33</v>
      </c>
      <c r="D3" s="190"/>
      <c r="E3" s="188" t="s">
        <v>32</v>
      </c>
      <c r="F3" s="188"/>
      <c r="G3" s="188"/>
      <c r="H3" s="188"/>
      <c r="I3" s="188"/>
      <c r="J3" s="188"/>
      <c r="K3" s="188"/>
      <c r="L3" s="188"/>
      <c r="M3" s="184" t="s">
        <v>84</v>
      </c>
      <c r="N3" s="184" t="s">
        <v>87</v>
      </c>
      <c r="O3" s="186" t="s">
        <v>31</v>
      </c>
      <c r="P3" s="182" t="s">
        <v>83</v>
      </c>
      <c r="Q3" s="182" t="s">
        <v>82</v>
      </c>
      <c r="R3" s="182" t="s">
        <v>81</v>
      </c>
      <c r="S3" s="182" t="s">
        <v>80</v>
      </c>
      <c r="T3" s="176" t="s">
        <v>86</v>
      </c>
    </row>
    <row r="4" spans="1:20" s="121" customFormat="1" ht="31.2" x14ac:dyDescent="0.3">
      <c r="A4" s="188"/>
      <c r="B4" s="182"/>
      <c r="C4" s="122" t="s">
        <v>59</v>
      </c>
      <c r="D4" s="122" t="s">
        <v>58</v>
      </c>
      <c r="E4" s="81" t="s">
        <v>79</v>
      </c>
      <c r="F4" s="81" t="s">
        <v>27</v>
      </c>
      <c r="G4" s="81" t="s">
        <v>78</v>
      </c>
      <c r="H4" s="81" t="s">
        <v>26</v>
      </c>
      <c r="I4" s="81" t="s">
        <v>77</v>
      </c>
      <c r="J4" s="81" t="s">
        <v>76</v>
      </c>
      <c r="K4" s="81" t="s">
        <v>25</v>
      </c>
      <c r="L4" s="81" t="s">
        <v>75</v>
      </c>
      <c r="M4" s="185"/>
      <c r="N4" s="185"/>
      <c r="O4" s="187"/>
      <c r="P4" s="182"/>
      <c r="Q4" s="182"/>
      <c r="R4" s="182"/>
      <c r="S4" s="182"/>
      <c r="T4" s="183"/>
    </row>
    <row r="5" spans="1:20" s="121" customFormat="1" x14ac:dyDescent="0.3">
      <c r="A5" s="81" t="s">
        <v>23</v>
      </c>
      <c r="B5" s="82" t="s">
        <v>22</v>
      </c>
      <c r="C5" s="81" t="s">
        <v>21</v>
      </c>
      <c r="D5" s="81" t="s">
        <v>20</v>
      </c>
      <c r="E5" s="81" t="s">
        <v>19</v>
      </c>
      <c r="F5" s="81" t="s">
        <v>18</v>
      </c>
      <c r="G5" s="81" t="s">
        <v>17</v>
      </c>
      <c r="H5" s="81" t="s">
        <v>16</v>
      </c>
      <c r="I5" s="81" t="s">
        <v>15</v>
      </c>
      <c r="J5" s="81" t="s">
        <v>14</v>
      </c>
      <c r="K5" s="81" t="s">
        <v>74</v>
      </c>
      <c r="L5" s="81" t="s">
        <v>73</v>
      </c>
      <c r="M5" s="81" t="s">
        <v>72</v>
      </c>
      <c r="N5" s="81" t="s">
        <v>71</v>
      </c>
      <c r="O5" s="81" t="s">
        <v>70</v>
      </c>
      <c r="P5" s="81" t="s">
        <v>69</v>
      </c>
      <c r="Q5" s="81" t="s">
        <v>68</v>
      </c>
      <c r="R5" s="81" t="s">
        <v>67</v>
      </c>
      <c r="S5" s="81" t="s">
        <v>66</v>
      </c>
      <c r="T5" s="81" t="s">
        <v>65</v>
      </c>
    </row>
    <row r="6" spans="1:20" ht="15" x14ac:dyDescent="0.25">
      <c r="A6" s="38">
        <v>1</v>
      </c>
      <c r="B6" s="123" t="s">
        <v>375</v>
      </c>
      <c r="C6" s="66">
        <v>90</v>
      </c>
      <c r="D6" s="85">
        <v>91</v>
      </c>
      <c r="E6" s="85">
        <v>0</v>
      </c>
      <c r="F6" s="85">
        <v>0</v>
      </c>
      <c r="G6" s="85">
        <v>0</v>
      </c>
      <c r="H6" s="85">
        <v>3</v>
      </c>
      <c r="I6" s="85">
        <v>0</v>
      </c>
      <c r="J6" s="85">
        <v>0</v>
      </c>
      <c r="K6" s="85">
        <v>0</v>
      </c>
      <c r="L6" s="85">
        <v>0</v>
      </c>
      <c r="M6" s="57">
        <v>3</v>
      </c>
      <c r="N6" s="57">
        <v>0</v>
      </c>
      <c r="O6" s="57">
        <v>88</v>
      </c>
      <c r="P6" s="84">
        <f>IF(D6=0,"-",(M6/D6))</f>
        <v>3.2967032967032968E-2</v>
      </c>
      <c r="Q6" s="84">
        <f t="shared" ref="Q6:Q24" si="0">IF(D6=0,"-",(N6/D6))</f>
        <v>0</v>
      </c>
      <c r="R6" s="84">
        <f>IF(D6=0,"-",(O6/D6))</f>
        <v>0.96703296703296704</v>
      </c>
      <c r="S6" s="84">
        <f>IF(D6=0,"-",(Q6+R6))</f>
        <v>0.96703296703296704</v>
      </c>
      <c r="T6" s="124" t="s">
        <v>394</v>
      </c>
    </row>
    <row r="7" spans="1:20" s="125" customFormat="1" ht="30" x14ac:dyDescent="0.3">
      <c r="A7" s="38">
        <v>2</v>
      </c>
      <c r="B7" s="123" t="s">
        <v>376</v>
      </c>
      <c r="C7" s="66">
        <v>54</v>
      </c>
      <c r="D7" s="66">
        <v>54</v>
      </c>
      <c r="E7" s="85">
        <v>0</v>
      </c>
      <c r="F7" s="85">
        <v>0</v>
      </c>
      <c r="G7" s="85">
        <v>0</v>
      </c>
      <c r="H7" s="66">
        <v>4</v>
      </c>
      <c r="I7" s="85">
        <v>0</v>
      </c>
      <c r="J7" s="85">
        <v>0</v>
      </c>
      <c r="K7" s="85">
        <v>0</v>
      </c>
      <c r="L7" s="85">
        <v>0</v>
      </c>
      <c r="M7" s="57">
        <v>4</v>
      </c>
      <c r="N7" s="57">
        <v>0</v>
      </c>
      <c r="O7" s="57">
        <v>50</v>
      </c>
      <c r="P7" s="84">
        <f>IF(D7=0,"-",(M7/D7))</f>
        <v>7.407407407407407E-2</v>
      </c>
      <c r="Q7" s="84">
        <f t="shared" si="0"/>
        <v>0</v>
      </c>
      <c r="R7" s="84">
        <f t="shared" ref="R7:R24" si="1">IF(D7=0,"-",(O7/D7))</f>
        <v>0.92592592592592593</v>
      </c>
      <c r="S7" s="84">
        <f t="shared" ref="S7:S24" si="2">IF(D7=0,"-",(Q7+R7))</f>
        <v>0.92592592592592593</v>
      </c>
      <c r="T7" s="90" t="s">
        <v>395</v>
      </c>
    </row>
    <row r="8" spans="1:20" s="125" customFormat="1" ht="150" x14ac:dyDescent="0.3">
      <c r="A8" s="38">
        <v>3</v>
      </c>
      <c r="B8" s="123" t="s">
        <v>377</v>
      </c>
      <c r="C8" s="66">
        <v>54</v>
      </c>
      <c r="D8" s="88">
        <v>55</v>
      </c>
      <c r="E8" s="85">
        <v>0</v>
      </c>
      <c r="F8" s="85">
        <v>0</v>
      </c>
      <c r="G8" s="85">
        <v>0</v>
      </c>
      <c r="H8" s="66">
        <v>9</v>
      </c>
      <c r="I8" s="85">
        <v>0</v>
      </c>
      <c r="J8" s="85">
        <v>0</v>
      </c>
      <c r="K8" s="85">
        <v>0</v>
      </c>
      <c r="L8" s="85">
        <v>0</v>
      </c>
      <c r="M8" s="57">
        <v>9</v>
      </c>
      <c r="N8" s="57">
        <v>0</v>
      </c>
      <c r="O8" s="57">
        <v>46</v>
      </c>
      <c r="P8" s="84"/>
      <c r="Q8" s="84">
        <f t="shared" si="0"/>
        <v>0</v>
      </c>
      <c r="R8" s="84">
        <f t="shared" si="1"/>
        <v>0.83636363636363631</v>
      </c>
      <c r="S8" s="84">
        <f t="shared" si="2"/>
        <v>0.83636363636363631</v>
      </c>
      <c r="T8" s="87" t="s">
        <v>396</v>
      </c>
    </row>
    <row r="9" spans="1:20" ht="15" x14ac:dyDescent="0.25">
      <c r="A9" s="38">
        <v>4</v>
      </c>
      <c r="B9" s="123" t="s">
        <v>378</v>
      </c>
      <c r="C9" s="66">
        <v>0</v>
      </c>
      <c r="D9" s="66">
        <v>0</v>
      </c>
      <c r="E9" s="85">
        <v>0</v>
      </c>
      <c r="F9" s="85">
        <v>0</v>
      </c>
      <c r="G9" s="85">
        <v>0</v>
      </c>
      <c r="H9" s="66">
        <v>0</v>
      </c>
      <c r="I9" s="85">
        <v>0</v>
      </c>
      <c r="J9" s="85">
        <v>0</v>
      </c>
      <c r="K9" s="85">
        <v>0</v>
      </c>
      <c r="L9" s="85">
        <v>0</v>
      </c>
      <c r="M9" s="57">
        <v>0</v>
      </c>
      <c r="N9" s="57">
        <v>0</v>
      </c>
      <c r="O9" s="57">
        <v>0</v>
      </c>
      <c r="P9" s="84"/>
      <c r="Q9" s="84" t="str">
        <f t="shared" si="0"/>
        <v>-</v>
      </c>
      <c r="R9" s="84" t="str">
        <f t="shared" si="1"/>
        <v>-</v>
      </c>
      <c r="S9" s="84" t="str">
        <f t="shared" si="2"/>
        <v>-</v>
      </c>
      <c r="T9" s="19"/>
    </row>
    <row r="10" spans="1:20" ht="15" x14ac:dyDescent="0.25">
      <c r="A10" s="38">
        <v>5</v>
      </c>
      <c r="B10" s="123" t="s">
        <v>379</v>
      </c>
      <c r="C10" s="66">
        <v>0</v>
      </c>
      <c r="D10" s="66">
        <v>0</v>
      </c>
      <c r="E10" s="85">
        <v>0</v>
      </c>
      <c r="F10" s="85">
        <v>0</v>
      </c>
      <c r="G10" s="85">
        <v>0</v>
      </c>
      <c r="H10" s="66">
        <v>0</v>
      </c>
      <c r="I10" s="85">
        <v>0</v>
      </c>
      <c r="J10" s="85">
        <v>0</v>
      </c>
      <c r="K10" s="85">
        <v>0</v>
      </c>
      <c r="L10" s="85">
        <v>0</v>
      </c>
      <c r="M10" s="57">
        <v>0</v>
      </c>
      <c r="N10" s="57">
        <v>0</v>
      </c>
      <c r="O10" s="57">
        <v>0</v>
      </c>
      <c r="P10" s="84"/>
      <c r="Q10" s="84" t="str">
        <f t="shared" si="0"/>
        <v>-</v>
      </c>
      <c r="R10" s="84" t="str">
        <f t="shared" si="1"/>
        <v>-</v>
      </c>
      <c r="S10" s="84" t="str">
        <f t="shared" si="2"/>
        <v>-</v>
      </c>
      <c r="T10" s="19"/>
    </row>
    <row r="11" spans="1:20" ht="15" x14ac:dyDescent="0.25">
      <c r="A11" s="38">
        <v>6</v>
      </c>
      <c r="B11" s="123" t="s">
        <v>380</v>
      </c>
      <c r="C11" s="66">
        <v>0</v>
      </c>
      <c r="D11" s="66">
        <v>0</v>
      </c>
      <c r="E11" s="85">
        <v>0</v>
      </c>
      <c r="F11" s="85">
        <v>0</v>
      </c>
      <c r="G11" s="85">
        <v>0</v>
      </c>
      <c r="H11" s="66">
        <v>0</v>
      </c>
      <c r="I11" s="85">
        <v>0</v>
      </c>
      <c r="J11" s="85">
        <v>0</v>
      </c>
      <c r="K11" s="85">
        <v>0</v>
      </c>
      <c r="L11" s="85">
        <v>0</v>
      </c>
      <c r="M11" s="57">
        <v>0</v>
      </c>
      <c r="N11" s="57">
        <v>0</v>
      </c>
      <c r="O11" s="57">
        <v>0</v>
      </c>
      <c r="P11" s="84"/>
      <c r="Q11" s="84" t="str">
        <f t="shared" si="0"/>
        <v>-</v>
      </c>
      <c r="R11" s="84" t="str">
        <f t="shared" si="1"/>
        <v>-</v>
      </c>
      <c r="S11" s="84" t="str">
        <f t="shared" si="2"/>
        <v>-</v>
      </c>
      <c r="T11" s="19"/>
    </row>
    <row r="12" spans="1:20" ht="15" x14ac:dyDescent="0.25">
      <c r="A12" s="38">
        <v>7</v>
      </c>
      <c r="B12" s="123" t="s">
        <v>381</v>
      </c>
      <c r="C12" s="66">
        <v>0</v>
      </c>
      <c r="D12" s="66">
        <v>0</v>
      </c>
      <c r="E12" s="85">
        <v>0</v>
      </c>
      <c r="F12" s="85">
        <v>0</v>
      </c>
      <c r="G12" s="85">
        <v>0</v>
      </c>
      <c r="H12" s="66">
        <v>0</v>
      </c>
      <c r="I12" s="85">
        <v>0</v>
      </c>
      <c r="J12" s="85">
        <v>0</v>
      </c>
      <c r="K12" s="85">
        <v>0</v>
      </c>
      <c r="L12" s="85">
        <v>0</v>
      </c>
      <c r="M12" s="57">
        <v>0</v>
      </c>
      <c r="N12" s="57">
        <v>0</v>
      </c>
      <c r="O12" s="57">
        <v>0</v>
      </c>
      <c r="P12" s="84"/>
      <c r="Q12" s="84" t="str">
        <f t="shared" si="0"/>
        <v>-</v>
      </c>
      <c r="R12" s="84" t="str">
        <f t="shared" si="1"/>
        <v>-</v>
      </c>
      <c r="S12" s="84" t="str">
        <f t="shared" si="2"/>
        <v>-</v>
      </c>
      <c r="T12" s="19"/>
    </row>
    <row r="13" spans="1:20" ht="15" x14ac:dyDescent="0.25">
      <c r="A13" s="38">
        <v>8</v>
      </c>
      <c r="B13" s="123" t="s">
        <v>382</v>
      </c>
      <c r="C13" s="66">
        <v>0</v>
      </c>
      <c r="D13" s="66">
        <v>0</v>
      </c>
      <c r="E13" s="85">
        <v>0</v>
      </c>
      <c r="F13" s="85">
        <v>0</v>
      </c>
      <c r="G13" s="85">
        <v>0</v>
      </c>
      <c r="H13" s="66">
        <v>0</v>
      </c>
      <c r="I13" s="85">
        <v>0</v>
      </c>
      <c r="J13" s="85">
        <v>0</v>
      </c>
      <c r="K13" s="85">
        <v>0</v>
      </c>
      <c r="L13" s="85">
        <v>0</v>
      </c>
      <c r="M13" s="57">
        <v>0</v>
      </c>
      <c r="N13" s="57">
        <v>0</v>
      </c>
      <c r="O13" s="57">
        <v>0</v>
      </c>
      <c r="P13" s="84"/>
      <c r="Q13" s="84" t="str">
        <f t="shared" si="0"/>
        <v>-</v>
      </c>
      <c r="R13" s="84" t="str">
        <f t="shared" si="1"/>
        <v>-</v>
      </c>
      <c r="S13" s="84" t="str">
        <f t="shared" si="2"/>
        <v>-</v>
      </c>
      <c r="T13" s="19"/>
    </row>
    <row r="14" spans="1:20" x14ac:dyDescent="0.25">
      <c r="A14" s="38">
        <v>9</v>
      </c>
      <c r="B14" s="123" t="s">
        <v>383</v>
      </c>
      <c r="C14" s="66">
        <v>24</v>
      </c>
      <c r="D14" s="66">
        <v>24</v>
      </c>
      <c r="E14" s="85">
        <v>0</v>
      </c>
      <c r="F14" s="85">
        <v>0</v>
      </c>
      <c r="G14" s="85">
        <v>0</v>
      </c>
      <c r="H14" s="66">
        <v>0</v>
      </c>
      <c r="I14" s="85">
        <v>0</v>
      </c>
      <c r="J14" s="85">
        <v>0</v>
      </c>
      <c r="K14" s="85">
        <v>0</v>
      </c>
      <c r="L14" s="85">
        <v>0</v>
      </c>
      <c r="M14" s="57">
        <v>0</v>
      </c>
      <c r="N14" s="57">
        <v>0</v>
      </c>
      <c r="O14" s="57">
        <v>24</v>
      </c>
      <c r="P14" s="84"/>
      <c r="Q14" s="84">
        <f t="shared" si="0"/>
        <v>0</v>
      </c>
      <c r="R14" s="84">
        <f t="shared" si="1"/>
        <v>1</v>
      </c>
      <c r="S14" s="84">
        <f t="shared" si="2"/>
        <v>1</v>
      </c>
      <c r="T14" s="71"/>
    </row>
    <row r="15" spans="1:20" ht="15" x14ac:dyDescent="0.25">
      <c r="A15" s="38">
        <v>10</v>
      </c>
      <c r="B15" s="123" t="s">
        <v>384</v>
      </c>
      <c r="C15" s="66">
        <v>0</v>
      </c>
      <c r="D15" s="66">
        <v>0</v>
      </c>
      <c r="E15" s="85">
        <v>0</v>
      </c>
      <c r="F15" s="85">
        <v>0</v>
      </c>
      <c r="G15" s="85">
        <v>0</v>
      </c>
      <c r="H15" s="66">
        <v>0</v>
      </c>
      <c r="I15" s="85">
        <v>0</v>
      </c>
      <c r="J15" s="85">
        <v>0</v>
      </c>
      <c r="K15" s="85">
        <v>0</v>
      </c>
      <c r="L15" s="85">
        <v>0</v>
      </c>
      <c r="M15" s="57">
        <v>0</v>
      </c>
      <c r="N15" s="57">
        <v>0</v>
      </c>
      <c r="O15" s="57">
        <v>0</v>
      </c>
      <c r="P15" s="84"/>
      <c r="Q15" s="84" t="str">
        <f t="shared" si="0"/>
        <v>-</v>
      </c>
      <c r="R15" s="84" t="str">
        <f t="shared" si="1"/>
        <v>-</v>
      </c>
      <c r="S15" s="84" t="str">
        <f t="shared" si="2"/>
        <v>-</v>
      </c>
      <c r="T15" s="19"/>
    </row>
    <row r="16" spans="1:20" ht="15" x14ac:dyDescent="0.25">
      <c r="A16" s="38">
        <v>11</v>
      </c>
      <c r="B16" s="123" t="s">
        <v>385</v>
      </c>
      <c r="C16" s="66">
        <v>0</v>
      </c>
      <c r="D16" s="66">
        <v>0</v>
      </c>
      <c r="E16" s="85">
        <v>0</v>
      </c>
      <c r="F16" s="85">
        <v>0</v>
      </c>
      <c r="G16" s="85">
        <v>0</v>
      </c>
      <c r="H16" s="66">
        <v>0</v>
      </c>
      <c r="I16" s="85">
        <v>0</v>
      </c>
      <c r="J16" s="85">
        <v>0</v>
      </c>
      <c r="K16" s="85">
        <v>0</v>
      </c>
      <c r="L16" s="85">
        <v>0</v>
      </c>
      <c r="M16" s="57">
        <v>0</v>
      </c>
      <c r="N16" s="57">
        <v>0</v>
      </c>
      <c r="O16" s="57">
        <v>0</v>
      </c>
      <c r="P16" s="84"/>
      <c r="Q16" s="84" t="str">
        <f t="shared" si="0"/>
        <v>-</v>
      </c>
      <c r="R16" s="84" t="str">
        <f t="shared" si="1"/>
        <v>-</v>
      </c>
      <c r="S16" s="84" t="str">
        <f t="shared" si="2"/>
        <v>-</v>
      </c>
      <c r="T16" s="19"/>
    </row>
    <row r="17" spans="1:20" ht="15" x14ac:dyDescent="0.25">
      <c r="A17" s="38">
        <v>12</v>
      </c>
      <c r="B17" s="123" t="s">
        <v>386</v>
      </c>
      <c r="C17" s="66">
        <v>0</v>
      </c>
      <c r="D17" s="66">
        <v>0</v>
      </c>
      <c r="E17" s="85">
        <v>0</v>
      </c>
      <c r="F17" s="85">
        <v>0</v>
      </c>
      <c r="G17" s="85">
        <v>0</v>
      </c>
      <c r="H17" s="66">
        <v>0</v>
      </c>
      <c r="I17" s="85">
        <v>0</v>
      </c>
      <c r="J17" s="85">
        <v>0</v>
      </c>
      <c r="K17" s="85">
        <v>0</v>
      </c>
      <c r="L17" s="85">
        <v>0</v>
      </c>
      <c r="M17" s="57">
        <v>0</v>
      </c>
      <c r="N17" s="57">
        <v>0</v>
      </c>
      <c r="O17" s="57">
        <v>0</v>
      </c>
      <c r="P17" s="84"/>
      <c r="Q17" s="84" t="str">
        <f t="shared" si="0"/>
        <v>-</v>
      </c>
      <c r="R17" s="84" t="str">
        <f t="shared" si="1"/>
        <v>-</v>
      </c>
      <c r="S17" s="84" t="str">
        <f t="shared" si="2"/>
        <v>-</v>
      </c>
      <c r="T17" s="87"/>
    </row>
    <row r="18" spans="1:20" ht="15" x14ac:dyDescent="0.25">
      <c r="A18" s="38">
        <v>13</v>
      </c>
      <c r="B18" s="123" t="s">
        <v>387</v>
      </c>
      <c r="C18" s="66">
        <v>0</v>
      </c>
      <c r="D18" s="66">
        <v>0</v>
      </c>
      <c r="E18" s="85">
        <v>0</v>
      </c>
      <c r="F18" s="85">
        <v>0</v>
      </c>
      <c r="G18" s="85">
        <v>0</v>
      </c>
      <c r="H18" s="66">
        <v>0</v>
      </c>
      <c r="I18" s="85">
        <v>0</v>
      </c>
      <c r="J18" s="85">
        <v>0</v>
      </c>
      <c r="K18" s="85">
        <v>0</v>
      </c>
      <c r="L18" s="85">
        <v>0</v>
      </c>
      <c r="M18" s="57">
        <v>0</v>
      </c>
      <c r="N18" s="57">
        <v>0</v>
      </c>
      <c r="O18" s="57">
        <v>0</v>
      </c>
      <c r="P18" s="84"/>
      <c r="Q18" s="84" t="str">
        <f t="shared" si="0"/>
        <v>-</v>
      </c>
      <c r="R18" s="84" t="str">
        <f t="shared" si="1"/>
        <v>-</v>
      </c>
      <c r="S18" s="84" t="str">
        <f t="shared" si="2"/>
        <v>-</v>
      </c>
      <c r="T18" s="86"/>
    </row>
    <row r="19" spans="1:20" ht="15" x14ac:dyDescent="0.25">
      <c r="A19" s="38">
        <v>14</v>
      </c>
      <c r="B19" s="123" t="s">
        <v>388</v>
      </c>
      <c r="C19" s="66">
        <v>0</v>
      </c>
      <c r="D19" s="66">
        <v>0</v>
      </c>
      <c r="E19" s="85">
        <v>0</v>
      </c>
      <c r="F19" s="85">
        <v>0</v>
      </c>
      <c r="G19" s="85">
        <v>0</v>
      </c>
      <c r="H19" s="66">
        <v>0</v>
      </c>
      <c r="I19" s="85">
        <v>0</v>
      </c>
      <c r="J19" s="85">
        <v>0</v>
      </c>
      <c r="K19" s="85">
        <v>0</v>
      </c>
      <c r="L19" s="85">
        <v>0</v>
      </c>
      <c r="M19" s="57">
        <v>0</v>
      </c>
      <c r="N19" s="57">
        <v>0</v>
      </c>
      <c r="O19" s="57">
        <v>0</v>
      </c>
      <c r="P19" s="84"/>
      <c r="Q19" s="84" t="str">
        <f t="shared" si="0"/>
        <v>-</v>
      </c>
      <c r="R19" s="84" t="str">
        <f t="shared" si="1"/>
        <v>-</v>
      </c>
      <c r="S19" s="84" t="str">
        <f t="shared" si="2"/>
        <v>-</v>
      </c>
      <c r="T19" s="19"/>
    </row>
    <row r="20" spans="1:20" ht="15" x14ac:dyDescent="0.25">
      <c r="A20" s="38">
        <v>15</v>
      </c>
      <c r="B20" s="123" t="s">
        <v>389</v>
      </c>
      <c r="C20" s="66">
        <v>0</v>
      </c>
      <c r="D20" s="66">
        <v>0</v>
      </c>
      <c r="E20" s="85">
        <v>0</v>
      </c>
      <c r="F20" s="85">
        <v>0</v>
      </c>
      <c r="G20" s="85">
        <v>0</v>
      </c>
      <c r="H20" s="66">
        <v>0</v>
      </c>
      <c r="I20" s="85">
        <v>0</v>
      </c>
      <c r="J20" s="85">
        <v>0</v>
      </c>
      <c r="K20" s="85">
        <v>0</v>
      </c>
      <c r="L20" s="85">
        <v>0</v>
      </c>
      <c r="M20" s="57">
        <v>0</v>
      </c>
      <c r="N20" s="57">
        <v>0</v>
      </c>
      <c r="O20" s="57">
        <v>0</v>
      </c>
      <c r="P20" s="84"/>
      <c r="Q20" s="84" t="str">
        <f t="shared" si="0"/>
        <v>-</v>
      </c>
      <c r="R20" s="84" t="str">
        <f t="shared" si="1"/>
        <v>-</v>
      </c>
      <c r="S20" s="84" t="str">
        <f t="shared" si="2"/>
        <v>-</v>
      </c>
      <c r="T20" s="19"/>
    </row>
    <row r="21" spans="1:20" ht="15" x14ac:dyDescent="0.25">
      <c r="A21" s="38">
        <v>16</v>
      </c>
      <c r="B21" s="123" t="s">
        <v>390</v>
      </c>
      <c r="C21" s="66">
        <v>0</v>
      </c>
      <c r="D21" s="66">
        <v>0</v>
      </c>
      <c r="E21" s="85">
        <v>0</v>
      </c>
      <c r="F21" s="85">
        <v>0</v>
      </c>
      <c r="G21" s="85">
        <v>0</v>
      </c>
      <c r="H21" s="66">
        <v>0</v>
      </c>
      <c r="I21" s="85">
        <v>0</v>
      </c>
      <c r="J21" s="85">
        <v>0</v>
      </c>
      <c r="K21" s="85">
        <v>0</v>
      </c>
      <c r="L21" s="85">
        <v>0</v>
      </c>
      <c r="M21" s="57">
        <v>0</v>
      </c>
      <c r="N21" s="57">
        <v>0</v>
      </c>
      <c r="O21" s="57">
        <v>0</v>
      </c>
      <c r="P21" s="84"/>
      <c r="Q21" s="84" t="str">
        <f t="shared" si="0"/>
        <v>-</v>
      </c>
      <c r="R21" s="84" t="str">
        <f t="shared" si="1"/>
        <v>-</v>
      </c>
      <c r="S21" s="84" t="str">
        <f t="shared" si="2"/>
        <v>-</v>
      </c>
      <c r="T21" s="19"/>
    </row>
    <row r="22" spans="1:20" ht="15" x14ac:dyDescent="0.25">
      <c r="A22" s="38">
        <v>17</v>
      </c>
      <c r="B22" s="123" t="s">
        <v>391</v>
      </c>
      <c r="C22" s="66">
        <v>39</v>
      </c>
      <c r="D22" s="66">
        <v>35</v>
      </c>
      <c r="E22" s="85">
        <v>0</v>
      </c>
      <c r="F22" s="85">
        <v>0</v>
      </c>
      <c r="G22" s="85">
        <v>0</v>
      </c>
      <c r="H22" s="66">
        <v>0</v>
      </c>
      <c r="I22" s="85">
        <v>0</v>
      </c>
      <c r="J22" s="85">
        <v>0</v>
      </c>
      <c r="K22" s="85">
        <v>0</v>
      </c>
      <c r="L22" s="85">
        <v>0</v>
      </c>
      <c r="M22" s="57">
        <v>2</v>
      </c>
      <c r="N22" s="57">
        <v>0</v>
      </c>
      <c r="O22" s="57">
        <v>33</v>
      </c>
      <c r="P22" s="84"/>
      <c r="Q22" s="84">
        <f t="shared" si="0"/>
        <v>0</v>
      </c>
      <c r="R22" s="84">
        <f t="shared" si="1"/>
        <v>0.94285714285714284</v>
      </c>
      <c r="S22" s="84">
        <f t="shared" si="2"/>
        <v>0.94285714285714284</v>
      </c>
      <c r="T22" s="19" t="s">
        <v>397</v>
      </c>
    </row>
    <row r="23" spans="1:20" ht="15" x14ac:dyDescent="0.25">
      <c r="A23" s="38">
        <v>18</v>
      </c>
      <c r="B23" s="123" t="s">
        <v>392</v>
      </c>
      <c r="C23" s="66">
        <v>0</v>
      </c>
      <c r="D23" s="66">
        <v>0</v>
      </c>
      <c r="E23" s="85">
        <v>0</v>
      </c>
      <c r="F23" s="85">
        <v>0</v>
      </c>
      <c r="G23" s="85">
        <v>0</v>
      </c>
      <c r="H23" s="66">
        <v>0</v>
      </c>
      <c r="I23" s="85">
        <v>0</v>
      </c>
      <c r="J23" s="85">
        <v>0</v>
      </c>
      <c r="K23" s="85">
        <v>0</v>
      </c>
      <c r="L23" s="85">
        <v>0</v>
      </c>
      <c r="M23" s="57">
        <v>0</v>
      </c>
      <c r="N23" s="57">
        <v>0</v>
      </c>
      <c r="O23" s="57">
        <v>0</v>
      </c>
      <c r="P23" s="84"/>
      <c r="Q23" s="84" t="str">
        <f t="shared" si="0"/>
        <v>-</v>
      </c>
      <c r="R23" s="84" t="str">
        <f t="shared" si="1"/>
        <v>-</v>
      </c>
      <c r="S23" s="84" t="str">
        <f t="shared" si="2"/>
        <v>-</v>
      </c>
      <c r="T23" s="83"/>
    </row>
    <row r="24" spans="1:20" s="125" customFormat="1" ht="15" x14ac:dyDescent="0.3">
      <c r="A24" s="38">
        <v>19</v>
      </c>
      <c r="B24" s="123" t="s">
        <v>393</v>
      </c>
      <c r="C24" s="66">
        <v>0</v>
      </c>
      <c r="D24" s="66">
        <v>0</v>
      </c>
      <c r="E24" s="85">
        <v>0</v>
      </c>
      <c r="F24" s="85">
        <v>0</v>
      </c>
      <c r="G24" s="85">
        <v>0</v>
      </c>
      <c r="H24" s="66">
        <v>0</v>
      </c>
      <c r="I24" s="85">
        <v>0</v>
      </c>
      <c r="J24" s="85">
        <v>0</v>
      </c>
      <c r="K24" s="85">
        <v>0</v>
      </c>
      <c r="L24" s="85">
        <v>0</v>
      </c>
      <c r="M24" s="57">
        <v>0</v>
      </c>
      <c r="N24" s="57">
        <v>0</v>
      </c>
      <c r="O24" s="57">
        <v>0</v>
      </c>
      <c r="P24" s="84"/>
      <c r="Q24" s="84" t="str">
        <f t="shared" si="0"/>
        <v>-</v>
      </c>
      <c r="R24" s="84" t="str">
        <f t="shared" si="1"/>
        <v>-</v>
      </c>
      <c r="S24" s="84" t="str">
        <f t="shared" si="2"/>
        <v>-</v>
      </c>
      <c r="T24" s="83"/>
    </row>
    <row r="26" spans="1:20" x14ac:dyDescent="0.3">
      <c r="S26" s="118" t="s">
        <v>101</v>
      </c>
    </row>
    <row r="28" spans="1:20" x14ac:dyDescent="0.3">
      <c r="T28" s="126"/>
    </row>
  </sheetData>
  <dataConsolidate>
    <dataRefs count="3">
      <dataRef ref="C7:O25" sheet="605" r:id="rId1"/>
      <dataRef ref="C7:O25" sheet="621" r:id="rId2"/>
      <dataRef ref="C7:O25" sheet="671" r:id="rId3"/>
    </dataRefs>
  </dataConsolidate>
  <mergeCells count="14">
    <mergeCell ref="A1:T1"/>
    <mergeCell ref="R2:T2"/>
    <mergeCell ref="S3:S4"/>
    <mergeCell ref="T3:T4"/>
    <mergeCell ref="N3:N4"/>
    <mergeCell ref="O3:O4"/>
    <mergeCell ref="P3:P4"/>
    <mergeCell ref="Q3:Q4"/>
    <mergeCell ref="R3:R4"/>
    <mergeCell ref="A3:A4"/>
    <mergeCell ref="B3:B4"/>
    <mergeCell ref="C3:D3"/>
    <mergeCell ref="E3:L3"/>
    <mergeCell ref="M3:M4"/>
  </mergeCells>
  <phoneticPr fontId="19" type="noConversion"/>
  <dataValidations count="1">
    <dataValidation type="whole" allowBlank="1" showInputMessage="1" showErrorMessage="1" sqref="C6:C24 D7:L24" xr:uid="{4B3C82C1-8343-43AC-998E-B8F7FD9744B5}">
      <formula1>0</formula1>
      <formula2>50000</formula2>
    </dataValidation>
  </dataValidations>
  <pageMargins left="0.7" right="0.7" top="0.75" bottom="0.75" header="0.3" footer="0.3"/>
  <pageSetup paperSize="9" scale="44" orientation="landscape"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4570D-E7FE-4F8D-B2CA-4FABF313802D}">
  <dimension ref="A1:T76"/>
  <sheetViews>
    <sheetView zoomScale="70" zoomScaleNormal="70" workbookViewId="0">
      <selection activeCell="K69" sqref="K69"/>
    </sheetView>
  </sheetViews>
  <sheetFormatPr defaultColWidth="9.109375" defaultRowHeight="15" x14ac:dyDescent="0.25"/>
  <cols>
    <col min="1" max="1" width="5.5546875" style="127" customWidth="1"/>
    <col min="2" max="2" width="44.5546875" style="126" customWidth="1"/>
    <col min="3" max="3" width="12.109375" style="45" customWidth="1"/>
    <col min="4" max="4" width="10.109375" style="45" customWidth="1"/>
    <col min="5" max="5" width="7.5546875" style="45" customWidth="1"/>
    <col min="6" max="6" width="7.44140625" style="45" customWidth="1"/>
    <col min="7" max="7" width="6.33203125" style="45" customWidth="1"/>
    <col min="8" max="8" width="13" style="45" customWidth="1"/>
    <col min="9" max="9" width="6.33203125" style="45" customWidth="1"/>
    <col min="10" max="10" width="10.88671875" style="45" customWidth="1"/>
    <col min="11" max="11" width="9.6640625" style="45" customWidth="1"/>
    <col min="12" max="12" width="10.44140625" style="118" customWidth="1"/>
    <col min="13" max="13" width="11.6640625" style="118" customWidth="1"/>
    <col min="14" max="14" width="9.6640625" style="118" customWidth="1"/>
    <col min="15" max="15" width="18" style="118" customWidth="1"/>
    <col min="16" max="16" width="13.88671875" style="118" customWidth="1"/>
    <col min="17" max="17" width="48.88671875" style="118" customWidth="1"/>
    <col min="18" max="16384" width="9.109375" style="118"/>
  </cols>
  <sheetData>
    <row r="1" spans="1:20" ht="29.25" customHeight="1" x14ac:dyDescent="0.25">
      <c r="J1" s="127"/>
      <c r="N1" s="118" t="s">
        <v>121</v>
      </c>
      <c r="P1" s="43"/>
      <c r="Q1" s="128" t="s">
        <v>122</v>
      </c>
    </row>
    <row r="2" spans="1:20" ht="24" customHeight="1" x14ac:dyDescent="0.25">
      <c r="A2" s="191" t="s">
        <v>123</v>
      </c>
      <c r="B2" s="179"/>
      <c r="C2" s="179"/>
      <c r="D2" s="179"/>
      <c r="E2" s="179"/>
      <c r="F2" s="179"/>
      <c r="G2" s="179"/>
      <c r="H2" s="179"/>
      <c r="I2" s="179"/>
      <c r="J2" s="179"/>
      <c r="K2" s="179"/>
      <c r="L2" s="179"/>
      <c r="M2" s="179"/>
      <c r="N2" s="179"/>
      <c r="O2" s="179"/>
      <c r="P2" s="179"/>
      <c r="Q2" s="179"/>
    </row>
    <row r="3" spans="1:20" s="121" customFormat="1" ht="15.75" customHeight="1" x14ac:dyDescent="0.3">
      <c r="A3" s="186" t="s">
        <v>64</v>
      </c>
      <c r="B3" s="176" t="s">
        <v>100</v>
      </c>
      <c r="C3" s="188" t="s">
        <v>33</v>
      </c>
      <c r="D3" s="188"/>
      <c r="E3" s="188" t="s">
        <v>32</v>
      </c>
      <c r="F3" s="188"/>
      <c r="G3" s="188"/>
      <c r="H3" s="188"/>
      <c r="I3" s="188"/>
      <c r="J3" s="176" t="s">
        <v>84</v>
      </c>
      <c r="K3" s="176" t="s">
        <v>99</v>
      </c>
      <c r="L3" s="176" t="s">
        <v>98</v>
      </c>
      <c r="M3" s="176" t="s">
        <v>83</v>
      </c>
      <c r="N3" s="176" t="s">
        <v>82</v>
      </c>
      <c r="O3" s="176" t="s">
        <v>81</v>
      </c>
      <c r="P3" s="176" t="s">
        <v>80</v>
      </c>
      <c r="Q3" s="176" t="s">
        <v>86</v>
      </c>
    </row>
    <row r="4" spans="1:20" s="121" customFormat="1" ht="62.4" x14ac:dyDescent="0.3">
      <c r="A4" s="187"/>
      <c r="B4" s="176"/>
      <c r="C4" s="82" t="s">
        <v>59</v>
      </c>
      <c r="D4" s="82" t="s">
        <v>58</v>
      </c>
      <c r="E4" s="55" t="s">
        <v>97</v>
      </c>
      <c r="F4" s="129" t="s">
        <v>27</v>
      </c>
      <c r="G4" s="130" t="s">
        <v>78</v>
      </c>
      <c r="H4" s="78" t="s">
        <v>96</v>
      </c>
      <c r="I4" s="130" t="s">
        <v>75</v>
      </c>
      <c r="J4" s="176"/>
      <c r="K4" s="176"/>
      <c r="L4" s="176"/>
      <c r="M4" s="176"/>
      <c r="N4" s="176"/>
      <c r="O4" s="176"/>
      <c r="P4" s="176"/>
      <c r="Q4" s="183"/>
      <c r="T4" s="121" t="s">
        <v>101</v>
      </c>
    </row>
    <row r="5" spans="1:20" s="27" customFormat="1" ht="18.75" customHeight="1" x14ac:dyDescent="0.25">
      <c r="A5" s="33" t="s">
        <v>23</v>
      </c>
      <c r="B5" s="34" t="s">
        <v>22</v>
      </c>
      <c r="C5" s="33" t="s">
        <v>21</v>
      </c>
      <c r="D5" s="33" t="s">
        <v>20</v>
      </c>
      <c r="E5" s="33" t="s">
        <v>19</v>
      </c>
      <c r="F5" s="33" t="s">
        <v>18</v>
      </c>
      <c r="G5" s="33" t="s">
        <v>17</v>
      </c>
      <c r="H5" s="33" t="s">
        <v>16</v>
      </c>
      <c r="I5" s="33" t="s">
        <v>15</v>
      </c>
      <c r="J5" s="33" t="s">
        <v>14</v>
      </c>
      <c r="K5" s="33" t="s">
        <v>74</v>
      </c>
      <c r="L5" s="33" t="s">
        <v>73</v>
      </c>
      <c r="M5" s="33" t="s">
        <v>72</v>
      </c>
      <c r="N5" s="33" t="s">
        <v>71</v>
      </c>
      <c r="O5" s="33" t="s">
        <v>70</v>
      </c>
      <c r="P5" s="33" t="s">
        <v>69</v>
      </c>
      <c r="Q5" s="33" t="s">
        <v>68</v>
      </c>
    </row>
    <row r="6" spans="1:20" s="125" customFormat="1" ht="30" customHeight="1" x14ac:dyDescent="0.3">
      <c r="A6" s="38">
        <v>1</v>
      </c>
      <c r="B6" s="60" t="s">
        <v>375</v>
      </c>
      <c r="C6" s="32">
        <v>157</v>
      </c>
      <c r="D6" s="32">
        <v>110</v>
      </c>
      <c r="E6" s="67">
        <v>0</v>
      </c>
      <c r="F6" s="67">
        <v>0</v>
      </c>
      <c r="G6" s="67">
        <v>0</v>
      </c>
      <c r="H6" s="67">
        <v>0</v>
      </c>
      <c r="I6" s="67">
        <v>0</v>
      </c>
      <c r="J6" s="67">
        <v>0</v>
      </c>
      <c r="K6" s="70">
        <v>0</v>
      </c>
      <c r="L6" s="65">
        <v>110</v>
      </c>
      <c r="M6" s="69">
        <f t="shared" ref="M6:M18" si="0">IF(D6=0,"-",(J6/D6))</f>
        <v>0</v>
      </c>
      <c r="N6" s="69">
        <v>0</v>
      </c>
      <c r="O6" s="69">
        <f t="shared" ref="O6:O18" si="1">IF(D6=0,"-",(L6/D6))</f>
        <v>1</v>
      </c>
      <c r="P6" s="69">
        <f>IF(D6=0,"-",(N6+O6))</f>
        <v>1</v>
      </c>
      <c r="Q6" s="131" t="s">
        <v>449</v>
      </c>
      <c r="S6" s="125" t="s">
        <v>101</v>
      </c>
    </row>
    <row r="7" spans="1:20" ht="30" customHeight="1" x14ac:dyDescent="0.25">
      <c r="A7" s="38">
        <v>2</v>
      </c>
      <c r="B7" s="60" t="s">
        <v>376</v>
      </c>
      <c r="C7" s="32">
        <v>350</v>
      </c>
      <c r="D7" s="32">
        <v>338</v>
      </c>
      <c r="E7" s="67">
        <v>0</v>
      </c>
      <c r="F7" s="67">
        <v>0</v>
      </c>
      <c r="G7" s="67">
        <v>0</v>
      </c>
      <c r="H7" s="67">
        <v>0</v>
      </c>
      <c r="I7" s="67">
        <v>0</v>
      </c>
      <c r="J7" s="67">
        <v>0</v>
      </c>
      <c r="K7" s="70">
        <v>0</v>
      </c>
      <c r="L7" s="65">
        <v>338</v>
      </c>
      <c r="M7" s="69">
        <f t="shared" si="0"/>
        <v>0</v>
      </c>
      <c r="N7" s="69">
        <v>0</v>
      </c>
      <c r="O7" s="69">
        <f t="shared" si="1"/>
        <v>1</v>
      </c>
      <c r="P7" s="69">
        <f>IF(D7=0,"-",(N7+O7))</f>
        <v>1</v>
      </c>
      <c r="Q7" s="74"/>
    </row>
    <row r="8" spans="1:20" s="125" customFormat="1" ht="30" customHeight="1" x14ac:dyDescent="0.3">
      <c r="A8" s="38">
        <v>3</v>
      </c>
      <c r="B8" s="60" t="s">
        <v>377</v>
      </c>
      <c r="C8" s="32">
        <v>907</v>
      </c>
      <c r="D8" s="32">
        <v>1092</v>
      </c>
      <c r="E8" s="67">
        <v>0</v>
      </c>
      <c r="F8" s="67">
        <v>0</v>
      </c>
      <c r="G8" s="67">
        <v>0</v>
      </c>
      <c r="H8" s="67">
        <v>0</v>
      </c>
      <c r="I8" s="67">
        <v>0</v>
      </c>
      <c r="J8" s="67">
        <v>0</v>
      </c>
      <c r="K8" s="70">
        <v>0</v>
      </c>
      <c r="L8" s="65">
        <v>1092</v>
      </c>
      <c r="M8" s="69">
        <f t="shared" si="0"/>
        <v>0</v>
      </c>
      <c r="N8" s="69">
        <v>0</v>
      </c>
      <c r="O8" s="69">
        <f t="shared" si="1"/>
        <v>1</v>
      </c>
      <c r="P8" s="69">
        <f>IF(D8=0,"-",(N8+O8))</f>
        <v>1</v>
      </c>
      <c r="Q8" s="74"/>
      <c r="T8" s="125" t="s">
        <v>101</v>
      </c>
    </row>
    <row r="9" spans="1:20" s="125" customFormat="1" ht="30" customHeight="1" x14ac:dyDescent="0.3">
      <c r="A9" s="38">
        <v>4</v>
      </c>
      <c r="B9" s="60" t="s">
        <v>378</v>
      </c>
      <c r="C9" s="32">
        <v>34</v>
      </c>
      <c r="D9" s="32">
        <v>5</v>
      </c>
      <c r="E9" s="67">
        <v>0</v>
      </c>
      <c r="F9" s="67">
        <v>0</v>
      </c>
      <c r="G9" s="67">
        <v>0</v>
      </c>
      <c r="H9" s="67">
        <v>0</v>
      </c>
      <c r="I9" s="67">
        <v>0</v>
      </c>
      <c r="J9" s="67">
        <v>0</v>
      </c>
      <c r="K9" s="70">
        <v>0</v>
      </c>
      <c r="L9" s="65">
        <v>5</v>
      </c>
      <c r="M9" s="69">
        <f t="shared" si="0"/>
        <v>0</v>
      </c>
      <c r="N9" s="69">
        <v>0</v>
      </c>
      <c r="O9" s="69">
        <f t="shared" si="1"/>
        <v>1</v>
      </c>
      <c r="P9" s="69">
        <f>IF(D9=0,"-",(N9+O9))</f>
        <v>1</v>
      </c>
      <c r="Q9" s="71"/>
    </row>
    <row r="10" spans="1:20" ht="30" customHeight="1" x14ac:dyDescent="0.25">
      <c r="A10" s="38">
        <v>5</v>
      </c>
      <c r="B10" s="60" t="s">
        <v>379</v>
      </c>
      <c r="C10" s="32">
        <v>24</v>
      </c>
      <c r="D10" s="32">
        <v>79</v>
      </c>
      <c r="E10" s="67">
        <v>0</v>
      </c>
      <c r="F10" s="67">
        <v>0</v>
      </c>
      <c r="G10" s="67">
        <v>0</v>
      </c>
      <c r="H10" s="67">
        <v>0</v>
      </c>
      <c r="I10" s="67">
        <v>0</v>
      </c>
      <c r="J10" s="67">
        <v>0</v>
      </c>
      <c r="K10" s="70">
        <v>0</v>
      </c>
      <c r="L10" s="65">
        <v>79</v>
      </c>
      <c r="M10" s="69">
        <f t="shared" si="0"/>
        <v>0</v>
      </c>
      <c r="N10" s="69">
        <v>0</v>
      </c>
      <c r="O10" s="69">
        <f t="shared" si="1"/>
        <v>1</v>
      </c>
      <c r="P10" s="69">
        <v>1</v>
      </c>
      <c r="Q10" s="71"/>
      <c r="S10" s="118" t="s">
        <v>101</v>
      </c>
    </row>
    <row r="11" spans="1:20" s="132" customFormat="1" ht="135" x14ac:dyDescent="0.3">
      <c r="A11" s="38">
        <v>6</v>
      </c>
      <c r="B11" s="60" t="s">
        <v>380</v>
      </c>
      <c r="C11" s="32">
        <v>646</v>
      </c>
      <c r="D11" s="32">
        <v>847</v>
      </c>
      <c r="E11" s="67">
        <v>0</v>
      </c>
      <c r="F11" s="67">
        <v>0</v>
      </c>
      <c r="G11" s="67">
        <v>3</v>
      </c>
      <c r="H11" s="67">
        <v>0</v>
      </c>
      <c r="I11" s="67">
        <v>0</v>
      </c>
      <c r="J11" s="67">
        <v>3</v>
      </c>
      <c r="K11" s="70">
        <v>0</v>
      </c>
      <c r="L11" s="65">
        <v>844</v>
      </c>
      <c r="M11" s="69">
        <f t="shared" si="0"/>
        <v>3.5419126328217238E-3</v>
      </c>
      <c r="N11" s="69">
        <v>0</v>
      </c>
      <c r="O11" s="69">
        <f t="shared" si="1"/>
        <v>0.99645808736717822</v>
      </c>
      <c r="P11" s="69">
        <f t="shared" ref="P11:P18" si="2">IF(D11=0,"-",(N11+O11))</f>
        <v>0.99645808736717822</v>
      </c>
      <c r="Q11" s="87" t="s">
        <v>450</v>
      </c>
    </row>
    <row r="12" spans="1:20" s="125" customFormat="1" ht="30" x14ac:dyDescent="0.3">
      <c r="A12" s="38">
        <v>7</v>
      </c>
      <c r="B12" s="60" t="s">
        <v>381</v>
      </c>
      <c r="C12" s="32">
        <v>0</v>
      </c>
      <c r="D12" s="67">
        <v>23</v>
      </c>
      <c r="E12" s="67">
        <v>0</v>
      </c>
      <c r="F12" s="67">
        <v>0</v>
      </c>
      <c r="G12" s="67">
        <v>1</v>
      </c>
      <c r="H12" s="67">
        <v>0</v>
      </c>
      <c r="I12" s="67">
        <v>0</v>
      </c>
      <c r="J12" s="67">
        <v>1</v>
      </c>
      <c r="K12" s="70">
        <v>0</v>
      </c>
      <c r="L12" s="65">
        <v>22</v>
      </c>
      <c r="M12" s="69">
        <f t="shared" si="0"/>
        <v>4.3478260869565216E-2</v>
      </c>
      <c r="N12" s="69">
        <v>0</v>
      </c>
      <c r="O12" s="69">
        <f t="shared" si="1"/>
        <v>0.95652173913043481</v>
      </c>
      <c r="P12" s="69">
        <f t="shared" si="2"/>
        <v>0.95652173913043481</v>
      </c>
      <c r="Q12" s="19" t="s">
        <v>451</v>
      </c>
    </row>
    <row r="13" spans="1:20" ht="24" customHeight="1" x14ac:dyDescent="0.25">
      <c r="A13" s="38">
        <v>8</v>
      </c>
      <c r="B13" s="60" t="s">
        <v>382</v>
      </c>
      <c r="C13" s="67">
        <v>0</v>
      </c>
      <c r="D13" s="67">
        <v>519</v>
      </c>
      <c r="E13" s="67">
        <v>0</v>
      </c>
      <c r="F13" s="67">
        <v>0</v>
      </c>
      <c r="G13" s="67">
        <v>0</v>
      </c>
      <c r="H13" s="67">
        <v>0</v>
      </c>
      <c r="I13" s="67">
        <v>0</v>
      </c>
      <c r="J13" s="67">
        <v>0</v>
      </c>
      <c r="K13" s="70">
        <v>0</v>
      </c>
      <c r="L13" s="65">
        <v>519</v>
      </c>
      <c r="M13" s="80">
        <f t="shared" si="0"/>
        <v>0</v>
      </c>
      <c r="N13" s="69">
        <v>0</v>
      </c>
      <c r="O13" s="69">
        <f t="shared" si="1"/>
        <v>1</v>
      </c>
      <c r="P13" s="69">
        <f t="shared" si="2"/>
        <v>1</v>
      </c>
      <c r="Q13" s="74"/>
    </row>
    <row r="14" spans="1:20" ht="24" customHeight="1" x14ac:dyDescent="0.25">
      <c r="A14" s="38">
        <v>9</v>
      </c>
      <c r="B14" s="60" t="s">
        <v>383</v>
      </c>
      <c r="C14" s="32">
        <v>128</v>
      </c>
      <c r="D14" s="32">
        <v>101</v>
      </c>
      <c r="E14" s="67">
        <v>0</v>
      </c>
      <c r="F14" s="67">
        <v>0</v>
      </c>
      <c r="G14" s="67">
        <v>0</v>
      </c>
      <c r="H14" s="67">
        <v>0</v>
      </c>
      <c r="I14" s="67">
        <v>0</v>
      </c>
      <c r="J14" s="67">
        <v>0</v>
      </c>
      <c r="K14" s="70">
        <v>0</v>
      </c>
      <c r="L14" s="65">
        <v>101</v>
      </c>
      <c r="M14" s="69">
        <f t="shared" si="0"/>
        <v>0</v>
      </c>
      <c r="N14" s="69">
        <v>0</v>
      </c>
      <c r="O14" s="69">
        <f t="shared" si="1"/>
        <v>1</v>
      </c>
      <c r="P14" s="69">
        <f t="shared" si="2"/>
        <v>1</v>
      </c>
      <c r="Q14" s="73"/>
    </row>
    <row r="15" spans="1:20" s="125" customFormat="1" ht="60" x14ac:dyDescent="0.3">
      <c r="A15" s="38">
        <v>10</v>
      </c>
      <c r="B15" s="60" t="s">
        <v>384</v>
      </c>
      <c r="C15" s="32">
        <v>3875</v>
      </c>
      <c r="D15" s="32">
        <v>4039</v>
      </c>
      <c r="E15" s="67">
        <v>0</v>
      </c>
      <c r="F15" s="67">
        <v>0</v>
      </c>
      <c r="G15" s="67">
        <v>1</v>
      </c>
      <c r="H15" s="67">
        <v>1</v>
      </c>
      <c r="I15" s="67">
        <v>0</v>
      </c>
      <c r="J15" s="67">
        <v>2</v>
      </c>
      <c r="K15" s="70">
        <v>0</v>
      </c>
      <c r="L15" s="65">
        <v>4037</v>
      </c>
      <c r="M15" s="69">
        <f t="shared" si="0"/>
        <v>4.9517207229512257E-4</v>
      </c>
      <c r="N15" s="69">
        <v>0</v>
      </c>
      <c r="O15" s="69">
        <f t="shared" si="1"/>
        <v>0.9995048279277049</v>
      </c>
      <c r="P15" s="69">
        <f t="shared" si="2"/>
        <v>0.9995048279277049</v>
      </c>
      <c r="Q15" s="19" t="s">
        <v>95</v>
      </c>
    </row>
    <row r="16" spans="1:20" s="125" customFormat="1" ht="15.6" x14ac:dyDescent="0.3">
      <c r="A16" s="38">
        <v>11</v>
      </c>
      <c r="B16" s="60" t="s">
        <v>385</v>
      </c>
      <c r="C16" s="32">
        <v>8</v>
      </c>
      <c r="D16" s="32">
        <v>125</v>
      </c>
      <c r="E16" s="67">
        <v>0</v>
      </c>
      <c r="F16" s="67">
        <v>0</v>
      </c>
      <c r="G16" s="67">
        <v>0</v>
      </c>
      <c r="H16" s="67">
        <v>0</v>
      </c>
      <c r="I16" s="67">
        <v>0</v>
      </c>
      <c r="J16" s="67">
        <v>0</v>
      </c>
      <c r="K16" s="70">
        <v>0</v>
      </c>
      <c r="L16" s="65">
        <v>125</v>
      </c>
      <c r="M16" s="69">
        <f t="shared" si="0"/>
        <v>0</v>
      </c>
      <c r="N16" s="69">
        <v>0</v>
      </c>
      <c r="O16" s="69">
        <f t="shared" si="1"/>
        <v>1</v>
      </c>
      <c r="P16" s="69">
        <f t="shared" si="2"/>
        <v>1</v>
      </c>
      <c r="Q16" s="73"/>
    </row>
    <row r="17" spans="1:20" ht="24" customHeight="1" x14ac:dyDescent="0.25">
      <c r="A17" s="38">
        <v>12</v>
      </c>
      <c r="B17" s="60" t="s">
        <v>386</v>
      </c>
      <c r="C17" s="32">
        <v>106</v>
      </c>
      <c r="D17" s="32">
        <v>78</v>
      </c>
      <c r="E17" s="67">
        <v>0</v>
      </c>
      <c r="F17" s="67">
        <v>0</v>
      </c>
      <c r="G17" s="67">
        <v>0</v>
      </c>
      <c r="H17" s="67">
        <v>0</v>
      </c>
      <c r="I17" s="67">
        <v>0</v>
      </c>
      <c r="J17" s="67">
        <v>0</v>
      </c>
      <c r="K17" s="70">
        <v>0</v>
      </c>
      <c r="L17" s="65">
        <v>78</v>
      </c>
      <c r="M17" s="69">
        <f t="shared" si="0"/>
        <v>0</v>
      </c>
      <c r="N17" s="69">
        <v>0</v>
      </c>
      <c r="O17" s="69">
        <f t="shared" si="1"/>
        <v>1</v>
      </c>
      <c r="P17" s="69">
        <f t="shared" si="2"/>
        <v>1</v>
      </c>
      <c r="Q17" s="74"/>
    </row>
    <row r="18" spans="1:20" ht="42" customHeight="1" x14ac:dyDescent="0.25">
      <c r="A18" s="38">
        <v>13</v>
      </c>
      <c r="B18" s="60" t="s">
        <v>387</v>
      </c>
      <c r="C18" s="32">
        <v>0</v>
      </c>
      <c r="D18" s="32">
        <v>0</v>
      </c>
      <c r="E18" s="67">
        <v>0</v>
      </c>
      <c r="F18" s="67">
        <v>0</v>
      </c>
      <c r="G18" s="67">
        <v>0</v>
      </c>
      <c r="H18" s="67">
        <v>0</v>
      </c>
      <c r="I18" s="67">
        <v>0</v>
      </c>
      <c r="J18" s="67">
        <v>0</v>
      </c>
      <c r="K18" s="70">
        <v>0</v>
      </c>
      <c r="L18" s="65">
        <v>0</v>
      </c>
      <c r="M18" s="69" t="str">
        <f t="shared" si="0"/>
        <v>-</v>
      </c>
      <c r="N18" s="69" t="str">
        <f>IF(K18=0,"-",(K18/D18))</f>
        <v>-</v>
      </c>
      <c r="O18" s="69" t="str">
        <f t="shared" si="1"/>
        <v>-</v>
      </c>
      <c r="P18" s="69" t="str">
        <f t="shared" si="2"/>
        <v>-</v>
      </c>
      <c r="Q18" s="71"/>
    </row>
    <row r="19" spans="1:20" ht="25.5" customHeight="1" x14ac:dyDescent="0.25">
      <c r="A19" s="38">
        <v>14</v>
      </c>
      <c r="B19" s="60" t="s">
        <v>388</v>
      </c>
      <c r="C19" s="32">
        <v>0</v>
      </c>
      <c r="D19" s="32">
        <v>2</v>
      </c>
      <c r="E19" s="67">
        <v>0</v>
      </c>
      <c r="F19" s="67">
        <v>0</v>
      </c>
      <c r="G19" s="67">
        <v>0</v>
      </c>
      <c r="H19" s="67">
        <v>0</v>
      </c>
      <c r="I19" s="67">
        <v>0</v>
      </c>
      <c r="J19" s="67">
        <v>0</v>
      </c>
      <c r="K19" s="70">
        <v>0</v>
      </c>
      <c r="L19" s="65">
        <v>2</v>
      </c>
      <c r="M19" s="69">
        <f>IF(D57=0,"-",(J19/D57))</f>
        <v>0</v>
      </c>
      <c r="N19" s="69" t="str">
        <f>IF(K19=0,"-",(K19/D57))</f>
        <v>-</v>
      </c>
      <c r="O19" s="69">
        <f>IF(D57=0,"-",(L19/D57))</f>
        <v>9.2592592592592587E-3</v>
      </c>
      <c r="P19" s="69">
        <v>0</v>
      </c>
      <c r="Q19" s="71"/>
    </row>
    <row r="20" spans="1:20" ht="25.5" customHeight="1" x14ac:dyDescent="0.25">
      <c r="A20" s="38">
        <v>15</v>
      </c>
      <c r="B20" s="60" t="s">
        <v>389</v>
      </c>
      <c r="C20" s="32">
        <v>123</v>
      </c>
      <c r="D20" s="32">
        <v>462</v>
      </c>
      <c r="E20" s="67">
        <v>0</v>
      </c>
      <c r="F20" s="67">
        <v>0</v>
      </c>
      <c r="G20" s="67">
        <v>0</v>
      </c>
      <c r="H20" s="67">
        <v>0</v>
      </c>
      <c r="I20" s="67">
        <v>0</v>
      </c>
      <c r="J20" s="67">
        <v>0</v>
      </c>
      <c r="K20" s="70">
        <v>0</v>
      </c>
      <c r="L20" s="65">
        <v>462</v>
      </c>
      <c r="M20" s="69">
        <f>IF(D20=0,"-",(J20/D20))</f>
        <v>0</v>
      </c>
      <c r="N20" s="69">
        <v>0</v>
      </c>
      <c r="O20" s="69">
        <f>IF(D20=0,"-",(L20/D20))</f>
        <v>1</v>
      </c>
      <c r="P20" s="69">
        <f>IF(D20=0,"-",(N20+O20))</f>
        <v>1</v>
      </c>
      <c r="Q20" s="19" t="s">
        <v>94</v>
      </c>
    </row>
    <row r="21" spans="1:20" ht="25.5" customHeight="1" x14ac:dyDescent="0.25">
      <c r="A21" s="38">
        <v>16</v>
      </c>
      <c r="B21" s="60" t="s">
        <v>390</v>
      </c>
      <c r="C21" s="32">
        <v>1374</v>
      </c>
      <c r="D21" s="32">
        <v>1810</v>
      </c>
      <c r="E21" s="67">
        <v>0</v>
      </c>
      <c r="F21" s="67">
        <v>0</v>
      </c>
      <c r="G21" s="67">
        <v>0</v>
      </c>
      <c r="H21" s="67">
        <v>0</v>
      </c>
      <c r="I21" s="67">
        <v>0</v>
      </c>
      <c r="J21" s="67">
        <v>0</v>
      </c>
      <c r="K21" s="70">
        <v>0</v>
      </c>
      <c r="L21" s="65">
        <v>1810</v>
      </c>
      <c r="M21" s="69">
        <f>IF(D21=0,"-",(J21/D21))</f>
        <v>0</v>
      </c>
      <c r="N21" s="69">
        <v>0</v>
      </c>
      <c r="O21" s="69">
        <f>IF(D21=0,"-",(L21/D21))</f>
        <v>1</v>
      </c>
      <c r="P21" s="69">
        <f>IF(D21=0,"-",(N21+O21))</f>
        <v>1</v>
      </c>
      <c r="Q21" s="73"/>
    </row>
    <row r="22" spans="1:20" ht="25.5" customHeight="1" x14ac:dyDescent="0.25">
      <c r="A22" s="38">
        <v>17</v>
      </c>
      <c r="B22" s="60" t="s">
        <v>391</v>
      </c>
      <c r="C22" s="67">
        <v>0</v>
      </c>
      <c r="D22" s="67">
        <v>244</v>
      </c>
      <c r="E22" s="67">
        <v>0</v>
      </c>
      <c r="F22" s="67">
        <v>0</v>
      </c>
      <c r="G22" s="67">
        <v>0</v>
      </c>
      <c r="H22" s="67">
        <v>0</v>
      </c>
      <c r="I22" s="67">
        <v>0</v>
      </c>
      <c r="J22" s="67">
        <v>0</v>
      </c>
      <c r="K22" s="70">
        <v>0</v>
      </c>
      <c r="L22" s="65">
        <v>244</v>
      </c>
      <c r="M22" s="69">
        <v>0</v>
      </c>
      <c r="N22" s="69">
        <v>0</v>
      </c>
      <c r="O22" s="69">
        <v>0</v>
      </c>
      <c r="P22" s="69">
        <v>0</v>
      </c>
      <c r="Q22" s="73"/>
    </row>
    <row r="23" spans="1:20" ht="25.5" customHeight="1" x14ac:dyDescent="0.25">
      <c r="A23" s="38">
        <v>18</v>
      </c>
      <c r="B23" s="60" t="s">
        <v>392</v>
      </c>
      <c r="C23" s="67">
        <v>0</v>
      </c>
      <c r="D23" s="67">
        <v>0</v>
      </c>
      <c r="E23" s="67">
        <v>0</v>
      </c>
      <c r="F23" s="67">
        <v>0</v>
      </c>
      <c r="G23" s="67">
        <v>0</v>
      </c>
      <c r="H23" s="67">
        <v>0</v>
      </c>
      <c r="I23" s="67">
        <v>0</v>
      </c>
      <c r="J23" s="67">
        <v>0</v>
      </c>
      <c r="K23" s="70">
        <v>0</v>
      </c>
      <c r="L23" s="65">
        <v>0</v>
      </c>
      <c r="M23" s="69">
        <v>0</v>
      </c>
      <c r="N23" s="69">
        <v>0</v>
      </c>
      <c r="O23" s="69">
        <v>0</v>
      </c>
      <c r="P23" s="69">
        <v>0</v>
      </c>
      <c r="Q23" s="73"/>
    </row>
    <row r="24" spans="1:20" ht="25.5" customHeight="1" x14ac:dyDescent="0.25">
      <c r="A24" s="38">
        <v>19</v>
      </c>
      <c r="B24" s="60" t="s">
        <v>393</v>
      </c>
      <c r="C24" s="67">
        <v>0</v>
      </c>
      <c r="D24" s="67">
        <v>0</v>
      </c>
      <c r="E24" s="67">
        <v>0</v>
      </c>
      <c r="F24" s="67">
        <v>0</v>
      </c>
      <c r="G24" s="67">
        <v>0</v>
      </c>
      <c r="H24" s="67">
        <v>0</v>
      </c>
      <c r="I24" s="67">
        <v>0</v>
      </c>
      <c r="J24" s="67">
        <v>0</v>
      </c>
      <c r="K24" s="70">
        <v>0</v>
      </c>
      <c r="L24" s="65">
        <v>0</v>
      </c>
      <c r="M24" s="69" t="str">
        <f>IF(D24=0,"-",(J24/D24))</f>
        <v>-</v>
      </c>
      <c r="N24" s="69" t="str">
        <f>IF(K24=0,"-",(K24/D24))</f>
        <v>-</v>
      </c>
      <c r="O24" s="69" t="str">
        <f>IF(D24=0,"-",(L24/D24))</f>
        <v>-</v>
      </c>
      <c r="P24" s="69" t="str">
        <f>IF(D24=0,"-",(N24+O24))</f>
        <v>-</v>
      </c>
      <c r="Q24" s="74"/>
    </row>
    <row r="25" spans="1:20" ht="33" customHeight="1" x14ac:dyDescent="0.25">
      <c r="A25" s="38">
        <v>20</v>
      </c>
      <c r="B25" s="60" t="s">
        <v>398</v>
      </c>
      <c r="C25" s="67">
        <v>3079</v>
      </c>
      <c r="D25" s="67">
        <v>309</v>
      </c>
      <c r="E25" s="67">
        <v>0</v>
      </c>
      <c r="F25" s="67">
        <v>0</v>
      </c>
      <c r="G25" s="67">
        <v>0</v>
      </c>
      <c r="H25" s="67">
        <v>0</v>
      </c>
      <c r="I25" s="67">
        <v>0</v>
      </c>
      <c r="J25" s="67">
        <v>0</v>
      </c>
      <c r="K25" s="70">
        <v>0</v>
      </c>
      <c r="L25" s="65">
        <v>309</v>
      </c>
      <c r="M25" s="69">
        <f>IF(D25=0,"-",(J25/D25))</f>
        <v>0</v>
      </c>
      <c r="N25" s="69" t="str">
        <f>IF(K25=0,"-",(K25/D25))</f>
        <v>-</v>
      </c>
      <c r="O25" s="69">
        <f>IF(D25=0,"-",(L25/D25))</f>
        <v>1</v>
      </c>
      <c r="P25" s="69" t="str">
        <f>IF(E25=0,"-",(M25/E25))</f>
        <v>-</v>
      </c>
      <c r="Q25" s="71"/>
    </row>
    <row r="26" spans="1:20" s="125" customFormat="1" ht="45" x14ac:dyDescent="0.3">
      <c r="A26" s="38">
        <v>21</v>
      </c>
      <c r="B26" s="60" t="s">
        <v>399</v>
      </c>
      <c r="C26" s="32">
        <v>2028</v>
      </c>
      <c r="D26" s="67">
        <v>4575</v>
      </c>
      <c r="E26" s="67">
        <v>0</v>
      </c>
      <c r="F26" s="67">
        <v>0</v>
      </c>
      <c r="G26" s="67">
        <v>0</v>
      </c>
      <c r="H26" s="67">
        <v>24</v>
      </c>
      <c r="I26" s="67">
        <v>0</v>
      </c>
      <c r="J26" s="67">
        <v>14</v>
      </c>
      <c r="K26" s="70">
        <v>0</v>
      </c>
      <c r="L26" s="65">
        <v>4550</v>
      </c>
      <c r="M26" s="69">
        <f>IF(D26=0,"-",(J26/D26))</f>
        <v>3.0601092896174863E-3</v>
      </c>
      <c r="N26" s="69" t="str">
        <f>IF(K26=0,"-",(K26/D26))</f>
        <v>-</v>
      </c>
      <c r="O26" s="69">
        <f>IF(D26=0,"-",(L26/D26))</f>
        <v>0.99453551912568305</v>
      </c>
      <c r="P26" s="69" t="str">
        <f>IF(E26=0,"-",(M26/E26))</f>
        <v>-</v>
      </c>
      <c r="Q26" s="87" t="s">
        <v>124</v>
      </c>
    </row>
    <row r="27" spans="1:20" s="125" customFormat="1" x14ac:dyDescent="0.3">
      <c r="A27" s="38">
        <v>22</v>
      </c>
      <c r="B27" s="60" t="s">
        <v>400</v>
      </c>
      <c r="C27" s="67">
        <v>24800</v>
      </c>
      <c r="D27" s="67">
        <v>24419</v>
      </c>
      <c r="E27" s="67">
        <v>0</v>
      </c>
      <c r="F27" s="67">
        <v>0</v>
      </c>
      <c r="G27" s="67">
        <v>0</v>
      </c>
      <c r="H27" s="67">
        <v>18</v>
      </c>
      <c r="I27" s="67">
        <v>0</v>
      </c>
      <c r="J27" s="67">
        <v>18</v>
      </c>
      <c r="K27" s="70">
        <v>0</v>
      </c>
      <c r="L27" s="65">
        <v>24401</v>
      </c>
      <c r="M27" s="69">
        <f>IF(D27=0,"-",(J27/D27))</f>
        <v>7.3713092264220484E-4</v>
      </c>
      <c r="N27" s="69">
        <v>0</v>
      </c>
      <c r="O27" s="69">
        <f>IF(D27=0,"-",(L27/D27))</f>
        <v>0.99926286907735784</v>
      </c>
      <c r="P27" s="69">
        <f>IF(D27=0,"-",(N27+O27))</f>
        <v>0.99926286907735784</v>
      </c>
      <c r="Q27" s="72" t="s">
        <v>452</v>
      </c>
    </row>
    <row r="28" spans="1:20" s="125" customFormat="1" ht="35.25" customHeight="1" x14ac:dyDescent="0.3">
      <c r="A28" s="38">
        <v>23</v>
      </c>
      <c r="B28" s="60" t="s">
        <v>401</v>
      </c>
      <c r="C28" s="67">
        <v>0</v>
      </c>
      <c r="D28" s="67">
        <v>0</v>
      </c>
      <c r="E28" s="67">
        <v>0</v>
      </c>
      <c r="F28" s="67">
        <v>0</v>
      </c>
      <c r="G28" s="67">
        <v>0</v>
      </c>
      <c r="H28" s="67">
        <v>0</v>
      </c>
      <c r="I28" s="67">
        <v>0</v>
      </c>
      <c r="J28" s="67">
        <v>0</v>
      </c>
      <c r="K28" s="70">
        <v>0</v>
      </c>
      <c r="L28" s="65">
        <v>0</v>
      </c>
      <c r="M28" s="69">
        <v>0</v>
      </c>
      <c r="N28" s="69">
        <v>0</v>
      </c>
      <c r="O28" s="69">
        <v>0</v>
      </c>
      <c r="P28" s="69">
        <v>0</v>
      </c>
      <c r="Q28" s="72"/>
      <c r="R28" s="133"/>
      <c r="S28" s="133"/>
      <c r="T28" s="134"/>
    </row>
    <row r="29" spans="1:20" s="125" customFormat="1" ht="30" x14ac:dyDescent="0.3">
      <c r="A29" s="38">
        <v>24</v>
      </c>
      <c r="B29" s="60" t="s">
        <v>402</v>
      </c>
      <c r="C29" s="67">
        <v>13575</v>
      </c>
      <c r="D29" s="67">
        <v>10489</v>
      </c>
      <c r="E29" s="67">
        <v>0</v>
      </c>
      <c r="F29" s="67">
        <v>0</v>
      </c>
      <c r="G29" s="67">
        <v>0</v>
      </c>
      <c r="H29" s="67">
        <v>25</v>
      </c>
      <c r="I29" s="67">
        <v>0</v>
      </c>
      <c r="J29" s="67">
        <v>25</v>
      </c>
      <c r="K29" s="70">
        <v>0</v>
      </c>
      <c r="L29" s="65">
        <v>10464</v>
      </c>
      <c r="M29" s="80">
        <f t="shared" ref="M29:M62" si="3">IF(D29=0,"-",(J29/D29))</f>
        <v>2.3834493278672895E-3</v>
      </c>
      <c r="N29" s="80">
        <v>0</v>
      </c>
      <c r="O29" s="80">
        <f t="shared" ref="O29:O56" si="4">IF(D29=0,"-",(L29/D29))</f>
        <v>0.99761655067213273</v>
      </c>
      <c r="P29" s="80">
        <f t="shared" ref="P29:P47" si="5">IF(D29=0,"-",(N29+O29))</f>
        <v>0.99761655067213273</v>
      </c>
      <c r="Q29" s="90" t="s">
        <v>453</v>
      </c>
    </row>
    <row r="30" spans="1:20" ht="37.5" customHeight="1" x14ac:dyDescent="0.25">
      <c r="A30" s="38">
        <v>25</v>
      </c>
      <c r="B30" s="60" t="s">
        <v>403</v>
      </c>
      <c r="C30" s="32">
        <v>754</v>
      </c>
      <c r="D30" s="32">
        <v>223</v>
      </c>
      <c r="E30" s="67">
        <v>0</v>
      </c>
      <c r="F30" s="67">
        <v>0</v>
      </c>
      <c r="G30" s="67">
        <v>0</v>
      </c>
      <c r="H30" s="67">
        <v>0</v>
      </c>
      <c r="I30" s="67">
        <v>0</v>
      </c>
      <c r="J30" s="67">
        <v>0</v>
      </c>
      <c r="K30" s="70">
        <v>0</v>
      </c>
      <c r="L30" s="65">
        <v>223</v>
      </c>
      <c r="M30" s="69">
        <f t="shared" si="3"/>
        <v>0</v>
      </c>
      <c r="N30" s="69">
        <v>0</v>
      </c>
      <c r="O30" s="69">
        <f t="shared" si="4"/>
        <v>1</v>
      </c>
      <c r="P30" s="69">
        <f t="shared" si="5"/>
        <v>1</v>
      </c>
      <c r="Q30" s="77"/>
    </row>
    <row r="31" spans="1:20" ht="30" x14ac:dyDescent="0.25">
      <c r="A31" s="38">
        <v>26</v>
      </c>
      <c r="B31" s="60" t="s">
        <v>404</v>
      </c>
      <c r="C31" s="67">
        <v>1603</v>
      </c>
      <c r="D31" s="67">
        <v>1388</v>
      </c>
      <c r="E31" s="67">
        <v>0</v>
      </c>
      <c r="F31" s="67">
        <v>0</v>
      </c>
      <c r="G31" s="67">
        <v>0</v>
      </c>
      <c r="H31" s="67">
        <v>6</v>
      </c>
      <c r="I31" s="67">
        <v>0</v>
      </c>
      <c r="J31" s="67">
        <v>6</v>
      </c>
      <c r="K31" s="70">
        <v>0</v>
      </c>
      <c r="L31" s="65">
        <v>1382</v>
      </c>
      <c r="M31" s="69">
        <f t="shared" si="3"/>
        <v>4.3227665706051877E-3</v>
      </c>
      <c r="N31" s="69">
        <v>0</v>
      </c>
      <c r="O31" s="69">
        <f t="shared" si="4"/>
        <v>0.99567723342939485</v>
      </c>
      <c r="P31" s="69">
        <f t="shared" si="5"/>
        <v>0.99567723342939485</v>
      </c>
      <c r="Q31" s="59" t="s">
        <v>454</v>
      </c>
    </row>
    <row r="32" spans="1:20" s="125" customFormat="1" ht="22.5" customHeight="1" x14ac:dyDescent="0.3">
      <c r="A32" s="38">
        <v>27</v>
      </c>
      <c r="B32" s="60" t="s">
        <v>405</v>
      </c>
      <c r="C32" s="32">
        <v>497</v>
      </c>
      <c r="D32" s="32">
        <v>705</v>
      </c>
      <c r="E32" s="67">
        <v>0</v>
      </c>
      <c r="F32" s="67">
        <v>0</v>
      </c>
      <c r="G32" s="67">
        <v>0</v>
      </c>
      <c r="H32" s="67">
        <v>0</v>
      </c>
      <c r="I32" s="67">
        <v>0</v>
      </c>
      <c r="J32" s="67">
        <v>0</v>
      </c>
      <c r="K32" s="70">
        <v>0</v>
      </c>
      <c r="L32" s="65">
        <v>705</v>
      </c>
      <c r="M32" s="69">
        <f t="shared" si="3"/>
        <v>0</v>
      </c>
      <c r="N32" s="69">
        <v>0</v>
      </c>
      <c r="O32" s="69">
        <f t="shared" si="4"/>
        <v>1</v>
      </c>
      <c r="P32" s="69">
        <f t="shared" si="5"/>
        <v>1</v>
      </c>
      <c r="Q32" s="77"/>
    </row>
    <row r="33" spans="1:17" ht="22.5" customHeight="1" x14ac:dyDescent="0.25">
      <c r="A33" s="38">
        <v>28</v>
      </c>
      <c r="B33" s="60" t="s">
        <v>406</v>
      </c>
      <c r="C33" s="32">
        <v>0</v>
      </c>
      <c r="D33" s="32">
        <v>0</v>
      </c>
      <c r="E33" s="67">
        <v>0</v>
      </c>
      <c r="F33" s="67">
        <v>0</v>
      </c>
      <c r="G33" s="67">
        <v>0</v>
      </c>
      <c r="H33" s="67">
        <v>0</v>
      </c>
      <c r="I33" s="67">
        <v>0</v>
      </c>
      <c r="J33" s="67">
        <v>0</v>
      </c>
      <c r="K33" s="70">
        <v>0</v>
      </c>
      <c r="L33" s="65">
        <v>0</v>
      </c>
      <c r="M33" s="69" t="str">
        <f t="shared" si="3"/>
        <v>-</v>
      </c>
      <c r="N33" s="69" t="str">
        <f t="shared" ref="N33:N38" si="6">IF(K33=0,"-",(K33/D33))</f>
        <v>-</v>
      </c>
      <c r="O33" s="69" t="str">
        <f t="shared" si="4"/>
        <v>-</v>
      </c>
      <c r="P33" s="69" t="str">
        <f t="shared" si="5"/>
        <v>-</v>
      </c>
      <c r="Q33" s="74"/>
    </row>
    <row r="34" spans="1:17" ht="22.5" customHeight="1" x14ac:dyDescent="0.25">
      <c r="A34" s="38">
        <v>29</v>
      </c>
      <c r="B34" s="60" t="s">
        <v>407</v>
      </c>
      <c r="C34" s="32">
        <v>0</v>
      </c>
      <c r="D34" s="32">
        <v>36</v>
      </c>
      <c r="E34" s="67">
        <v>0</v>
      </c>
      <c r="F34" s="67">
        <v>0</v>
      </c>
      <c r="G34" s="67">
        <v>0</v>
      </c>
      <c r="H34" s="67">
        <v>0</v>
      </c>
      <c r="I34" s="67">
        <v>0</v>
      </c>
      <c r="J34" s="67">
        <v>0</v>
      </c>
      <c r="K34" s="70">
        <v>0</v>
      </c>
      <c r="L34" s="65">
        <v>36</v>
      </c>
      <c r="M34" s="69">
        <f t="shared" si="3"/>
        <v>0</v>
      </c>
      <c r="N34" s="69" t="str">
        <f t="shared" si="6"/>
        <v>-</v>
      </c>
      <c r="O34" s="69">
        <f t="shared" si="4"/>
        <v>1</v>
      </c>
      <c r="P34" s="69">
        <v>1</v>
      </c>
      <c r="Q34" s="71"/>
    </row>
    <row r="35" spans="1:17" ht="22.5" customHeight="1" x14ac:dyDescent="0.25">
      <c r="A35" s="38">
        <v>30</v>
      </c>
      <c r="B35" s="60" t="s">
        <v>408</v>
      </c>
      <c r="C35" s="32">
        <v>10</v>
      </c>
      <c r="D35" s="32">
        <v>14</v>
      </c>
      <c r="E35" s="67">
        <v>0</v>
      </c>
      <c r="F35" s="67">
        <v>0</v>
      </c>
      <c r="G35" s="67">
        <v>0</v>
      </c>
      <c r="H35" s="67">
        <v>0</v>
      </c>
      <c r="I35" s="67">
        <v>0</v>
      </c>
      <c r="J35" s="67">
        <v>0</v>
      </c>
      <c r="K35" s="70">
        <v>0</v>
      </c>
      <c r="L35" s="65">
        <v>14</v>
      </c>
      <c r="M35" s="69">
        <f t="shared" si="3"/>
        <v>0</v>
      </c>
      <c r="N35" s="69" t="str">
        <f t="shared" si="6"/>
        <v>-</v>
      </c>
      <c r="O35" s="69">
        <f t="shared" si="4"/>
        <v>1</v>
      </c>
      <c r="P35" s="69">
        <v>1</v>
      </c>
      <c r="Q35" s="71"/>
    </row>
    <row r="36" spans="1:17" ht="22.5" customHeight="1" x14ac:dyDescent="0.25">
      <c r="A36" s="38">
        <v>31</v>
      </c>
      <c r="B36" s="60" t="s">
        <v>409</v>
      </c>
      <c r="C36" s="32">
        <v>0</v>
      </c>
      <c r="D36" s="32">
        <v>0</v>
      </c>
      <c r="E36" s="67">
        <v>0</v>
      </c>
      <c r="F36" s="67">
        <v>0</v>
      </c>
      <c r="G36" s="67">
        <v>0</v>
      </c>
      <c r="H36" s="67">
        <v>0</v>
      </c>
      <c r="I36" s="67">
        <v>0</v>
      </c>
      <c r="J36" s="67">
        <v>0</v>
      </c>
      <c r="K36" s="70">
        <v>0</v>
      </c>
      <c r="L36" s="65">
        <v>0</v>
      </c>
      <c r="M36" s="69" t="str">
        <f t="shared" si="3"/>
        <v>-</v>
      </c>
      <c r="N36" s="69" t="str">
        <f t="shared" si="6"/>
        <v>-</v>
      </c>
      <c r="O36" s="69" t="str">
        <f t="shared" si="4"/>
        <v>-</v>
      </c>
      <c r="P36" s="69" t="str">
        <f t="shared" si="5"/>
        <v>-</v>
      </c>
      <c r="Q36" s="71"/>
    </row>
    <row r="37" spans="1:17" ht="22.5" customHeight="1" x14ac:dyDescent="0.25">
      <c r="A37" s="38">
        <v>32</v>
      </c>
      <c r="B37" s="60" t="s">
        <v>410</v>
      </c>
      <c r="C37" s="32">
        <v>0</v>
      </c>
      <c r="D37" s="32">
        <v>0</v>
      </c>
      <c r="E37" s="67">
        <v>0</v>
      </c>
      <c r="F37" s="67">
        <v>0</v>
      </c>
      <c r="G37" s="67">
        <v>0</v>
      </c>
      <c r="H37" s="67">
        <v>0</v>
      </c>
      <c r="I37" s="67">
        <v>0</v>
      </c>
      <c r="J37" s="67">
        <v>0</v>
      </c>
      <c r="K37" s="70">
        <v>0</v>
      </c>
      <c r="L37" s="65">
        <v>0</v>
      </c>
      <c r="M37" s="69" t="str">
        <f t="shared" si="3"/>
        <v>-</v>
      </c>
      <c r="N37" s="69" t="str">
        <f t="shared" si="6"/>
        <v>-</v>
      </c>
      <c r="O37" s="69" t="str">
        <f t="shared" si="4"/>
        <v>-</v>
      </c>
      <c r="P37" s="69" t="str">
        <f t="shared" si="5"/>
        <v>-</v>
      </c>
      <c r="Q37" s="71"/>
    </row>
    <row r="38" spans="1:17" ht="22.5" customHeight="1" x14ac:dyDescent="0.25">
      <c r="A38" s="38">
        <v>33</v>
      </c>
      <c r="B38" s="60" t="s">
        <v>411</v>
      </c>
      <c r="C38" s="32">
        <v>0</v>
      </c>
      <c r="D38" s="32">
        <v>0</v>
      </c>
      <c r="E38" s="67">
        <v>0</v>
      </c>
      <c r="F38" s="67">
        <v>0</v>
      </c>
      <c r="G38" s="67">
        <v>0</v>
      </c>
      <c r="H38" s="67">
        <v>0</v>
      </c>
      <c r="I38" s="67">
        <v>0</v>
      </c>
      <c r="J38" s="67">
        <v>0</v>
      </c>
      <c r="K38" s="70">
        <v>0</v>
      </c>
      <c r="L38" s="65">
        <v>0</v>
      </c>
      <c r="M38" s="69" t="str">
        <f t="shared" si="3"/>
        <v>-</v>
      </c>
      <c r="N38" s="69" t="str">
        <f t="shared" si="6"/>
        <v>-</v>
      </c>
      <c r="O38" s="69" t="str">
        <f t="shared" si="4"/>
        <v>-</v>
      </c>
      <c r="P38" s="69" t="str">
        <f t="shared" si="5"/>
        <v>-</v>
      </c>
      <c r="Q38" s="71"/>
    </row>
    <row r="39" spans="1:17" ht="30.6" x14ac:dyDescent="0.25">
      <c r="A39" s="38">
        <v>34</v>
      </c>
      <c r="B39" s="60" t="s">
        <v>412</v>
      </c>
      <c r="C39" s="32">
        <v>231</v>
      </c>
      <c r="D39" s="32">
        <v>220</v>
      </c>
      <c r="E39" s="67">
        <v>0</v>
      </c>
      <c r="F39" s="67">
        <v>0</v>
      </c>
      <c r="G39" s="67">
        <v>2</v>
      </c>
      <c r="H39" s="67">
        <v>1</v>
      </c>
      <c r="I39" s="67">
        <v>0</v>
      </c>
      <c r="J39" s="67">
        <v>3</v>
      </c>
      <c r="K39" s="70">
        <v>0</v>
      </c>
      <c r="L39" s="65">
        <v>217</v>
      </c>
      <c r="M39" s="69">
        <f t="shared" si="3"/>
        <v>1.3636363636363636E-2</v>
      </c>
      <c r="N39" s="69">
        <v>0</v>
      </c>
      <c r="O39" s="69">
        <f t="shared" si="4"/>
        <v>0.98636363636363633</v>
      </c>
      <c r="P39" s="69">
        <f t="shared" si="5"/>
        <v>0.98636363636363633</v>
      </c>
      <c r="Q39" s="76" t="s">
        <v>455</v>
      </c>
    </row>
    <row r="40" spans="1:17" ht="19.5" customHeight="1" x14ac:dyDescent="0.25">
      <c r="A40" s="38">
        <v>35</v>
      </c>
      <c r="B40" s="60" t="s">
        <v>413</v>
      </c>
      <c r="C40" s="32">
        <v>10</v>
      </c>
      <c r="D40" s="32">
        <v>13</v>
      </c>
      <c r="E40" s="67">
        <v>0</v>
      </c>
      <c r="F40" s="67">
        <v>0</v>
      </c>
      <c r="G40" s="67">
        <v>0</v>
      </c>
      <c r="H40" s="67">
        <v>0</v>
      </c>
      <c r="I40" s="67">
        <v>0</v>
      </c>
      <c r="J40" s="67">
        <v>0</v>
      </c>
      <c r="K40" s="70">
        <v>0</v>
      </c>
      <c r="L40" s="65">
        <v>13</v>
      </c>
      <c r="M40" s="69">
        <f t="shared" si="3"/>
        <v>0</v>
      </c>
      <c r="N40" s="69">
        <v>0</v>
      </c>
      <c r="O40" s="69">
        <f t="shared" si="4"/>
        <v>1</v>
      </c>
      <c r="P40" s="69">
        <f t="shared" si="5"/>
        <v>1</v>
      </c>
      <c r="Q40" s="71"/>
    </row>
    <row r="41" spans="1:17" ht="19.5" customHeight="1" x14ac:dyDescent="0.3">
      <c r="A41" s="38">
        <v>36</v>
      </c>
      <c r="B41" s="60" t="s">
        <v>414</v>
      </c>
      <c r="C41" s="32">
        <v>0</v>
      </c>
      <c r="D41" s="32">
        <v>0</v>
      </c>
      <c r="E41" s="67">
        <v>0</v>
      </c>
      <c r="F41" s="67">
        <v>0</v>
      </c>
      <c r="G41" s="67">
        <v>0</v>
      </c>
      <c r="H41" s="67">
        <v>0</v>
      </c>
      <c r="I41" s="67">
        <v>0</v>
      </c>
      <c r="J41" s="67">
        <v>0</v>
      </c>
      <c r="K41" s="70">
        <v>0</v>
      </c>
      <c r="L41" s="65">
        <v>0</v>
      </c>
      <c r="M41" s="69" t="str">
        <f t="shared" si="3"/>
        <v>-</v>
      </c>
      <c r="N41" s="69" t="str">
        <f>IF(K41=0,"-",(K41/D41))</f>
        <v>-</v>
      </c>
      <c r="O41" s="69" t="str">
        <f t="shared" si="4"/>
        <v>-</v>
      </c>
      <c r="P41" s="69" t="str">
        <f t="shared" si="5"/>
        <v>-</v>
      </c>
      <c r="Q41" s="135"/>
    </row>
    <row r="42" spans="1:17" ht="19.5" customHeight="1" x14ac:dyDescent="0.25">
      <c r="A42" s="38">
        <v>37</v>
      </c>
      <c r="B42" s="60" t="s">
        <v>415</v>
      </c>
      <c r="C42" s="32">
        <v>8</v>
      </c>
      <c r="D42" s="32">
        <v>14</v>
      </c>
      <c r="E42" s="67">
        <v>0</v>
      </c>
      <c r="F42" s="67">
        <v>0</v>
      </c>
      <c r="G42" s="67">
        <v>0</v>
      </c>
      <c r="H42" s="67">
        <v>0</v>
      </c>
      <c r="I42" s="67">
        <v>0</v>
      </c>
      <c r="J42" s="67">
        <v>0</v>
      </c>
      <c r="K42" s="70">
        <v>0</v>
      </c>
      <c r="L42" s="65">
        <v>14</v>
      </c>
      <c r="M42" s="69">
        <f t="shared" si="3"/>
        <v>0</v>
      </c>
      <c r="N42" s="69" t="str">
        <f>IF(K42=0,"-",(K42/D42))</f>
        <v>-</v>
      </c>
      <c r="O42" s="69">
        <f t="shared" si="4"/>
        <v>1</v>
      </c>
      <c r="P42" s="69" t="e">
        <f t="shared" si="5"/>
        <v>#VALUE!</v>
      </c>
      <c r="Q42" s="71"/>
    </row>
    <row r="43" spans="1:17" ht="19.5" customHeight="1" x14ac:dyDescent="0.25">
      <c r="A43" s="38">
        <v>38</v>
      </c>
      <c r="B43" s="60" t="s">
        <v>416</v>
      </c>
      <c r="C43" s="32">
        <v>274</v>
      </c>
      <c r="D43" s="32">
        <v>325</v>
      </c>
      <c r="E43" s="67">
        <v>0</v>
      </c>
      <c r="F43" s="67">
        <v>0</v>
      </c>
      <c r="G43" s="67">
        <v>0</v>
      </c>
      <c r="H43" s="67">
        <v>0</v>
      </c>
      <c r="I43" s="67">
        <v>0</v>
      </c>
      <c r="J43" s="67">
        <v>0</v>
      </c>
      <c r="K43" s="70">
        <v>0</v>
      </c>
      <c r="L43" s="65">
        <v>325</v>
      </c>
      <c r="M43" s="69">
        <f t="shared" si="3"/>
        <v>0</v>
      </c>
      <c r="N43" s="69">
        <v>0</v>
      </c>
      <c r="O43" s="69">
        <f t="shared" si="4"/>
        <v>1</v>
      </c>
      <c r="P43" s="69">
        <f t="shared" si="5"/>
        <v>1</v>
      </c>
      <c r="Q43" s="74"/>
    </row>
    <row r="44" spans="1:17" ht="49.5" customHeight="1" x14ac:dyDescent="0.25">
      <c r="A44" s="38">
        <v>39</v>
      </c>
      <c r="B44" s="60" t="s">
        <v>417</v>
      </c>
      <c r="C44" s="32">
        <v>176</v>
      </c>
      <c r="D44" s="32">
        <v>168</v>
      </c>
      <c r="E44" s="67">
        <v>0</v>
      </c>
      <c r="F44" s="67">
        <v>0</v>
      </c>
      <c r="G44" s="67">
        <v>2</v>
      </c>
      <c r="H44" s="67">
        <v>0</v>
      </c>
      <c r="I44" s="67">
        <v>0</v>
      </c>
      <c r="J44" s="67">
        <v>2</v>
      </c>
      <c r="K44" s="70">
        <v>0</v>
      </c>
      <c r="L44" s="65">
        <v>166</v>
      </c>
      <c r="M44" s="69">
        <f t="shared" si="3"/>
        <v>1.1904761904761904E-2</v>
      </c>
      <c r="N44" s="69">
        <v>0</v>
      </c>
      <c r="O44" s="69">
        <f t="shared" si="4"/>
        <v>0.98809523809523814</v>
      </c>
      <c r="P44" s="69">
        <f t="shared" si="5"/>
        <v>0.98809523809523814</v>
      </c>
      <c r="Q44" s="91" t="s">
        <v>125</v>
      </c>
    </row>
    <row r="45" spans="1:17" ht="28.5" customHeight="1" x14ac:dyDescent="0.25">
      <c r="A45" s="38">
        <v>40</v>
      </c>
      <c r="B45" s="60" t="s">
        <v>418</v>
      </c>
      <c r="C45" s="32">
        <v>272</v>
      </c>
      <c r="D45" s="32">
        <v>150</v>
      </c>
      <c r="E45" s="67">
        <v>0</v>
      </c>
      <c r="F45" s="67">
        <v>0</v>
      </c>
      <c r="G45" s="67">
        <v>0</v>
      </c>
      <c r="H45" s="67">
        <v>0</v>
      </c>
      <c r="I45" s="67">
        <v>0</v>
      </c>
      <c r="J45" s="67">
        <v>0</v>
      </c>
      <c r="K45" s="70">
        <v>0</v>
      </c>
      <c r="L45" s="65">
        <v>150</v>
      </c>
      <c r="M45" s="69">
        <f t="shared" si="3"/>
        <v>0</v>
      </c>
      <c r="N45" s="69">
        <v>0</v>
      </c>
      <c r="O45" s="69">
        <f t="shared" si="4"/>
        <v>1</v>
      </c>
      <c r="P45" s="69">
        <f t="shared" si="5"/>
        <v>1</v>
      </c>
      <c r="Q45" s="63"/>
    </row>
    <row r="46" spans="1:17" s="125" customFormat="1" ht="90" x14ac:dyDescent="0.3">
      <c r="A46" s="38">
        <v>41</v>
      </c>
      <c r="B46" s="60" t="s">
        <v>419</v>
      </c>
      <c r="C46" s="32">
        <v>109</v>
      </c>
      <c r="D46" s="32">
        <v>112</v>
      </c>
      <c r="E46" s="67">
        <v>0</v>
      </c>
      <c r="F46" s="67">
        <v>0</v>
      </c>
      <c r="G46" s="67">
        <v>3</v>
      </c>
      <c r="H46" s="67">
        <v>2</v>
      </c>
      <c r="I46" s="67">
        <v>0</v>
      </c>
      <c r="J46" s="67">
        <v>5</v>
      </c>
      <c r="K46" s="70">
        <v>0</v>
      </c>
      <c r="L46" s="65">
        <v>107</v>
      </c>
      <c r="M46" s="69">
        <f t="shared" si="3"/>
        <v>4.4642857142857144E-2</v>
      </c>
      <c r="N46" s="69">
        <v>0</v>
      </c>
      <c r="O46" s="69">
        <f t="shared" si="4"/>
        <v>0.9553571428571429</v>
      </c>
      <c r="P46" s="69">
        <f t="shared" si="5"/>
        <v>0.9553571428571429</v>
      </c>
      <c r="Q46" s="136" t="s">
        <v>456</v>
      </c>
    </row>
    <row r="47" spans="1:17" ht="15.6" x14ac:dyDescent="0.25">
      <c r="A47" s="38">
        <v>42</v>
      </c>
      <c r="B47" s="60" t="s">
        <v>420</v>
      </c>
      <c r="C47" s="32">
        <v>0</v>
      </c>
      <c r="D47" s="32">
        <v>0</v>
      </c>
      <c r="E47" s="67">
        <v>0</v>
      </c>
      <c r="F47" s="67">
        <v>0</v>
      </c>
      <c r="G47" s="67">
        <v>0</v>
      </c>
      <c r="H47" s="67">
        <v>0</v>
      </c>
      <c r="I47" s="67">
        <v>0</v>
      </c>
      <c r="J47" s="67">
        <v>0</v>
      </c>
      <c r="K47" s="70">
        <v>0</v>
      </c>
      <c r="L47" s="65">
        <v>0</v>
      </c>
      <c r="M47" s="69" t="str">
        <f t="shared" si="3"/>
        <v>-</v>
      </c>
      <c r="N47" s="69">
        <v>0</v>
      </c>
      <c r="O47" s="69" t="str">
        <f t="shared" si="4"/>
        <v>-</v>
      </c>
      <c r="P47" s="69" t="str">
        <f t="shared" si="5"/>
        <v>-</v>
      </c>
      <c r="Q47" s="137"/>
    </row>
    <row r="48" spans="1:17" ht="24" customHeight="1" x14ac:dyDescent="0.25">
      <c r="A48" s="38">
        <v>43</v>
      </c>
      <c r="B48" s="60" t="s">
        <v>421</v>
      </c>
      <c r="C48" s="32">
        <v>4</v>
      </c>
      <c r="D48" s="32">
        <v>4</v>
      </c>
      <c r="E48" s="67">
        <v>0</v>
      </c>
      <c r="F48" s="67">
        <v>0</v>
      </c>
      <c r="G48" s="67">
        <v>0</v>
      </c>
      <c r="H48" s="67">
        <v>0</v>
      </c>
      <c r="I48" s="67">
        <v>0</v>
      </c>
      <c r="J48" s="67">
        <v>0</v>
      </c>
      <c r="K48" s="70">
        <v>0</v>
      </c>
      <c r="L48" s="65">
        <v>4</v>
      </c>
      <c r="M48" s="69">
        <f t="shared" si="3"/>
        <v>0</v>
      </c>
      <c r="N48" s="69" t="str">
        <f>IF(K48=0,"-",(K48/D48))</f>
        <v>-</v>
      </c>
      <c r="O48" s="69">
        <f t="shared" si="4"/>
        <v>1</v>
      </c>
      <c r="P48" s="69">
        <v>1</v>
      </c>
      <c r="Q48" s="71"/>
    </row>
    <row r="49" spans="1:20" ht="15.6" x14ac:dyDescent="0.25">
      <c r="A49" s="38">
        <v>44</v>
      </c>
      <c r="B49" s="60" t="s">
        <v>422</v>
      </c>
      <c r="C49" s="32">
        <v>8</v>
      </c>
      <c r="D49" s="32">
        <v>36</v>
      </c>
      <c r="E49" s="67">
        <v>0</v>
      </c>
      <c r="F49" s="67">
        <v>0</v>
      </c>
      <c r="G49" s="67">
        <v>0</v>
      </c>
      <c r="H49" s="67">
        <v>0</v>
      </c>
      <c r="I49" s="67">
        <v>0</v>
      </c>
      <c r="J49" s="67">
        <v>0</v>
      </c>
      <c r="K49" s="70">
        <v>0</v>
      </c>
      <c r="L49" s="65">
        <v>36</v>
      </c>
      <c r="M49" s="69">
        <f t="shared" si="3"/>
        <v>0</v>
      </c>
      <c r="N49" s="69" t="str">
        <f>IF(K49=0,"-",(K49/D49))</f>
        <v>-</v>
      </c>
      <c r="O49" s="69">
        <f t="shared" si="4"/>
        <v>1</v>
      </c>
      <c r="P49" s="69">
        <v>1</v>
      </c>
      <c r="Q49" s="71"/>
    </row>
    <row r="50" spans="1:20" ht="24" customHeight="1" x14ac:dyDescent="0.25">
      <c r="A50" s="38">
        <v>45</v>
      </c>
      <c r="B50" s="60" t="s">
        <v>423</v>
      </c>
      <c r="C50" s="32">
        <v>0</v>
      </c>
      <c r="D50" s="32">
        <v>0</v>
      </c>
      <c r="E50" s="67">
        <v>0</v>
      </c>
      <c r="F50" s="67">
        <v>0</v>
      </c>
      <c r="G50" s="67">
        <v>0</v>
      </c>
      <c r="H50" s="67">
        <v>0</v>
      </c>
      <c r="I50" s="67">
        <v>0</v>
      </c>
      <c r="J50" s="67">
        <v>0</v>
      </c>
      <c r="K50" s="70">
        <v>0</v>
      </c>
      <c r="L50" s="65">
        <v>0</v>
      </c>
      <c r="M50" s="69" t="str">
        <f t="shared" si="3"/>
        <v>-</v>
      </c>
      <c r="N50" s="69" t="str">
        <f>IF(K50=0,"-",(K50/D50))</f>
        <v>-</v>
      </c>
      <c r="O50" s="69" t="str">
        <f t="shared" si="4"/>
        <v>-</v>
      </c>
      <c r="P50" s="69" t="str">
        <f t="shared" ref="P50:P54" si="7">IF(D50=0,"-",(N50+O50))</f>
        <v>-</v>
      </c>
      <c r="Q50" s="75"/>
    </row>
    <row r="51" spans="1:20" ht="19.5" customHeight="1" x14ac:dyDescent="0.25">
      <c r="A51" s="38">
        <v>46</v>
      </c>
      <c r="B51" s="60" t="s">
        <v>424</v>
      </c>
      <c r="C51" s="32">
        <v>0</v>
      </c>
      <c r="D51" s="32">
        <v>0</v>
      </c>
      <c r="E51" s="67">
        <v>0</v>
      </c>
      <c r="F51" s="67">
        <v>0</v>
      </c>
      <c r="G51" s="67">
        <v>0</v>
      </c>
      <c r="H51" s="67">
        <v>0</v>
      </c>
      <c r="I51" s="67">
        <v>0</v>
      </c>
      <c r="J51" s="67">
        <v>0</v>
      </c>
      <c r="K51" s="70">
        <v>0</v>
      </c>
      <c r="L51" s="65">
        <v>0</v>
      </c>
      <c r="M51" s="69" t="str">
        <f t="shared" si="3"/>
        <v>-</v>
      </c>
      <c r="N51" s="69" t="str">
        <f>IF(K51=0,"-",(K51/D51))</f>
        <v>-</v>
      </c>
      <c r="O51" s="69" t="str">
        <f t="shared" si="4"/>
        <v>-</v>
      </c>
      <c r="P51" s="69" t="str">
        <f t="shared" si="7"/>
        <v>-</v>
      </c>
      <c r="Q51" s="71"/>
    </row>
    <row r="52" spans="1:20" s="125" customFormat="1" ht="30" x14ac:dyDescent="0.3">
      <c r="A52" s="38">
        <v>47</v>
      </c>
      <c r="B52" s="60" t="s">
        <v>425</v>
      </c>
      <c r="C52" s="32">
        <v>29</v>
      </c>
      <c r="D52" s="32">
        <v>149</v>
      </c>
      <c r="E52" s="67">
        <v>0</v>
      </c>
      <c r="F52" s="67">
        <v>0</v>
      </c>
      <c r="G52" s="67">
        <v>0</v>
      </c>
      <c r="H52" s="67">
        <v>0</v>
      </c>
      <c r="I52" s="67">
        <v>0</v>
      </c>
      <c r="J52" s="67">
        <v>0</v>
      </c>
      <c r="K52" s="70">
        <v>0</v>
      </c>
      <c r="L52" s="65">
        <v>149</v>
      </c>
      <c r="M52" s="69">
        <f t="shared" si="3"/>
        <v>0</v>
      </c>
      <c r="N52" s="69">
        <v>0</v>
      </c>
      <c r="O52" s="69">
        <f t="shared" si="4"/>
        <v>1</v>
      </c>
      <c r="P52" s="69">
        <f t="shared" si="7"/>
        <v>1</v>
      </c>
      <c r="Q52" s="63" t="s">
        <v>457</v>
      </c>
    </row>
    <row r="53" spans="1:20" ht="75" x14ac:dyDescent="0.25">
      <c r="A53" s="38">
        <v>48</v>
      </c>
      <c r="B53" s="60" t="s">
        <v>426</v>
      </c>
      <c r="C53" s="32">
        <v>109</v>
      </c>
      <c r="D53" s="32">
        <v>193</v>
      </c>
      <c r="E53" s="67">
        <v>0</v>
      </c>
      <c r="F53" s="67">
        <v>0</v>
      </c>
      <c r="G53" s="67">
        <v>0</v>
      </c>
      <c r="H53" s="67">
        <v>1</v>
      </c>
      <c r="I53" s="67">
        <v>21</v>
      </c>
      <c r="J53" s="67">
        <v>22</v>
      </c>
      <c r="K53" s="70">
        <v>0</v>
      </c>
      <c r="L53" s="65">
        <v>171</v>
      </c>
      <c r="M53" s="69">
        <f t="shared" si="3"/>
        <v>0.11398963730569948</v>
      </c>
      <c r="N53" s="69">
        <v>0</v>
      </c>
      <c r="O53" s="69">
        <f t="shared" si="4"/>
        <v>0.88601036269430056</v>
      </c>
      <c r="P53" s="69">
        <f t="shared" si="7"/>
        <v>0.88601036269430056</v>
      </c>
      <c r="Q53" s="138" t="s">
        <v>458</v>
      </c>
    </row>
    <row r="54" spans="1:20" s="125" customFormat="1" ht="15.6" x14ac:dyDescent="0.3">
      <c r="A54" s="38">
        <v>49</v>
      </c>
      <c r="B54" s="60" t="s">
        <v>427</v>
      </c>
      <c r="C54" s="32">
        <v>274</v>
      </c>
      <c r="D54" s="32">
        <v>216</v>
      </c>
      <c r="E54" s="67">
        <v>0</v>
      </c>
      <c r="F54" s="67">
        <v>0</v>
      </c>
      <c r="G54" s="67">
        <v>0</v>
      </c>
      <c r="H54" s="67">
        <v>0</v>
      </c>
      <c r="I54" s="67">
        <v>0</v>
      </c>
      <c r="J54" s="67">
        <v>0</v>
      </c>
      <c r="K54" s="70">
        <v>0</v>
      </c>
      <c r="L54" s="65">
        <v>216</v>
      </c>
      <c r="M54" s="69">
        <f t="shared" si="3"/>
        <v>0</v>
      </c>
      <c r="N54" s="69">
        <v>0</v>
      </c>
      <c r="O54" s="69">
        <f t="shared" si="4"/>
        <v>1</v>
      </c>
      <c r="P54" s="69">
        <f t="shared" si="7"/>
        <v>1</v>
      </c>
      <c r="Q54" s="71"/>
    </row>
    <row r="55" spans="1:20" ht="15.6" x14ac:dyDescent="0.25">
      <c r="A55" s="38">
        <v>50</v>
      </c>
      <c r="B55" s="60" t="s">
        <v>428</v>
      </c>
      <c r="C55" s="32">
        <v>46</v>
      </c>
      <c r="D55" s="32">
        <v>48</v>
      </c>
      <c r="E55" s="67">
        <v>0</v>
      </c>
      <c r="F55" s="67">
        <v>0</v>
      </c>
      <c r="G55" s="67">
        <v>0</v>
      </c>
      <c r="H55" s="67">
        <v>0</v>
      </c>
      <c r="I55" s="67">
        <v>0</v>
      </c>
      <c r="J55" s="67">
        <v>0</v>
      </c>
      <c r="K55" s="70">
        <v>0</v>
      </c>
      <c r="L55" s="65">
        <v>48</v>
      </c>
      <c r="M55" s="69">
        <f t="shared" si="3"/>
        <v>0</v>
      </c>
      <c r="N55" s="69" t="str">
        <f>IF(K55=0,"-",(K55/D55))</f>
        <v>-</v>
      </c>
      <c r="O55" s="69">
        <f t="shared" si="4"/>
        <v>1</v>
      </c>
      <c r="P55" s="69">
        <v>1</v>
      </c>
      <c r="Q55" s="71"/>
    </row>
    <row r="56" spans="1:20" ht="15.6" x14ac:dyDescent="0.25">
      <c r="A56" s="38">
        <v>51</v>
      </c>
      <c r="B56" s="60" t="s">
        <v>429</v>
      </c>
      <c r="C56" s="32">
        <v>0</v>
      </c>
      <c r="D56" s="32">
        <v>7</v>
      </c>
      <c r="E56" s="67">
        <v>0</v>
      </c>
      <c r="F56" s="67">
        <v>0</v>
      </c>
      <c r="G56" s="67">
        <v>0</v>
      </c>
      <c r="H56" s="67">
        <v>0</v>
      </c>
      <c r="I56" s="67">
        <v>0</v>
      </c>
      <c r="J56" s="67">
        <v>0</v>
      </c>
      <c r="K56" s="70">
        <v>0</v>
      </c>
      <c r="L56" s="65">
        <v>7</v>
      </c>
      <c r="M56" s="69">
        <f t="shared" si="3"/>
        <v>0</v>
      </c>
      <c r="N56" s="69" t="str">
        <f>IF(K56=0,"-",(K56/D56))</f>
        <v>-</v>
      </c>
      <c r="O56" s="69">
        <f t="shared" si="4"/>
        <v>1</v>
      </c>
      <c r="P56" s="69">
        <v>1</v>
      </c>
      <c r="Q56" s="71"/>
    </row>
    <row r="57" spans="1:20" ht="44.25" customHeight="1" x14ac:dyDescent="0.25">
      <c r="A57" s="38">
        <v>52</v>
      </c>
      <c r="B57" s="60" t="s">
        <v>430</v>
      </c>
      <c r="C57" s="32">
        <v>283</v>
      </c>
      <c r="D57" s="32">
        <v>216</v>
      </c>
      <c r="E57" s="67">
        <v>0</v>
      </c>
      <c r="F57" s="67">
        <v>0</v>
      </c>
      <c r="G57" s="67">
        <v>0</v>
      </c>
      <c r="H57" s="67">
        <v>0</v>
      </c>
      <c r="I57" s="67">
        <v>0</v>
      </c>
      <c r="J57" s="67">
        <v>0</v>
      </c>
      <c r="K57" s="70">
        <v>0</v>
      </c>
      <c r="L57" s="65">
        <v>216</v>
      </c>
      <c r="M57" s="69">
        <f t="shared" si="3"/>
        <v>0</v>
      </c>
      <c r="N57" s="69">
        <v>0</v>
      </c>
      <c r="O57" s="69">
        <v>1</v>
      </c>
      <c r="P57" s="69">
        <v>1</v>
      </c>
      <c r="Q57" s="71"/>
      <c r="T57" s="118" t="s">
        <v>101</v>
      </c>
    </row>
    <row r="58" spans="1:20" ht="15.6" x14ac:dyDescent="0.25">
      <c r="A58" s="38">
        <v>53</v>
      </c>
      <c r="B58" s="60" t="s">
        <v>431</v>
      </c>
      <c r="C58" s="32">
        <v>0</v>
      </c>
      <c r="D58" s="32">
        <v>13</v>
      </c>
      <c r="E58" s="67">
        <v>0</v>
      </c>
      <c r="F58" s="67">
        <v>0</v>
      </c>
      <c r="G58" s="67">
        <v>0</v>
      </c>
      <c r="H58" s="67">
        <v>0</v>
      </c>
      <c r="I58" s="67">
        <v>0</v>
      </c>
      <c r="J58" s="67">
        <v>0</v>
      </c>
      <c r="K58" s="70">
        <v>0</v>
      </c>
      <c r="L58" s="65">
        <v>13</v>
      </c>
      <c r="M58" s="69">
        <f t="shared" si="3"/>
        <v>0</v>
      </c>
      <c r="N58" s="69" t="str">
        <f>IF(K58=0,"-",(K58/D58))</f>
        <v>-</v>
      </c>
      <c r="O58" s="69">
        <f>IF(D58=0,"-",(L58/D58))</f>
        <v>1</v>
      </c>
      <c r="P58" s="69">
        <v>1</v>
      </c>
      <c r="Q58" s="71"/>
    </row>
    <row r="59" spans="1:20" ht="35.25" customHeight="1" x14ac:dyDescent="0.25">
      <c r="A59" s="38">
        <v>54</v>
      </c>
      <c r="B59" s="60" t="s">
        <v>432</v>
      </c>
      <c r="C59" s="32">
        <v>213</v>
      </c>
      <c r="D59" s="32">
        <v>232</v>
      </c>
      <c r="E59" s="67">
        <v>0</v>
      </c>
      <c r="F59" s="67">
        <v>0</v>
      </c>
      <c r="G59" s="67">
        <v>0</v>
      </c>
      <c r="H59" s="67">
        <v>0</v>
      </c>
      <c r="I59" s="67">
        <v>0</v>
      </c>
      <c r="J59" s="67">
        <v>0</v>
      </c>
      <c r="K59" s="70">
        <v>0</v>
      </c>
      <c r="L59" s="65">
        <v>232</v>
      </c>
      <c r="M59" s="69">
        <f t="shared" si="3"/>
        <v>0</v>
      </c>
      <c r="N59" s="69">
        <v>0</v>
      </c>
      <c r="O59" s="69">
        <f>IF(D59=0,"-",(L59/D59))</f>
        <v>1</v>
      </c>
      <c r="P59" s="69">
        <f>IF(D59=0,"-",(N59+O59))</f>
        <v>1</v>
      </c>
      <c r="Q59" s="63" t="s">
        <v>459</v>
      </c>
      <c r="T59" s="118" t="s">
        <v>101</v>
      </c>
    </row>
    <row r="60" spans="1:20" s="126" customFormat="1" ht="15.6" x14ac:dyDescent="0.3">
      <c r="A60" s="38">
        <v>55</v>
      </c>
      <c r="B60" s="60" t="s">
        <v>433</v>
      </c>
      <c r="C60" s="32">
        <v>264</v>
      </c>
      <c r="D60" s="32">
        <v>214</v>
      </c>
      <c r="E60" s="67">
        <v>0</v>
      </c>
      <c r="F60" s="67">
        <v>0</v>
      </c>
      <c r="G60" s="67">
        <v>0</v>
      </c>
      <c r="H60" s="67">
        <v>0</v>
      </c>
      <c r="I60" s="67">
        <v>0</v>
      </c>
      <c r="J60" s="67">
        <v>0</v>
      </c>
      <c r="K60" s="70">
        <v>0</v>
      </c>
      <c r="L60" s="65">
        <v>214</v>
      </c>
      <c r="M60" s="69">
        <f t="shared" si="3"/>
        <v>0</v>
      </c>
      <c r="N60" s="69">
        <v>0</v>
      </c>
      <c r="O60" s="69">
        <f>IF(D60=0,"-",(L60/D60))</f>
        <v>1</v>
      </c>
      <c r="P60" s="69">
        <f>IF(D60=0,"-",(N60+O60))</f>
        <v>1</v>
      </c>
      <c r="Q60" s="74"/>
    </row>
    <row r="61" spans="1:20" ht="15.6" x14ac:dyDescent="0.25">
      <c r="A61" s="38">
        <v>56</v>
      </c>
      <c r="B61" s="60" t="s">
        <v>434</v>
      </c>
      <c r="C61" s="32">
        <v>0</v>
      </c>
      <c r="D61" s="32">
        <v>0</v>
      </c>
      <c r="E61" s="67">
        <v>0</v>
      </c>
      <c r="F61" s="67">
        <v>0</v>
      </c>
      <c r="G61" s="67">
        <v>0</v>
      </c>
      <c r="H61" s="67">
        <v>0</v>
      </c>
      <c r="I61" s="67">
        <v>0</v>
      </c>
      <c r="J61" s="67">
        <v>0</v>
      </c>
      <c r="K61" s="70">
        <v>0</v>
      </c>
      <c r="L61" s="65">
        <v>0</v>
      </c>
      <c r="M61" s="69" t="str">
        <f t="shared" si="3"/>
        <v>-</v>
      </c>
      <c r="N61" s="69" t="str">
        <f>IF(K61=0,"-",(K61/D61))</f>
        <v>-</v>
      </c>
      <c r="O61" s="69" t="str">
        <f>IF(D61=0,"-",(L61/D61))</f>
        <v>-</v>
      </c>
      <c r="P61" s="69" t="str">
        <f>IF(D61=0,"-",(N61+O61))</f>
        <v>-</v>
      </c>
      <c r="Q61" s="71"/>
    </row>
    <row r="62" spans="1:20" s="125" customFormat="1" ht="21" customHeight="1" x14ac:dyDescent="0.3">
      <c r="A62" s="38">
        <v>57</v>
      </c>
      <c r="B62" s="60" t="s">
        <v>435</v>
      </c>
      <c r="C62" s="32">
        <v>308</v>
      </c>
      <c r="D62" s="32">
        <v>283</v>
      </c>
      <c r="E62" s="67">
        <v>0</v>
      </c>
      <c r="F62" s="67">
        <v>0</v>
      </c>
      <c r="G62" s="67">
        <v>0</v>
      </c>
      <c r="H62" s="67">
        <v>0</v>
      </c>
      <c r="I62" s="67">
        <v>0</v>
      </c>
      <c r="J62" s="67">
        <v>0</v>
      </c>
      <c r="K62" s="70">
        <v>0</v>
      </c>
      <c r="L62" s="65">
        <v>283</v>
      </c>
      <c r="M62" s="69">
        <f t="shared" si="3"/>
        <v>0</v>
      </c>
      <c r="N62" s="69">
        <v>0</v>
      </c>
      <c r="O62" s="69">
        <f>IF(D62=0,"-",(L62/D62))</f>
        <v>1</v>
      </c>
      <c r="P62" s="69">
        <f>IF(D62=0,"-",(N62+O62))</f>
        <v>1</v>
      </c>
      <c r="Q62" s="73"/>
    </row>
    <row r="63" spans="1:20" s="125" customFormat="1" ht="15.6" x14ac:dyDescent="0.3">
      <c r="A63" s="38">
        <v>58</v>
      </c>
      <c r="B63" s="60" t="s">
        <v>436</v>
      </c>
      <c r="C63" s="32">
        <v>0</v>
      </c>
      <c r="D63" s="32">
        <v>0</v>
      </c>
      <c r="E63" s="67">
        <v>0</v>
      </c>
      <c r="F63" s="67">
        <v>0</v>
      </c>
      <c r="G63" s="67">
        <v>0</v>
      </c>
      <c r="H63" s="67">
        <v>0</v>
      </c>
      <c r="I63" s="67">
        <v>0</v>
      </c>
      <c r="J63" s="67">
        <v>0</v>
      </c>
      <c r="K63" s="70">
        <v>0</v>
      </c>
      <c r="L63" s="65">
        <v>0</v>
      </c>
      <c r="M63" s="69"/>
      <c r="N63" s="69"/>
      <c r="O63" s="69"/>
      <c r="P63" s="69"/>
      <c r="Q63" s="73"/>
    </row>
    <row r="64" spans="1:20" s="125" customFormat="1" ht="45" x14ac:dyDescent="0.3">
      <c r="A64" s="38">
        <v>59</v>
      </c>
      <c r="B64" s="60" t="s">
        <v>437</v>
      </c>
      <c r="C64" s="32">
        <v>5301</v>
      </c>
      <c r="D64" s="32">
        <v>4674</v>
      </c>
      <c r="E64" s="67">
        <v>0</v>
      </c>
      <c r="F64" s="67">
        <v>0</v>
      </c>
      <c r="G64" s="67">
        <v>27</v>
      </c>
      <c r="H64" s="67">
        <v>0</v>
      </c>
      <c r="I64" s="67">
        <v>0</v>
      </c>
      <c r="J64" s="67">
        <v>27</v>
      </c>
      <c r="K64" s="70">
        <v>0</v>
      </c>
      <c r="L64" s="65">
        <v>4647</v>
      </c>
      <c r="M64" s="69">
        <f>IF(D64=0,"-",(J64/D64))</f>
        <v>5.7766367137355584E-3</v>
      </c>
      <c r="N64" s="69">
        <v>0</v>
      </c>
      <c r="O64" s="69">
        <f>IF(D64=0,"-",(L64/D64))</f>
        <v>0.99422336328626448</v>
      </c>
      <c r="P64" s="69">
        <f>IF(D64=0,"-",(N64+O64))</f>
        <v>0.99422336328626448</v>
      </c>
      <c r="Q64" s="59" t="s">
        <v>93</v>
      </c>
    </row>
    <row r="65" spans="1:17" s="125" customFormat="1" ht="20.25" customHeight="1" x14ac:dyDescent="0.3">
      <c r="A65" s="38">
        <v>60</v>
      </c>
      <c r="B65" s="60" t="s">
        <v>438</v>
      </c>
      <c r="C65" s="32">
        <v>0</v>
      </c>
      <c r="D65" s="32">
        <v>489</v>
      </c>
      <c r="E65" s="67">
        <v>0</v>
      </c>
      <c r="F65" s="67">
        <v>0</v>
      </c>
      <c r="G65" s="67">
        <v>1</v>
      </c>
      <c r="H65" s="67">
        <v>0</v>
      </c>
      <c r="I65" s="67">
        <v>0</v>
      </c>
      <c r="J65" s="67">
        <v>1</v>
      </c>
      <c r="K65" s="70">
        <v>0</v>
      </c>
      <c r="L65" s="65">
        <v>488</v>
      </c>
      <c r="M65" s="69">
        <v>0</v>
      </c>
      <c r="N65" s="69">
        <v>0</v>
      </c>
      <c r="O65" s="69">
        <v>0</v>
      </c>
      <c r="P65" s="69">
        <v>0</v>
      </c>
      <c r="Q65" s="19" t="s">
        <v>92</v>
      </c>
    </row>
    <row r="66" spans="1:17" s="125" customFormat="1" ht="33" customHeight="1" x14ac:dyDescent="0.3">
      <c r="A66" s="38">
        <v>61</v>
      </c>
      <c r="B66" s="60" t="s">
        <v>439</v>
      </c>
      <c r="C66" s="32">
        <v>0</v>
      </c>
      <c r="D66" s="32">
        <v>26</v>
      </c>
      <c r="E66" s="67">
        <v>0</v>
      </c>
      <c r="F66" s="67">
        <v>0</v>
      </c>
      <c r="G66" s="67">
        <v>0</v>
      </c>
      <c r="H66" s="67">
        <v>0</v>
      </c>
      <c r="I66" s="67">
        <v>0</v>
      </c>
      <c r="J66" s="67">
        <v>0</v>
      </c>
      <c r="K66" s="70">
        <v>0</v>
      </c>
      <c r="L66" s="65">
        <v>26</v>
      </c>
      <c r="M66" s="69">
        <v>0</v>
      </c>
      <c r="N66" s="69">
        <v>0</v>
      </c>
      <c r="O66" s="69">
        <v>0</v>
      </c>
      <c r="P66" s="69">
        <v>0</v>
      </c>
      <c r="Q66" s="72"/>
    </row>
    <row r="67" spans="1:17" s="125" customFormat="1" ht="24" customHeight="1" x14ac:dyDescent="0.3">
      <c r="A67" s="38">
        <v>62</v>
      </c>
      <c r="B67" s="60" t="s">
        <v>440</v>
      </c>
      <c r="C67" s="67">
        <v>56</v>
      </c>
      <c r="D67" s="67">
        <v>64</v>
      </c>
      <c r="E67" s="67">
        <v>0</v>
      </c>
      <c r="F67" s="67">
        <v>0</v>
      </c>
      <c r="G67" s="67">
        <v>1</v>
      </c>
      <c r="H67" s="67">
        <v>0</v>
      </c>
      <c r="I67" s="67">
        <v>0</v>
      </c>
      <c r="J67" s="67">
        <v>1</v>
      </c>
      <c r="K67" s="70">
        <v>0</v>
      </c>
      <c r="L67" s="65">
        <v>63</v>
      </c>
      <c r="M67" s="69">
        <f>IF(D67=0,"-",(J67/D67))</f>
        <v>1.5625E-2</v>
      </c>
      <c r="N67" s="69">
        <v>0</v>
      </c>
      <c r="O67" s="69">
        <f>IF(D67=0,"-",(L67/D67))</f>
        <v>0.984375</v>
      </c>
      <c r="P67" s="69">
        <f>IF(D67=0,"-",(N67+O67))</f>
        <v>0.984375</v>
      </c>
      <c r="Q67" s="59" t="s">
        <v>126</v>
      </c>
    </row>
    <row r="68" spans="1:17" s="125" customFormat="1" ht="24" customHeight="1" x14ac:dyDescent="0.3">
      <c r="A68" s="38">
        <v>63</v>
      </c>
      <c r="B68" s="60" t="s">
        <v>441</v>
      </c>
      <c r="C68" s="67">
        <v>66</v>
      </c>
      <c r="D68" s="67">
        <v>75</v>
      </c>
      <c r="E68" s="67">
        <v>0</v>
      </c>
      <c r="F68" s="67">
        <v>0</v>
      </c>
      <c r="G68" s="67">
        <v>0</v>
      </c>
      <c r="H68" s="67">
        <v>0</v>
      </c>
      <c r="I68" s="67">
        <v>0</v>
      </c>
      <c r="J68" s="67">
        <v>0</v>
      </c>
      <c r="K68" s="70">
        <v>0</v>
      </c>
      <c r="L68" s="65">
        <v>75</v>
      </c>
      <c r="M68" s="69">
        <v>0</v>
      </c>
      <c r="N68" s="69">
        <v>0</v>
      </c>
      <c r="O68" s="69">
        <v>1</v>
      </c>
      <c r="P68" s="69">
        <v>1</v>
      </c>
      <c r="Q68" s="72"/>
    </row>
    <row r="69" spans="1:17" s="125" customFormat="1" ht="24" customHeight="1" x14ac:dyDescent="0.3">
      <c r="A69" s="38">
        <v>64</v>
      </c>
      <c r="B69" s="60" t="s">
        <v>442</v>
      </c>
      <c r="C69" s="67">
        <v>0</v>
      </c>
      <c r="D69" s="67">
        <v>0</v>
      </c>
      <c r="E69" s="67">
        <v>0</v>
      </c>
      <c r="F69" s="67">
        <v>0</v>
      </c>
      <c r="G69" s="67">
        <v>0</v>
      </c>
      <c r="H69" s="67">
        <v>0</v>
      </c>
      <c r="I69" s="67">
        <v>0</v>
      </c>
      <c r="J69" s="67">
        <v>0</v>
      </c>
      <c r="K69" s="70">
        <v>0</v>
      </c>
      <c r="L69" s="65">
        <v>0</v>
      </c>
      <c r="M69" s="69">
        <v>0</v>
      </c>
      <c r="N69" s="69">
        <v>0</v>
      </c>
      <c r="O69" s="69">
        <v>0</v>
      </c>
      <c r="P69" s="69">
        <v>0</v>
      </c>
      <c r="Q69" s="72"/>
    </row>
    <row r="70" spans="1:17" s="125" customFormat="1" ht="24" customHeight="1" x14ac:dyDescent="0.3">
      <c r="A70" s="38">
        <v>65</v>
      </c>
      <c r="B70" s="60" t="s">
        <v>443</v>
      </c>
      <c r="C70" s="32">
        <v>680</v>
      </c>
      <c r="D70" s="67">
        <v>1151</v>
      </c>
      <c r="E70" s="67">
        <v>0</v>
      </c>
      <c r="F70" s="67">
        <v>0</v>
      </c>
      <c r="G70" s="67">
        <v>0</v>
      </c>
      <c r="H70" s="67">
        <v>0</v>
      </c>
      <c r="I70" s="67">
        <v>0</v>
      </c>
      <c r="J70" s="67">
        <v>0</v>
      </c>
      <c r="K70" s="70">
        <v>0</v>
      </c>
      <c r="L70" s="65">
        <v>1151</v>
      </c>
      <c r="M70" s="69">
        <f>IF(D70=0,"-",(J70/D70))</f>
        <v>0</v>
      </c>
      <c r="N70" s="69">
        <v>0</v>
      </c>
      <c r="O70" s="68">
        <v>1</v>
      </c>
      <c r="P70" s="69">
        <v>1</v>
      </c>
      <c r="Q70" s="71"/>
    </row>
    <row r="71" spans="1:17" s="125" customFormat="1" ht="24" customHeight="1" x14ac:dyDescent="0.3">
      <c r="A71" s="38">
        <v>66</v>
      </c>
      <c r="B71" s="60" t="s">
        <v>444</v>
      </c>
      <c r="C71" s="32">
        <v>42</v>
      </c>
      <c r="D71" s="32">
        <v>65</v>
      </c>
      <c r="E71" s="67">
        <v>0</v>
      </c>
      <c r="F71" s="67">
        <v>0</v>
      </c>
      <c r="G71" s="67">
        <v>0</v>
      </c>
      <c r="H71" s="67">
        <v>0</v>
      </c>
      <c r="I71" s="67">
        <v>0</v>
      </c>
      <c r="J71" s="67">
        <v>0</v>
      </c>
      <c r="K71" s="70">
        <v>0</v>
      </c>
      <c r="L71" s="65">
        <v>65</v>
      </c>
      <c r="M71" s="69">
        <f>IF(D71=0,"-",(J71/D71))</f>
        <v>0</v>
      </c>
      <c r="N71" s="69">
        <v>0</v>
      </c>
      <c r="O71" s="68">
        <v>1</v>
      </c>
      <c r="P71" s="69">
        <v>1</v>
      </c>
      <c r="Q71" s="137"/>
    </row>
    <row r="72" spans="1:17" s="125" customFormat="1" ht="24" customHeight="1" x14ac:dyDescent="0.3">
      <c r="A72" s="38">
        <v>67</v>
      </c>
      <c r="B72" s="60" t="s">
        <v>445</v>
      </c>
      <c r="C72" s="32">
        <v>2751</v>
      </c>
      <c r="D72" s="32">
        <v>2312</v>
      </c>
      <c r="E72" s="67">
        <v>0</v>
      </c>
      <c r="F72" s="67">
        <v>0</v>
      </c>
      <c r="G72" s="67">
        <v>0</v>
      </c>
      <c r="H72" s="67">
        <v>0</v>
      </c>
      <c r="I72" s="67">
        <v>0</v>
      </c>
      <c r="J72" s="67">
        <v>0</v>
      </c>
      <c r="K72" s="70">
        <v>0</v>
      </c>
      <c r="L72" s="65">
        <v>2312</v>
      </c>
      <c r="M72" s="69">
        <f>IF(D72=0,"-",(J72/D72))</f>
        <v>0</v>
      </c>
      <c r="N72" s="69">
        <v>0</v>
      </c>
      <c r="O72" s="68">
        <v>1</v>
      </c>
      <c r="P72" s="68">
        <v>1</v>
      </c>
      <c r="Q72" s="137"/>
    </row>
    <row r="73" spans="1:17" s="125" customFormat="1" ht="24" customHeight="1" x14ac:dyDescent="0.3">
      <c r="A73" s="32">
        <v>68</v>
      </c>
      <c r="B73" s="60" t="s">
        <v>446</v>
      </c>
      <c r="C73" s="67">
        <v>955</v>
      </c>
      <c r="D73" s="67">
        <v>129</v>
      </c>
      <c r="E73" s="66">
        <v>0</v>
      </c>
      <c r="F73" s="66">
        <v>0</v>
      </c>
      <c r="G73" s="66">
        <v>0</v>
      </c>
      <c r="H73" s="66">
        <v>0</v>
      </c>
      <c r="I73" s="66">
        <v>0</v>
      </c>
      <c r="J73" s="66">
        <v>0</v>
      </c>
      <c r="K73" s="66">
        <v>0</v>
      </c>
      <c r="L73" s="65">
        <f t="shared" ref="L73:L75" si="8">IF(D73=0,"-",D73-(J73+K73))</f>
        <v>129</v>
      </c>
      <c r="M73" s="65" t="s">
        <v>85</v>
      </c>
      <c r="N73" s="38">
        <v>0</v>
      </c>
      <c r="O73" s="64">
        <f t="shared" ref="O73:O76" si="9">IF(D73=0,"-",(L73/D73))</f>
        <v>1</v>
      </c>
      <c r="P73" s="64">
        <f t="shared" ref="P73:P76" si="10">IF(D73=0,"-",(N73+O73))</f>
        <v>1</v>
      </c>
      <c r="Q73" s="137"/>
    </row>
    <row r="74" spans="1:17" s="125" customFormat="1" ht="24" customHeight="1" x14ac:dyDescent="0.3">
      <c r="A74" s="32">
        <v>69</v>
      </c>
      <c r="B74" s="60" t="s">
        <v>447</v>
      </c>
      <c r="C74" s="67">
        <v>13</v>
      </c>
      <c r="D74" s="67">
        <v>26</v>
      </c>
      <c r="E74" s="66">
        <v>0</v>
      </c>
      <c r="F74" s="66">
        <v>0</v>
      </c>
      <c r="G74" s="66">
        <v>0</v>
      </c>
      <c r="H74" s="66">
        <v>0</v>
      </c>
      <c r="I74" s="66">
        <v>0</v>
      </c>
      <c r="J74" s="66">
        <v>0</v>
      </c>
      <c r="K74" s="66">
        <v>0</v>
      </c>
      <c r="L74" s="65">
        <f t="shared" si="8"/>
        <v>26</v>
      </c>
      <c r="M74" s="65" t="s">
        <v>85</v>
      </c>
      <c r="N74" s="38">
        <v>0</v>
      </c>
      <c r="O74" s="64">
        <f t="shared" si="9"/>
        <v>1</v>
      </c>
      <c r="P74" s="64">
        <f t="shared" si="10"/>
        <v>1</v>
      </c>
      <c r="Q74" s="137"/>
    </row>
    <row r="75" spans="1:17" s="125" customFormat="1" ht="24" customHeight="1" x14ac:dyDescent="0.3">
      <c r="A75" s="32">
        <v>70</v>
      </c>
      <c r="B75" s="60" t="s">
        <v>448</v>
      </c>
      <c r="C75" s="67">
        <v>12</v>
      </c>
      <c r="D75" s="67">
        <v>12</v>
      </c>
      <c r="E75" s="66">
        <v>0</v>
      </c>
      <c r="F75" s="66">
        <v>0</v>
      </c>
      <c r="G75" s="66">
        <v>0</v>
      </c>
      <c r="H75" s="66">
        <v>0</v>
      </c>
      <c r="I75" s="66">
        <v>0</v>
      </c>
      <c r="J75" s="66">
        <v>0</v>
      </c>
      <c r="K75" s="66">
        <v>0</v>
      </c>
      <c r="L75" s="65">
        <f t="shared" si="8"/>
        <v>12</v>
      </c>
      <c r="M75" s="65" t="s">
        <v>85</v>
      </c>
      <c r="N75" s="38">
        <v>0</v>
      </c>
      <c r="O75" s="64">
        <f t="shared" si="9"/>
        <v>1</v>
      </c>
      <c r="P75" s="64">
        <f t="shared" si="10"/>
        <v>1</v>
      </c>
      <c r="Q75" s="137"/>
    </row>
    <row r="76" spans="1:17" s="117" customFormat="1" ht="20.25" customHeight="1" x14ac:dyDescent="0.3">
      <c r="A76" s="139"/>
      <c r="B76" s="28" t="s">
        <v>0</v>
      </c>
      <c r="C76" s="79">
        <f>SUM(C6:C72)</f>
        <v>65592</v>
      </c>
      <c r="D76" s="79">
        <f t="shared" ref="D76:L76" si="11">SUM(D6:D72)</f>
        <v>63501</v>
      </c>
      <c r="E76" s="79">
        <f t="shared" si="11"/>
        <v>0</v>
      </c>
      <c r="F76" s="79">
        <f t="shared" si="11"/>
        <v>0</v>
      </c>
      <c r="G76" s="79">
        <f t="shared" si="11"/>
        <v>41</v>
      </c>
      <c r="H76" s="79">
        <f t="shared" si="11"/>
        <v>78</v>
      </c>
      <c r="I76" s="79">
        <f t="shared" si="11"/>
        <v>21</v>
      </c>
      <c r="J76" s="79">
        <f t="shared" si="11"/>
        <v>130</v>
      </c>
      <c r="K76" s="79">
        <f t="shared" si="11"/>
        <v>0</v>
      </c>
      <c r="L76" s="79">
        <f t="shared" si="11"/>
        <v>63360</v>
      </c>
      <c r="M76" s="140">
        <f t="shared" ref="M76" si="12">IF(D76=0,"-",(J76/D76))</f>
        <v>2.0472118549314184E-3</v>
      </c>
      <c r="N76" s="141">
        <v>0</v>
      </c>
      <c r="O76" s="140">
        <f t="shared" si="9"/>
        <v>0.9977795625265744</v>
      </c>
      <c r="P76" s="140">
        <f t="shared" si="10"/>
        <v>0.9977795625265744</v>
      </c>
      <c r="Q76" s="139"/>
    </row>
  </sheetData>
  <dataConsolidate>
    <dataRefs count="7">
      <dataRef ref="C5:L71" sheet="4CZW" r:id="rId1"/>
      <dataRef ref="C5:L71" sheet="605" r:id="rId2"/>
      <dataRef ref="C5:L71" sheet="621" r:id="rId3"/>
      <dataRef ref="C5:L71" sheet="671" r:id="rId4"/>
      <dataRef ref="C5:L71" sheet="7004" r:id="rId5"/>
      <dataRef ref="C5:L71" sheet="FRI" r:id="rId6"/>
      <dataRef ref="C5:L71" sheet="SATA" r:id="rId7"/>
    </dataRefs>
  </dataConsolidate>
  <mergeCells count="13">
    <mergeCell ref="A2:Q2"/>
    <mergeCell ref="A3:A4"/>
    <mergeCell ref="B3:B4"/>
    <mergeCell ref="C3:D3"/>
    <mergeCell ref="E3:I3"/>
    <mergeCell ref="J3:J4"/>
    <mergeCell ref="K3:K4"/>
    <mergeCell ref="Q3:Q4"/>
    <mergeCell ref="L3:L4"/>
    <mergeCell ref="M3:M4"/>
    <mergeCell ref="N3:N4"/>
    <mergeCell ref="O3:O4"/>
    <mergeCell ref="P3:P4"/>
  </mergeCells>
  <phoneticPr fontId="19" type="noConversion"/>
  <dataValidations count="2">
    <dataValidation type="whole" allowBlank="1" showInputMessage="1" showErrorMessage="1" errorTitle="Value Between 0 to 200000" sqref="L6:L75" xr:uid="{A55DE878-4848-4087-9221-608B42877348}">
      <formula1>0</formula1>
      <formula2>200000</formula2>
    </dataValidation>
    <dataValidation type="whole" allowBlank="1" showInputMessage="1" showErrorMessage="1" sqref="C6:I75 N73:N75 K73:K75" xr:uid="{D6F923A7-4D96-4E8D-8164-7C5EB4012AEA}">
      <formula1>0</formula1>
      <formula2>50000</formula2>
    </dataValidation>
  </dataValidations>
  <pageMargins left="0.7" right="0.7" top="0.75" bottom="0.75" header="0.3" footer="0.3"/>
  <pageSetup paperSize="9" orientation="portrait" horizontalDpi="0" verticalDpi="0"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F33CE-0C7F-4F36-BAE8-1D9F87A98451}">
  <dimension ref="A1:P169"/>
  <sheetViews>
    <sheetView tabSelected="1" view="pageBreakPreview" zoomScale="60" zoomScaleNormal="84" workbookViewId="0">
      <selection activeCell="S14" sqref="S14"/>
    </sheetView>
  </sheetViews>
  <sheetFormatPr defaultColWidth="9.109375" defaultRowHeight="14.4" x14ac:dyDescent="0.3"/>
  <cols>
    <col min="1" max="1" width="7" style="93" customWidth="1"/>
    <col min="2" max="2" width="10.109375" style="93" customWidth="1"/>
    <col min="3" max="3" width="23.109375" style="93" customWidth="1"/>
    <col min="4" max="4" width="8.6640625" style="93" customWidth="1"/>
    <col min="5" max="5" width="8.44140625" style="93" customWidth="1"/>
    <col min="6" max="6" width="6.33203125" style="94" customWidth="1"/>
    <col min="7" max="7" width="14" style="94" customWidth="1"/>
    <col min="8" max="8" width="5.44140625" style="94" customWidth="1"/>
    <col min="9" max="9" width="9.109375" style="94"/>
    <col min="10" max="10" width="9.109375" style="93"/>
    <col min="11" max="11" width="17" style="93" bestFit="1" customWidth="1"/>
    <col min="12" max="12" width="10.33203125" style="93" customWidth="1"/>
    <col min="13" max="13" width="8.6640625" style="93" customWidth="1"/>
    <col min="14" max="15" width="11.109375" style="93" bestFit="1" customWidth="1"/>
    <col min="16" max="16" width="40.33203125" style="93" customWidth="1"/>
    <col min="17" max="16384" width="9.109375" style="93"/>
  </cols>
  <sheetData>
    <row r="1" spans="1:16" ht="24" customHeight="1" x14ac:dyDescent="0.3">
      <c r="A1" s="153" t="s">
        <v>116</v>
      </c>
      <c r="B1" s="153"/>
      <c r="C1" s="153"/>
      <c r="D1" s="153"/>
      <c r="E1" s="153"/>
      <c r="F1" s="153"/>
      <c r="G1" s="153"/>
      <c r="H1" s="153"/>
      <c r="I1" s="153"/>
      <c r="J1" s="153"/>
      <c r="K1" s="153"/>
      <c r="L1" s="153"/>
      <c r="M1" s="153"/>
      <c r="N1" s="153"/>
      <c r="O1" s="153"/>
      <c r="P1" s="153"/>
    </row>
    <row r="2" spans="1:16" ht="24.75" customHeight="1" x14ac:dyDescent="0.3">
      <c r="A2" s="154" t="s">
        <v>64</v>
      </c>
      <c r="B2" s="155" t="s">
        <v>113</v>
      </c>
      <c r="C2" s="156"/>
      <c r="D2" s="159" t="s">
        <v>33</v>
      </c>
      <c r="E2" s="159"/>
      <c r="F2" s="159" t="s">
        <v>112</v>
      </c>
      <c r="G2" s="159"/>
      <c r="H2" s="159"/>
      <c r="I2" s="159" t="s">
        <v>84</v>
      </c>
      <c r="J2" s="159" t="s">
        <v>99</v>
      </c>
      <c r="K2" s="159" t="s">
        <v>98</v>
      </c>
      <c r="L2" s="160" t="s">
        <v>83</v>
      </c>
      <c r="M2" s="160" t="s">
        <v>82</v>
      </c>
      <c r="N2" s="160" t="s">
        <v>81</v>
      </c>
      <c r="O2" s="160" t="s">
        <v>102</v>
      </c>
      <c r="P2" s="159" t="s">
        <v>86</v>
      </c>
    </row>
    <row r="3" spans="1:16" ht="126" customHeight="1" x14ac:dyDescent="0.3">
      <c r="A3" s="154"/>
      <c r="B3" s="157"/>
      <c r="C3" s="158"/>
      <c r="D3" s="62" t="s">
        <v>59</v>
      </c>
      <c r="E3" s="62" t="s">
        <v>58</v>
      </c>
      <c r="F3" s="116" t="s">
        <v>78</v>
      </c>
      <c r="G3" s="116" t="s">
        <v>111</v>
      </c>
      <c r="H3" s="116" t="s">
        <v>75</v>
      </c>
      <c r="I3" s="159"/>
      <c r="J3" s="159"/>
      <c r="K3" s="159"/>
      <c r="L3" s="160"/>
      <c r="M3" s="160"/>
      <c r="N3" s="160"/>
      <c r="O3" s="160"/>
      <c r="P3" s="159"/>
    </row>
    <row r="4" spans="1:16" ht="15.6" x14ac:dyDescent="0.3">
      <c r="A4" s="32" t="s">
        <v>23</v>
      </c>
      <c r="B4" s="99" t="s">
        <v>22</v>
      </c>
      <c r="C4" s="99"/>
      <c r="D4" s="62" t="s">
        <v>21</v>
      </c>
      <c r="E4" s="62" t="s">
        <v>20</v>
      </c>
      <c r="F4" s="62" t="s">
        <v>19</v>
      </c>
      <c r="G4" s="62" t="s">
        <v>18</v>
      </c>
      <c r="H4" s="62" t="s">
        <v>17</v>
      </c>
      <c r="I4" s="62" t="s">
        <v>16</v>
      </c>
      <c r="J4" s="62" t="s">
        <v>15</v>
      </c>
      <c r="K4" s="62" t="s">
        <v>14</v>
      </c>
      <c r="L4" s="115" t="s">
        <v>74</v>
      </c>
      <c r="M4" s="115" t="s">
        <v>73</v>
      </c>
      <c r="N4" s="115" t="s">
        <v>72</v>
      </c>
      <c r="O4" s="115" t="s">
        <v>71</v>
      </c>
      <c r="P4" s="62" t="s">
        <v>70</v>
      </c>
    </row>
    <row r="5" spans="1:16" ht="15.75" customHeight="1" x14ac:dyDescent="0.3">
      <c r="A5" s="101">
        <v>1</v>
      </c>
      <c r="B5" s="147" t="s">
        <v>460</v>
      </c>
      <c r="C5" s="148"/>
      <c r="D5" s="58"/>
      <c r="E5" s="58"/>
      <c r="F5" s="58"/>
      <c r="G5" s="58"/>
      <c r="H5" s="58"/>
      <c r="I5" s="58"/>
      <c r="J5" s="58"/>
      <c r="K5" s="96"/>
      <c r="L5" s="80"/>
      <c r="M5" s="80"/>
      <c r="N5" s="80"/>
      <c r="O5" s="80"/>
      <c r="P5" s="56"/>
    </row>
    <row r="6" spans="1:16" ht="15" x14ac:dyDescent="0.3">
      <c r="A6" s="101"/>
      <c r="B6" s="114" t="s">
        <v>23</v>
      </c>
      <c r="C6" s="114" t="s">
        <v>461</v>
      </c>
      <c r="D6" s="58">
        <v>0</v>
      </c>
      <c r="E6" s="58">
        <v>0</v>
      </c>
      <c r="F6" s="58">
        <v>0</v>
      </c>
      <c r="G6" s="58">
        <v>0</v>
      </c>
      <c r="H6" s="58">
        <v>0</v>
      </c>
      <c r="I6" s="58">
        <v>0</v>
      </c>
      <c r="J6" s="58">
        <v>0</v>
      </c>
      <c r="K6" s="96" t="s">
        <v>85</v>
      </c>
      <c r="L6" s="80" t="s">
        <v>85</v>
      </c>
      <c r="M6" s="80" t="s">
        <v>85</v>
      </c>
      <c r="N6" s="80" t="s">
        <v>85</v>
      </c>
      <c r="O6" s="80" t="s">
        <v>85</v>
      </c>
      <c r="P6" s="56"/>
    </row>
    <row r="7" spans="1:16" ht="15" x14ac:dyDescent="0.3">
      <c r="A7" s="101"/>
      <c r="B7" s="113" t="s">
        <v>22</v>
      </c>
      <c r="C7" s="114" t="s">
        <v>462</v>
      </c>
      <c r="D7" s="58">
        <v>0</v>
      </c>
      <c r="E7" s="58">
        <v>0</v>
      </c>
      <c r="F7" s="58">
        <v>0</v>
      </c>
      <c r="G7" s="58">
        <v>0</v>
      </c>
      <c r="H7" s="58">
        <v>0</v>
      </c>
      <c r="I7" s="58">
        <v>0</v>
      </c>
      <c r="J7" s="58">
        <v>0</v>
      </c>
      <c r="K7" s="96" t="s">
        <v>85</v>
      </c>
      <c r="L7" s="80" t="s">
        <v>85</v>
      </c>
      <c r="M7" s="80" t="s">
        <v>85</v>
      </c>
      <c r="N7" s="80" t="s">
        <v>85</v>
      </c>
      <c r="O7" s="80" t="s">
        <v>85</v>
      </c>
      <c r="P7" s="56"/>
    </row>
    <row r="8" spans="1:16" ht="15.6" x14ac:dyDescent="0.3">
      <c r="A8" s="101"/>
      <c r="B8" s="149" t="s">
        <v>21</v>
      </c>
      <c r="C8" s="114" t="s">
        <v>463</v>
      </c>
      <c r="D8" s="58">
        <v>0</v>
      </c>
      <c r="E8" s="58">
        <v>0</v>
      </c>
      <c r="F8" s="58">
        <v>0</v>
      </c>
      <c r="G8" s="58">
        <v>0</v>
      </c>
      <c r="H8" s="58">
        <v>0</v>
      </c>
      <c r="I8" s="58">
        <v>0</v>
      </c>
      <c r="J8" s="58">
        <v>0</v>
      </c>
      <c r="K8" s="96" t="s">
        <v>85</v>
      </c>
      <c r="L8" s="80" t="s">
        <v>85</v>
      </c>
      <c r="M8" s="80" t="s">
        <v>85</v>
      </c>
      <c r="N8" s="80" t="s">
        <v>85</v>
      </c>
      <c r="O8" s="80" t="s">
        <v>85</v>
      </c>
      <c r="P8" s="56"/>
    </row>
    <row r="9" spans="1:16" ht="15" x14ac:dyDescent="0.3">
      <c r="A9" s="101"/>
      <c r="B9" s="113" t="s">
        <v>20</v>
      </c>
      <c r="C9" s="114" t="s">
        <v>464</v>
      </c>
      <c r="D9" s="58">
        <v>0</v>
      </c>
      <c r="E9" s="58">
        <v>0</v>
      </c>
      <c r="F9" s="58">
        <v>0</v>
      </c>
      <c r="G9" s="58">
        <v>0</v>
      </c>
      <c r="H9" s="58">
        <v>0</v>
      </c>
      <c r="I9" s="58">
        <v>0</v>
      </c>
      <c r="J9" s="58">
        <v>0</v>
      </c>
      <c r="K9" s="96" t="s">
        <v>85</v>
      </c>
      <c r="L9" s="80" t="s">
        <v>85</v>
      </c>
      <c r="M9" s="80" t="s">
        <v>85</v>
      </c>
      <c r="N9" s="80" t="s">
        <v>85</v>
      </c>
      <c r="O9" s="80" t="s">
        <v>85</v>
      </c>
      <c r="P9" s="56"/>
    </row>
    <row r="10" spans="1:16" ht="15" x14ac:dyDescent="0.3">
      <c r="A10" s="101"/>
      <c r="B10" s="113" t="s">
        <v>19</v>
      </c>
      <c r="C10" s="114" t="s">
        <v>465</v>
      </c>
      <c r="D10" s="58"/>
      <c r="E10" s="58"/>
      <c r="F10" s="58"/>
      <c r="G10" s="58"/>
      <c r="H10" s="58"/>
      <c r="I10" s="58"/>
      <c r="J10" s="58"/>
      <c r="K10" s="96"/>
      <c r="L10" s="80"/>
      <c r="M10" s="80"/>
      <c r="N10" s="80"/>
      <c r="O10" s="80"/>
      <c r="P10" s="56"/>
    </row>
    <row r="11" spans="1:16" ht="15.75" customHeight="1" x14ac:dyDescent="0.3">
      <c r="A11" s="101">
        <v>2</v>
      </c>
      <c r="B11" s="148" t="s">
        <v>466</v>
      </c>
      <c r="C11" s="148"/>
      <c r="D11" s="58"/>
      <c r="E11" s="58"/>
      <c r="F11" s="58"/>
      <c r="G11" s="58"/>
      <c r="H11" s="58"/>
      <c r="I11" s="58"/>
      <c r="J11" s="58"/>
      <c r="K11" s="96"/>
      <c r="L11" s="80"/>
      <c r="M11" s="80"/>
      <c r="N11" s="80"/>
      <c r="O11" s="80"/>
      <c r="P11" s="56"/>
    </row>
    <row r="12" spans="1:16" ht="15" x14ac:dyDescent="0.3">
      <c r="A12" s="101"/>
      <c r="B12" s="113" t="s">
        <v>23</v>
      </c>
      <c r="C12" s="113" t="s">
        <v>467</v>
      </c>
      <c r="D12" s="58">
        <v>0</v>
      </c>
      <c r="E12" s="58">
        <v>0</v>
      </c>
      <c r="F12" s="58">
        <v>0</v>
      </c>
      <c r="G12" s="58">
        <v>0</v>
      </c>
      <c r="H12" s="58">
        <v>0</v>
      </c>
      <c r="I12" s="58">
        <v>0</v>
      </c>
      <c r="J12" s="58">
        <v>0</v>
      </c>
      <c r="K12" s="96" t="s">
        <v>85</v>
      </c>
      <c r="L12" s="80" t="s">
        <v>85</v>
      </c>
      <c r="M12" s="80" t="s">
        <v>85</v>
      </c>
      <c r="N12" s="80" t="s">
        <v>85</v>
      </c>
      <c r="O12" s="80" t="s">
        <v>85</v>
      </c>
      <c r="P12" s="56"/>
    </row>
    <row r="13" spans="1:16" ht="15" x14ac:dyDescent="0.3">
      <c r="A13" s="101"/>
      <c r="B13" s="113" t="s">
        <v>22</v>
      </c>
      <c r="C13" s="113" t="s">
        <v>468</v>
      </c>
      <c r="D13" s="58">
        <v>0</v>
      </c>
      <c r="E13" s="58">
        <v>0</v>
      </c>
      <c r="F13" s="58">
        <v>0</v>
      </c>
      <c r="G13" s="58">
        <v>0</v>
      </c>
      <c r="H13" s="58">
        <v>0</v>
      </c>
      <c r="I13" s="58">
        <v>0</v>
      </c>
      <c r="J13" s="58">
        <v>0</v>
      </c>
      <c r="K13" s="96" t="s">
        <v>85</v>
      </c>
      <c r="L13" s="80" t="s">
        <v>85</v>
      </c>
      <c r="M13" s="80" t="s">
        <v>85</v>
      </c>
      <c r="N13" s="80" t="s">
        <v>85</v>
      </c>
      <c r="O13" s="80" t="s">
        <v>85</v>
      </c>
      <c r="P13" s="56"/>
    </row>
    <row r="14" spans="1:16" ht="15" x14ac:dyDescent="0.3">
      <c r="A14" s="101"/>
      <c r="B14" s="113" t="s">
        <v>21</v>
      </c>
      <c r="C14" s="113" t="s">
        <v>469</v>
      </c>
      <c r="D14" s="58">
        <v>0</v>
      </c>
      <c r="E14" s="58">
        <v>0</v>
      </c>
      <c r="F14" s="58">
        <v>0</v>
      </c>
      <c r="G14" s="58">
        <v>0</v>
      </c>
      <c r="H14" s="58">
        <v>0</v>
      </c>
      <c r="I14" s="58">
        <v>0</v>
      </c>
      <c r="J14" s="58">
        <v>0</v>
      </c>
      <c r="K14" s="96" t="s">
        <v>85</v>
      </c>
      <c r="L14" s="80" t="s">
        <v>85</v>
      </c>
      <c r="M14" s="80" t="s">
        <v>85</v>
      </c>
      <c r="N14" s="80" t="s">
        <v>85</v>
      </c>
      <c r="O14" s="80" t="s">
        <v>85</v>
      </c>
      <c r="P14" s="56"/>
    </row>
    <row r="15" spans="1:16" ht="15.75" customHeight="1" x14ac:dyDescent="0.3">
      <c r="A15" s="101">
        <v>3</v>
      </c>
      <c r="B15" s="148" t="s">
        <v>470</v>
      </c>
      <c r="C15" s="148"/>
      <c r="D15" s="58"/>
      <c r="E15" s="58"/>
      <c r="F15" s="58"/>
      <c r="G15" s="58"/>
      <c r="H15" s="58"/>
      <c r="I15" s="58"/>
      <c r="J15" s="58"/>
      <c r="K15" s="96"/>
      <c r="L15" s="80"/>
      <c r="M15" s="80"/>
      <c r="N15" s="80"/>
      <c r="O15" s="80"/>
      <c r="P15" s="56"/>
    </row>
    <row r="16" spans="1:16" ht="15" x14ac:dyDescent="0.3">
      <c r="A16" s="101"/>
      <c r="B16" s="113" t="s">
        <v>23</v>
      </c>
      <c r="C16" s="113" t="s">
        <v>471</v>
      </c>
      <c r="D16" s="58">
        <v>0</v>
      </c>
      <c r="E16" s="58">
        <v>0</v>
      </c>
      <c r="F16" s="58">
        <v>0</v>
      </c>
      <c r="G16" s="58">
        <v>0</v>
      </c>
      <c r="H16" s="58">
        <v>0</v>
      </c>
      <c r="I16" s="58">
        <v>0</v>
      </c>
      <c r="J16" s="58">
        <v>0</v>
      </c>
      <c r="K16" s="96" t="s">
        <v>85</v>
      </c>
      <c r="L16" s="80" t="s">
        <v>85</v>
      </c>
      <c r="M16" s="80" t="s">
        <v>85</v>
      </c>
      <c r="N16" s="80" t="s">
        <v>85</v>
      </c>
      <c r="O16" s="80" t="s">
        <v>85</v>
      </c>
      <c r="P16" s="56"/>
    </row>
    <row r="17" spans="1:16" ht="15" x14ac:dyDescent="0.3">
      <c r="A17" s="101"/>
      <c r="B17" s="113" t="s">
        <v>22</v>
      </c>
      <c r="C17" s="113" t="s">
        <v>472</v>
      </c>
      <c r="D17" s="58">
        <v>0</v>
      </c>
      <c r="E17" s="58">
        <v>0</v>
      </c>
      <c r="F17" s="58">
        <v>0</v>
      </c>
      <c r="G17" s="58">
        <v>0</v>
      </c>
      <c r="H17" s="58">
        <v>0</v>
      </c>
      <c r="I17" s="58">
        <v>0</v>
      </c>
      <c r="J17" s="58">
        <v>0</v>
      </c>
      <c r="K17" s="96" t="s">
        <v>85</v>
      </c>
      <c r="L17" s="80" t="s">
        <v>85</v>
      </c>
      <c r="M17" s="80" t="s">
        <v>85</v>
      </c>
      <c r="N17" s="80" t="s">
        <v>85</v>
      </c>
      <c r="O17" s="80" t="s">
        <v>85</v>
      </c>
      <c r="P17" s="56"/>
    </row>
    <row r="18" spans="1:16" ht="15" x14ac:dyDescent="0.3">
      <c r="A18" s="101"/>
      <c r="B18" s="113" t="s">
        <v>21</v>
      </c>
      <c r="C18" s="113" t="s">
        <v>473</v>
      </c>
      <c r="D18" s="58">
        <v>0</v>
      </c>
      <c r="E18" s="58">
        <v>0</v>
      </c>
      <c r="F18" s="58">
        <v>0</v>
      </c>
      <c r="G18" s="58">
        <v>0</v>
      </c>
      <c r="H18" s="58">
        <v>0</v>
      </c>
      <c r="I18" s="58">
        <v>0</v>
      </c>
      <c r="J18" s="58">
        <v>0</v>
      </c>
      <c r="K18" s="96" t="s">
        <v>85</v>
      </c>
      <c r="L18" s="80" t="s">
        <v>85</v>
      </c>
      <c r="M18" s="80" t="s">
        <v>85</v>
      </c>
      <c r="N18" s="80" t="s">
        <v>85</v>
      </c>
      <c r="O18" s="80" t="s">
        <v>85</v>
      </c>
      <c r="P18" s="56"/>
    </row>
    <row r="19" spans="1:16" ht="15" x14ac:dyDescent="0.3">
      <c r="A19" s="101"/>
      <c r="B19" s="113" t="s">
        <v>20</v>
      </c>
      <c r="C19" s="113" t="s">
        <v>474</v>
      </c>
      <c r="D19" s="58">
        <v>0</v>
      </c>
      <c r="E19" s="58">
        <v>0</v>
      </c>
      <c r="F19" s="58">
        <v>0</v>
      </c>
      <c r="G19" s="58">
        <v>0</v>
      </c>
      <c r="H19" s="58">
        <v>0</v>
      </c>
      <c r="I19" s="58">
        <v>0</v>
      </c>
      <c r="J19" s="58">
        <v>0</v>
      </c>
      <c r="K19" s="96" t="s">
        <v>85</v>
      </c>
      <c r="L19" s="80" t="s">
        <v>85</v>
      </c>
      <c r="M19" s="80" t="s">
        <v>85</v>
      </c>
      <c r="N19" s="80" t="s">
        <v>85</v>
      </c>
      <c r="O19" s="80" t="s">
        <v>85</v>
      </c>
      <c r="P19" s="56"/>
    </row>
    <row r="20" spans="1:16" ht="15" x14ac:dyDescent="0.3">
      <c r="A20" s="101"/>
      <c r="B20" s="113" t="s">
        <v>20</v>
      </c>
      <c r="C20" s="113" t="s">
        <v>475</v>
      </c>
      <c r="D20" s="58">
        <v>0</v>
      </c>
      <c r="E20" s="58">
        <v>0</v>
      </c>
      <c r="F20" s="58">
        <v>0</v>
      </c>
      <c r="G20" s="58">
        <v>0</v>
      </c>
      <c r="H20" s="58">
        <v>0</v>
      </c>
      <c r="I20" s="58">
        <v>0</v>
      </c>
      <c r="J20" s="58">
        <v>0</v>
      </c>
      <c r="K20" s="96" t="s">
        <v>85</v>
      </c>
      <c r="L20" s="80" t="s">
        <v>85</v>
      </c>
      <c r="M20" s="80" t="s">
        <v>85</v>
      </c>
      <c r="N20" s="80" t="s">
        <v>85</v>
      </c>
      <c r="O20" s="80" t="s">
        <v>85</v>
      </c>
      <c r="P20" s="56"/>
    </row>
    <row r="21" spans="1:16" ht="15.75" customHeight="1" x14ac:dyDescent="0.3">
      <c r="A21" s="101">
        <v>4</v>
      </c>
      <c r="B21" s="148" t="s">
        <v>476</v>
      </c>
      <c r="C21" s="148"/>
      <c r="D21" s="58"/>
      <c r="E21" s="58"/>
      <c r="F21" s="58"/>
      <c r="G21" s="58"/>
      <c r="H21" s="58"/>
      <c r="I21" s="58"/>
      <c r="J21" s="58"/>
      <c r="K21" s="96"/>
      <c r="L21" s="80"/>
      <c r="M21" s="80"/>
      <c r="N21" s="80"/>
      <c r="O21" s="80"/>
      <c r="P21" s="56"/>
    </row>
    <row r="22" spans="1:16" ht="15" x14ac:dyDescent="0.3">
      <c r="A22" s="101"/>
      <c r="B22" s="113" t="s">
        <v>23</v>
      </c>
      <c r="C22" s="113" t="s">
        <v>477</v>
      </c>
      <c r="D22" s="58">
        <v>0</v>
      </c>
      <c r="E22" s="58">
        <v>0</v>
      </c>
      <c r="F22" s="58">
        <v>0</v>
      </c>
      <c r="G22" s="58">
        <v>0</v>
      </c>
      <c r="H22" s="58">
        <v>0</v>
      </c>
      <c r="I22" s="58">
        <v>0</v>
      </c>
      <c r="J22" s="58">
        <v>0</v>
      </c>
      <c r="K22" s="96" t="s">
        <v>85</v>
      </c>
      <c r="L22" s="80" t="s">
        <v>85</v>
      </c>
      <c r="M22" s="80" t="s">
        <v>85</v>
      </c>
      <c r="N22" s="80" t="s">
        <v>85</v>
      </c>
      <c r="O22" s="80" t="s">
        <v>85</v>
      </c>
      <c r="P22" s="56"/>
    </row>
    <row r="23" spans="1:16" ht="15" x14ac:dyDescent="0.3">
      <c r="A23" s="101"/>
      <c r="B23" s="113" t="s">
        <v>22</v>
      </c>
      <c r="C23" s="113" t="s">
        <v>478</v>
      </c>
      <c r="D23" s="58">
        <v>0</v>
      </c>
      <c r="E23" s="58">
        <v>0</v>
      </c>
      <c r="F23" s="58">
        <v>0</v>
      </c>
      <c r="G23" s="58">
        <v>0</v>
      </c>
      <c r="H23" s="58">
        <v>0</v>
      </c>
      <c r="I23" s="58">
        <v>0</v>
      </c>
      <c r="J23" s="58">
        <v>0</v>
      </c>
      <c r="K23" s="96" t="s">
        <v>85</v>
      </c>
      <c r="L23" s="80" t="s">
        <v>85</v>
      </c>
      <c r="M23" s="80" t="s">
        <v>85</v>
      </c>
      <c r="N23" s="80" t="s">
        <v>85</v>
      </c>
      <c r="O23" s="80" t="s">
        <v>85</v>
      </c>
      <c r="P23" s="56"/>
    </row>
    <row r="24" spans="1:16" ht="15" x14ac:dyDescent="0.3">
      <c r="A24" s="101"/>
      <c r="B24" s="113" t="s">
        <v>21</v>
      </c>
      <c r="C24" s="113" t="s">
        <v>479</v>
      </c>
      <c r="D24" s="58">
        <v>0</v>
      </c>
      <c r="E24" s="58">
        <v>0</v>
      </c>
      <c r="F24" s="58">
        <v>0</v>
      </c>
      <c r="G24" s="58">
        <v>0</v>
      </c>
      <c r="H24" s="58">
        <v>0</v>
      </c>
      <c r="I24" s="58">
        <v>0</v>
      </c>
      <c r="J24" s="58">
        <v>0</v>
      </c>
      <c r="K24" s="96" t="s">
        <v>85</v>
      </c>
      <c r="L24" s="80" t="s">
        <v>85</v>
      </c>
      <c r="M24" s="80" t="s">
        <v>85</v>
      </c>
      <c r="N24" s="80" t="s">
        <v>85</v>
      </c>
      <c r="O24" s="80" t="s">
        <v>85</v>
      </c>
      <c r="P24" s="56"/>
    </row>
    <row r="25" spans="1:16" ht="15" x14ac:dyDescent="0.3">
      <c r="A25" s="101"/>
      <c r="B25" s="113" t="s">
        <v>20</v>
      </c>
      <c r="C25" s="113" t="s">
        <v>480</v>
      </c>
      <c r="D25" s="58">
        <v>0</v>
      </c>
      <c r="E25" s="58">
        <v>0</v>
      </c>
      <c r="F25" s="58">
        <v>0</v>
      </c>
      <c r="G25" s="58">
        <v>0</v>
      </c>
      <c r="H25" s="58">
        <v>0</v>
      </c>
      <c r="I25" s="58">
        <v>0</v>
      </c>
      <c r="J25" s="58">
        <v>0</v>
      </c>
      <c r="K25" s="96" t="s">
        <v>85</v>
      </c>
      <c r="L25" s="80" t="s">
        <v>85</v>
      </c>
      <c r="M25" s="80" t="s">
        <v>85</v>
      </c>
      <c r="N25" s="80" t="s">
        <v>85</v>
      </c>
      <c r="O25" s="80" t="s">
        <v>85</v>
      </c>
      <c r="P25" s="56"/>
    </row>
    <row r="26" spans="1:16" ht="15.75" customHeight="1" x14ac:dyDescent="0.3">
      <c r="A26" s="101">
        <v>5</v>
      </c>
      <c r="B26" s="148" t="s">
        <v>481</v>
      </c>
      <c r="C26" s="148"/>
      <c r="D26" s="58"/>
      <c r="E26" s="58"/>
      <c r="F26" s="58"/>
      <c r="G26" s="58"/>
      <c r="H26" s="58"/>
      <c r="I26" s="58"/>
      <c r="J26" s="58"/>
      <c r="K26" s="96"/>
      <c r="L26" s="80"/>
      <c r="M26" s="80"/>
      <c r="N26" s="80"/>
      <c r="O26" s="80"/>
      <c r="P26" s="56"/>
    </row>
    <row r="27" spans="1:16" ht="15" x14ac:dyDescent="0.3">
      <c r="A27" s="101"/>
      <c r="B27" s="113" t="s">
        <v>23</v>
      </c>
      <c r="C27" s="113" t="s">
        <v>482</v>
      </c>
      <c r="D27" s="58">
        <v>0</v>
      </c>
      <c r="E27" s="58">
        <v>0</v>
      </c>
      <c r="F27" s="58">
        <v>0</v>
      </c>
      <c r="G27" s="58">
        <v>0</v>
      </c>
      <c r="H27" s="58">
        <v>0</v>
      </c>
      <c r="I27" s="58">
        <v>0</v>
      </c>
      <c r="J27" s="58">
        <v>0</v>
      </c>
      <c r="K27" s="96" t="s">
        <v>85</v>
      </c>
      <c r="L27" s="80" t="s">
        <v>85</v>
      </c>
      <c r="M27" s="80" t="s">
        <v>85</v>
      </c>
      <c r="N27" s="80" t="s">
        <v>85</v>
      </c>
      <c r="O27" s="80" t="s">
        <v>85</v>
      </c>
      <c r="P27" s="56"/>
    </row>
    <row r="28" spans="1:16" ht="15" x14ac:dyDescent="0.3">
      <c r="A28" s="101"/>
      <c r="B28" s="113" t="s">
        <v>22</v>
      </c>
      <c r="C28" s="113" t="s">
        <v>483</v>
      </c>
      <c r="D28" s="58">
        <v>0</v>
      </c>
      <c r="E28" s="58">
        <v>0</v>
      </c>
      <c r="F28" s="58">
        <v>0</v>
      </c>
      <c r="G28" s="58">
        <v>0</v>
      </c>
      <c r="H28" s="58">
        <v>0</v>
      </c>
      <c r="I28" s="58">
        <v>0</v>
      </c>
      <c r="J28" s="58">
        <v>0</v>
      </c>
      <c r="K28" s="96" t="s">
        <v>85</v>
      </c>
      <c r="L28" s="80" t="s">
        <v>85</v>
      </c>
      <c r="M28" s="80" t="s">
        <v>85</v>
      </c>
      <c r="N28" s="80" t="s">
        <v>85</v>
      </c>
      <c r="O28" s="80" t="s">
        <v>85</v>
      </c>
      <c r="P28" s="56"/>
    </row>
    <row r="29" spans="1:16" ht="15.75" customHeight="1" x14ac:dyDescent="0.3">
      <c r="A29" s="101">
        <v>6</v>
      </c>
      <c r="B29" s="148" t="s">
        <v>484</v>
      </c>
      <c r="C29" s="148"/>
      <c r="D29" s="58"/>
      <c r="E29" s="58"/>
      <c r="F29" s="58"/>
      <c r="G29" s="58"/>
      <c r="H29" s="58"/>
      <c r="I29" s="58"/>
      <c r="J29" s="58"/>
      <c r="K29" s="96"/>
      <c r="L29" s="80"/>
      <c r="M29" s="80"/>
      <c r="N29" s="80"/>
      <c r="O29" s="80"/>
      <c r="P29" s="56"/>
    </row>
    <row r="30" spans="1:16" ht="15" x14ac:dyDescent="0.3">
      <c r="A30" s="101"/>
      <c r="B30" s="113" t="s">
        <v>23</v>
      </c>
      <c r="C30" s="113" t="s">
        <v>485</v>
      </c>
      <c r="D30" s="58">
        <v>0</v>
      </c>
      <c r="E30" s="58">
        <v>0</v>
      </c>
      <c r="F30" s="58">
        <v>0</v>
      </c>
      <c r="G30" s="58">
        <v>0</v>
      </c>
      <c r="H30" s="58">
        <v>0</v>
      </c>
      <c r="I30" s="58">
        <v>0</v>
      </c>
      <c r="J30" s="58">
        <v>0</v>
      </c>
      <c r="K30" s="96" t="s">
        <v>85</v>
      </c>
      <c r="L30" s="80" t="s">
        <v>85</v>
      </c>
      <c r="M30" s="80" t="s">
        <v>85</v>
      </c>
      <c r="N30" s="80" t="s">
        <v>85</v>
      </c>
      <c r="O30" s="80" t="s">
        <v>85</v>
      </c>
      <c r="P30" s="56"/>
    </row>
    <row r="31" spans="1:16" ht="15" x14ac:dyDescent="0.3">
      <c r="A31" s="101"/>
      <c r="B31" s="113" t="s">
        <v>22</v>
      </c>
      <c r="C31" s="113" t="s">
        <v>486</v>
      </c>
      <c r="D31" s="58">
        <v>0</v>
      </c>
      <c r="E31" s="58">
        <v>0</v>
      </c>
      <c r="F31" s="58">
        <v>0</v>
      </c>
      <c r="G31" s="58">
        <v>0</v>
      </c>
      <c r="H31" s="58">
        <v>0</v>
      </c>
      <c r="I31" s="58">
        <v>0</v>
      </c>
      <c r="J31" s="58">
        <v>0</v>
      </c>
      <c r="K31" s="96" t="s">
        <v>85</v>
      </c>
      <c r="L31" s="80" t="s">
        <v>85</v>
      </c>
      <c r="M31" s="80" t="s">
        <v>85</v>
      </c>
      <c r="N31" s="80" t="s">
        <v>85</v>
      </c>
      <c r="O31" s="80" t="s">
        <v>85</v>
      </c>
      <c r="P31" s="56"/>
    </row>
    <row r="32" spans="1:16" ht="15" x14ac:dyDescent="0.3">
      <c r="A32" s="101"/>
      <c r="B32" s="113" t="s">
        <v>21</v>
      </c>
      <c r="C32" s="113" t="s">
        <v>487</v>
      </c>
      <c r="D32" s="58">
        <v>0</v>
      </c>
      <c r="E32" s="58">
        <v>0</v>
      </c>
      <c r="F32" s="58">
        <v>0</v>
      </c>
      <c r="G32" s="58">
        <v>0</v>
      </c>
      <c r="H32" s="58">
        <v>0</v>
      </c>
      <c r="I32" s="58">
        <v>0</v>
      </c>
      <c r="J32" s="58">
        <v>0</v>
      </c>
      <c r="K32" s="96" t="s">
        <v>85</v>
      </c>
      <c r="L32" s="80" t="s">
        <v>85</v>
      </c>
      <c r="M32" s="80" t="s">
        <v>85</v>
      </c>
      <c r="N32" s="80" t="s">
        <v>85</v>
      </c>
      <c r="O32" s="80" t="s">
        <v>85</v>
      </c>
      <c r="P32" s="56"/>
    </row>
    <row r="33" spans="1:16" ht="15" x14ac:dyDescent="0.3">
      <c r="A33" s="101"/>
      <c r="B33" s="113" t="s">
        <v>20</v>
      </c>
      <c r="C33" s="113" t="s">
        <v>488</v>
      </c>
      <c r="D33" s="58">
        <v>0</v>
      </c>
      <c r="E33" s="58">
        <v>0</v>
      </c>
      <c r="F33" s="58">
        <v>0</v>
      </c>
      <c r="G33" s="58">
        <v>0</v>
      </c>
      <c r="H33" s="58">
        <v>0</v>
      </c>
      <c r="I33" s="58">
        <v>0</v>
      </c>
      <c r="J33" s="58">
        <v>0</v>
      </c>
      <c r="K33" s="96" t="s">
        <v>85</v>
      </c>
      <c r="L33" s="80" t="s">
        <v>85</v>
      </c>
      <c r="M33" s="80" t="s">
        <v>85</v>
      </c>
      <c r="N33" s="80" t="s">
        <v>85</v>
      </c>
      <c r="O33" s="80" t="s">
        <v>85</v>
      </c>
      <c r="P33" s="56"/>
    </row>
    <row r="34" spans="1:16" ht="15" x14ac:dyDescent="0.3">
      <c r="A34" s="101"/>
      <c r="B34" s="113" t="s">
        <v>19</v>
      </c>
      <c r="C34" s="113" t="s">
        <v>489</v>
      </c>
      <c r="D34" s="58">
        <v>0</v>
      </c>
      <c r="E34" s="58">
        <v>0</v>
      </c>
      <c r="F34" s="58">
        <v>0</v>
      </c>
      <c r="G34" s="58">
        <v>0</v>
      </c>
      <c r="H34" s="58">
        <v>0</v>
      </c>
      <c r="I34" s="58">
        <v>0</v>
      </c>
      <c r="J34" s="58">
        <v>0</v>
      </c>
      <c r="K34" s="96" t="s">
        <v>85</v>
      </c>
      <c r="L34" s="80" t="s">
        <v>85</v>
      </c>
      <c r="M34" s="80" t="s">
        <v>85</v>
      </c>
      <c r="N34" s="80" t="s">
        <v>85</v>
      </c>
      <c r="O34" s="80" t="s">
        <v>85</v>
      </c>
      <c r="P34" s="56"/>
    </row>
    <row r="35" spans="1:16" ht="15.75" customHeight="1" x14ac:dyDescent="0.3">
      <c r="A35" s="101">
        <v>7</v>
      </c>
      <c r="B35" s="148" t="s">
        <v>490</v>
      </c>
      <c r="C35" s="148"/>
      <c r="D35" s="58"/>
      <c r="E35" s="58"/>
      <c r="F35" s="58"/>
      <c r="G35" s="58"/>
      <c r="H35" s="58"/>
      <c r="I35" s="58"/>
      <c r="J35" s="58"/>
      <c r="K35" s="96"/>
      <c r="L35" s="80"/>
      <c r="M35" s="80"/>
      <c r="N35" s="80"/>
      <c r="O35" s="80"/>
      <c r="P35" s="56"/>
    </row>
    <row r="36" spans="1:16" ht="15" x14ac:dyDescent="0.3">
      <c r="A36" s="101"/>
      <c r="B36" s="113" t="s">
        <v>23</v>
      </c>
      <c r="C36" s="113" t="s">
        <v>491</v>
      </c>
      <c r="D36" s="58">
        <v>0</v>
      </c>
      <c r="E36" s="58">
        <v>0</v>
      </c>
      <c r="F36" s="58">
        <v>0</v>
      </c>
      <c r="G36" s="58">
        <v>0</v>
      </c>
      <c r="H36" s="58">
        <v>0</v>
      </c>
      <c r="I36" s="58">
        <v>0</v>
      </c>
      <c r="J36" s="58">
        <v>0</v>
      </c>
      <c r="K36" s="96" t="s">
        <v>85</v>
      </c>
      <c r="L36" s="80" t="s">
        <v>85</v>
      </c>
      <c r="M36" s="80" t="s">
        <v>85</v>
      </c>
      <c r="N36" s="80" t="s">
        <v>85</v>
      </c>
      <c r="O36" s="80" t="s">
        <v>85</v>
      </c>
      <c r="P36" s="56"/>
    </row>
    <row r="37" spans="1:16" ht="15" x14ac:dyDescent="0.3">
      <c r="A37" s="101"/>
      <c r="B37" s="113" t="s">
        <v>22</v>
      </c>
      <c r="C37" s="113" t="s">
        <v>492</v>
      </c>
      <c r="D37" s="58">
        <v>0</v>
      </c>
      <c r="E37" s="58">
        <v>0</v>
      </c>
      <c r="F37" s="58">
        <v>0</v>
      </c>
      <c r="G37" s="58">
        <v>0</v>
      </c>
      <c r="H37" s="58">
        <v>0</v>
      </c>
      <c r="I37" s="58">
        <v>0</v>
      </c>
      <c r="J37" s="58">
        <v>0</v>
      </c>
      <c r="K37" s="96" t="s">
        <v>85</v>
      </c>
      <c r="L37" s="80" t="s">
        <v>85</v>
      </c>
      <c r="M37" s="80" t="s">
        <v>85</v>
      </c>
      <c r="N37" s="80" t="s">
        <v>85</v>
      </c>
      <c r="O37" s="80" t="s">
        <v>85</v>
      </c>
      <c r="P37" s="56"/>
    </row>
    <row r="38" spans="1:16" ht="15" x14ac:dyDescent="0.3">
      <c r="A38" s="101"/>
      <c r="B38" s="113" t="s">
        <v>21</v>
      </c>
      <c r="C38" s="113" t="s">
        <v>493</v>
      </c>
      <c r="D38" s="58">
        <v>0</v>
      </c>
      <c r="E38" s="58">
        <v>0</v>
      </c>
      <c r="F38" s="58">
        <v>0</v>
      </c>
      <c r="G38" s="58">
        <v>0</v>
      </c>
      <c r="H38" s="58">
        <v>0</v>
      </c>
      <c r="I38" s="58">
        <v>0</v>
      </c>
      <c r="J38" s="58">
        <v>0</v>
      </c>
      <c r="K38" s="96" t="s">
        <v>85</v>
      </c>
      <c r="L38" s="80" t="s">
        <v>85</v>
      </c>
      <c r="M38" s="80" t="s">
        <v>85</v>
      </c>
      <c r="N38" s="80" t="s">
        <v>85</v>
      </c>
      <c r="O38" s="80" t="s">
        <v>85</v>
      </c>
      <c r="P38" s="56"/>
    </row>
    <row r="39" spans="1:16" ht="15" x14ac:dyDescent="0.3">
      <c r="A39" s="101"/>
      <c r="B39" s="113" t="s">
        <v>20</v>
      </c>
      <c r="C39" s="113" t="s">
        <v>494</v>
      </c>
      <c r="D39" s="58">
        <v>0</v>
      </c>
      <c r="E39" s="58">
        <v>0</v>
      </c>
      <c r="F39" s="58">
        <v>0</v>
      </c>
      <c r="G39" s="58">
        <v>0</v>
      </c>
      <c r="H39" s="58">
        <v>0</v>
      </c>
      <c r="I39" s="58">
        <v>0</v>
      </c>
      <c r="J39" s="58">
        <v>0</v>
      </c>
      <c r="K39" s="96" t="s">
        <v>85</v>
      </c>
      <c r="L39" s="80" t="s">
        <v>85</v>
      </c>
      <c r="M39" s="80" t="s">
        <v>85</v>
      </c>
      <c r="N39" s="80" t="s">
        <v>85</v>
      </c>
      <c r="O39" s="80" t="s">
        <v>85</v>
      </c>
      <c r="P39" s="56"/>
    </row>
    <row r="40" spans="1:16" ht="15.75" customHeight="1" x14ac:dyDescent="0.3">
      <c r="A40" s="101">
        <v>8</v>
      </c>
      <c r="B40" s="148" t="s">
        <v>495</v>
      </c>
      <c r="C40" s="148"/>
      <c r="D40" s="58"/>
      <c r="E40" s="58"/>
      <c r="F40" s="58"/>
      <c r="G40" s="58"/>
      <c r="H40" s="58"/>
      <c r="I40" s="58"/>
      <c r="J40" s="58"/>
      <c r="K40" s="96"/>
      <c r="L40" s="80"/>
      <c r="M40" s="80"/>
      <c r="N40" s="80"/>
      <c r="O40" s="80"/>
      <c r="P40" s="56"/>
    </row>
    <row r="41" spans="1:16" ht="15" x14ac:dyDescent="0.3">
      <c r="A41" s="101"/>
      <c r="B41" s="113" t="s">
        <v>23</v>
      </c>
      <c r="C41" s="113" t="s">
        <v>496</v>
      </c>
      <c r="D41" s="58">
        <v>0</v>
      </c>
      <c r="E41" s="58">
        <v>0</v>
      </c>
      <c r="F41" s="58">
        <v>0</v>
      </c>
      <c r="G41" s="58">
        <v>0</v>
      </c>
      <c r="H41" s="58">
        <v>0</v>
      </c>
      <c r="I41" s="58">
        <v>0</v>
      </c>
      <c r="J41" s="58">
        <v>0</v>
      </c>
      <c r="K41" s="96" t="s">
        <v>85</v>
      </c>
      <c r="L41" s="80" t="s">
        <v>85</v>
      </c>
      <c r="M41" s="80" t="s">
        <v>85</v>
      </c>
      <c r="N41" s="80" t="s">
        <v>85</v>
      </c>
      <c r="O41" s="80" t="s">
        <v>85</v>
      </c>
      <c r="P41" s="56"/>
    </row>
    <row r="42" spans="1:16" ht="15" x14ac:dyDescent="0.3">
      <c r="A42" s="101"/>
      <c r="B42" s="113" t="s">
        <v>22</v>
      </c>
      <c r="C42" s="113" t="s">
        <v>497</v>
      </c>
      <c r="D42" s="58">
        <v>0</v>
      </c>
      <c r="E42" s="58">
        <v>0</v>
      </c>
      <c r="F42" s="58">
        <v>0</v>
      </c>
      <c r="G42" s="58">
        <v>0</v>
      </c>
      <c r="H42" s="58">
        <v>0</v>
      </c>
      <c r="I42" s="58">
        <v>0</v>
      </c>
      <c r="J42" s="58">
        <v>0</v>
      </c>
      <c r="K42" s="96" t="s">
        <v>85</v>
      </c>
      <c r="L42" s="80" t="s">
        <v>85</v>
      </c>
      <c r="M42" s="80" t="s">
        <v>85</v>
      </c>
      <c r="N42" s="80" t="s">
        <v>85</v>
      </c>
      <c r="O42" s="80" t="s">
        <v>85</v>
      </c>
      <c r="P42" s="56"/>
    </row>
    <row r="43" spans="1:16" ht="15.75" customHeight="1" x14ac:dyDescent="0.3">
      <c r="A43" s="101">
        <v>9</v>
      </c>
      <c r="B43" s="148" t="s">
        <v>498</v>
      </c>
      <c r="C43" s="148"/>
      <c r="D43" s="58"/>
      <c r="E43" s="58"/>
      <c r="F43" s="58"/>
      <c r="G43" s="58"/>
      <c r="H43" s="58"/>
      <c r="I43" s="58"/>
      <c r="J43" s="58"/>
      <c r="K43" s="96"/>
      <c r="L43" s="80"/>
      <c r="M43" s="80"/>
      <c r="N43" s="80"/>
      <c r="O43" s="80"/>
      <c r="P43" s="56"/>
    </row>
    <row r="44" spans="1:16" ht="15" x14ac:dyDescent="0.3">
      <c r="A44" s="101"/>
      <c r="B44" s="113" t="s">
        <v>23</v>
      </c>
      <c r="C44" s="113" t="s">
        <v>499</v>
      </c>
      <c r="D44" s="58">
        <v>0</v>
      </c>
      <c r="E44" s="58">
        <v>0</v>
      </c>
      <c r="F44" s="58">
        <v>0</v>
      </c>
      <c r="G44" s="58">
        <v>0</v>
      </c>
      <c r="H44" s="58">
        <v>0</v>
      </c>
      <c r="I44" s="58">
        <v>0</v>
      </c>
      <c r="J44" s="58">
        <v>0</v>
      </c>
      <c r="K44" s="96" t="s">
        <v>85</v>
      </c>
      <c r="L44" s="80" t="s">
        <v>85</v>
      </c>
      <c r="M44" s="80" t="s">
        <v>85</v>
      </c>
      <c r="N44" s="80" t="s">
        <v>85</v>
      </c>
      <c r="O44" s="80" t="s">
        <v>85</v>
      </c>
      <c r="P44" s="56"/>
    </row>
    <row r="45" spans="1:16" ht="15" x14ac:dyDescent="0.3">
      <c r="A45" s="101"/>
      <c r="B45" s="113" t="s">
        <v>22</v>
      </c>
      <c r="C45" s="113" t="s">
        <v>500</v>
      </c>
      <c r="D45" s="58">
        <v>0</v>
      </c>
      <c r="E45" s="58">
        <v>0</v>
      </c>
      <c r="F45" s="58">
        <v>0</v>
      </c>
      <c r="G45" s="58">
        <v>0</v>
      </c>
      <c r="H45" s="58">
        <v>0</v>
      </c>
      <c r="I45" s="58">
        <v>0</v>
      </c>
      <c r="J45" s="58">
        <v>0</v>
      </c>
      <c r="K45" s="96" t="s">
        <v>85</v>
      </c>
      <c r="L45" s="80" t="s">
        <v>85</v>
      </c>
      <c r="M45" s="80" t="s">
        <v>85</v>
      </c>
      <c r="N45" s="80" t="s">
        <v>85</v>
      </c>
      <c r="O45" s="80" t="s">
        <v>85</v>
      </c>
      <c r="P45" s="56"/>
    </row>
    <row r="46" spans="1:16" ht="15" x14ac:dyDescent="0.3">
      <c r="A46" s="101"/>
      <c r="B46" s="113" t="s">
        <v>21</v>
      </c>
      <c r="C46" s="113" t="s">
        <v>501</v>
      </c>
      <c r="D46" s="58">
        <v>0</v>
      </c>
      <c r="E46" s="58">
        <v>0</v>
      </c>
      <c r="F46" s="58">
        <v>0</v>
      </c>
      <c r="G46" s="58">
        <v>0</v>
      </c>
      <c r="H46" s="58">
        <v>0</v>
      </c>
      <c r="I46" s="58">
        <v>0</v>
      </c>
      <c r="J46" s="58">
        <v>0</v>
      </c>
      <c r="K46" s="96" t="s">
        <v>85</v>
      </c>
      <c r="L46" s="80" t="s">
        <v>85</v>
      </c>
      <c r="M46" s="80" t="s">
        <v>85</v>
      </c>
      <c r="N46" s="80" t="s">
        <v>85</v>
      </c>
      <c r="O46" s="80" t="s">
        <v>85</v>
      </c>
      <c r="P46" s="56"/>
    </row>
    <row r="47" spans="1:16" ht="15" x14ac:dyDescent="0.3">
      <c r="A47" s="101"/>
      <c r="B47" s="113" t="s">
        <v>20</v>
      </c>
      <c r="C47" s="113" t="s">
        <v>502</v>
      </c>
      <c r="D47" s="58">
        <v>0</v>
      </c>
      <c r="E47" s="58">
        <v>0</v>
      </c>
      <c r="F47" s="58">
        <v>0</v>
      </c>
      <c r="G47" s="58">
        <v>0</v>
      </c>
      <c r="H47" s="58">
        <v>0</v>
      </c>
      <c r="I47" s="58">
        <v>0</v>
      </c>
      <c r="J47" s="58">
        <v>0</v>
      </c>
      <c r="K47" s="96" t="s">
        <v>85</v>
      </c>
      <c r="L47" s="80" t="s">
        <v>85</v>
      </c>
      <c r="M47" s="80" t="s">
        <v>85</v>
      </c>
      <c r="N47" s="80" t="s">
        <v>85</v>
      </c>
      <c r="O47" s="80" t="s">
        <v>85</v>
      </c>
      <c r="P47" s="56"/>
    </row>
    <row r="48" spans="1:16" ht="15.75" customHeight="1" x14ac:dyDescent="0.3">
      <c r="A48" s="101">
        <v>10</v>
      </c>
      <c r="B48" s="148" t="s">
        <v>503</v>
      </c>
      <c r="C48" s="148"/>
      <c r="D48" s="58"/>
      <c r="E48" s="58"/>
      <c r="F48" s="58"/>
      <c r="G48" s="58"/>
      <c r="H48" s="58"/>
      <c r="I48" s="58"/>
      <c r="J48" s="58"/>
      <c r="K48" s="96"/>
      <c r="L48" s="80"/>
      <c r="M48" s="80"/>
      <c r="N48" s="80"/>
      <c r="O48" s="80"/>
      <c r="P48" s="56"/>
    </row>
    <row r="49" spans="1:16" ht="15" x14ac:dyDescent="0.3">
      <c r="A49" s="101"/>
      <c r="B49" s="113" t="s">
        <v>23</v>
      </c>
      <c r="C49" s="113" t="s">
        <v>504</v>
      </c>
      <c r="D49" s="58">
        <v>0</v>
      </c>
      <c r="E49" s="58">
        <v>0</v>
      </c>
      <c r="F49" s="58">
        <v>0</v>
      </c>
      <c r="G49" s="58">
        <v>0</v>
      </c>
      <c r="H49" s="58">
        <v>0</v>
      </c>
      <c r="I49" s="58">
        <v>0</v>
      </c>
      <c r="J49" s="58">
        <v>0</v>
      </c>
      <c r="K49" s="96" t="s">
        <v>85</v>
      </c>
      <c r="L49" s="80" t="s">
        <v>85</v>
      </c>
      <c r="M49" s="80" t="s">
        <v>85</v>
      </c>
      <c r="N49" s="80" t="s">
        <v>85</v>
      </c>
      <c r="O49" s="80" t="s">
        <v>85</v>
      </c>
      <c r="P49" s="56"/>
    </row>
    <row r="50" spans="1:16" ht="15" x14ac:dyDescent="0.3">
      <c r="A50" s="101"/>
      <c r="B50" s="113" t="s">
        <v>22</v>
      </c>
      <c r="C50" s="113" t="s">
        <v>505</v>
      </c>
      <c r="D50" s="58">
        <v>0</v>
      </c>
      <c r="E50" s="58">
        <v>0</v>
      </c>
      <c r="F50" s="58">
        <v>0</v>
      </c>
      <c r="G50" s="58">
        <v>0</v>
      </c>
      <c r="H50" s="58">
        <v>0</v>
      </c>
      <c r="I50" s="58">
        <v>0</v>
      </c>
      <c r="J50" s="58">
        <v>0</v>
      </c>
      <c r="K50" s="96" t="s">
        <v>85</v>
      </c>
      <c r="L50" s="80" t="s">
        <v>85</v>
      </c>
      <c r="M50" s="80" t="s">
        <v>85</v>
      </c>
      <c r="N50" s="80" t="s">
        <v>85</v>
      </c>
      <c r="O50" s="80" t="s">
        <v>85</v>
      </c>
      <c r="P50" s="56"/>
    </row>
    <row r="51" spans="1:16" ht="15" x14ac:dyDescent="0.3">
      <c r="A51" s="101"/>
      <c r="B51" s="113" t="s">
        <v>21</v>
      </c>
      <c r="C51" s="113" t="s">
        <v>506</v>
      </c>
      <c r="D51" s="58">
        <v>0</v>
      </c>
      <c r="E51" s="58">
        <v>0</v>
      </c>
      <c r="F51" s="58">
        <v>0</v>
      </c>
      <c r="G51" s="58">
        <v>0</v>
      </c>
      <c r="H51" s="58">
        <v>0</v>
      </c>
      <c r="I51" s="58">
        <v>0</v>
      </c>
      <c r="J51" s="58">
        <v>0</v>
      </c>
      <c r="K51" s="96" t="s">
        <v>85</v>
      </c>
      <c r="L51" s="80" t="s">
        <v>85</v>
      </c>
      <c r="M51" s="80" t="s">
        <v>85</v>
      </c>
      <c r="N51" s="80" t="s">
        <v>85</v>
      </c>
      <c r="O51" s="80" t="s">
        <v>85</v>
      </c>
      <c r="P51" s="56"/>
    </row>
    <row r="52" spans="1:16" ht="15" x14ac:dyDescent="0.3">
      <c r="A52" s="101"/>
      <c r="B52" s="113" t="s">
        <v>20</v>
      </c>
      <c r="C52" s="113" t="s">
        <v>507</v>
      </c>
      <c r="D52" s="58">
        <v>0</v>
      </c>
      <c r="E52" s="58">
        <v>0</v>
      </c>
      <c r="F52" s="58">
        <v>0</v>
      </c>
      <c r="G52" s="58">
        <v>0</v>
      </c>
      <c r="H52" s="58">
        <v>0</v>
      </c>
      <c r="I52" s="58">
        <v>0</v>
      </c>
      <c r="J52" s="58">
        <v>0</v>
      </c>
      <c r="K52" s="96" t="s">
        <v>85</v>
      </c>
      <c r="L52" s="80" t="s">
        <v>85</v>
      </c>
      <c r="M52" s="80" t="s">
        <v>85</v>
      </c>
      <c r="N52" s="80" t="s">
        <v>85</v>
      </c>
      <c r="O52" s="80" t="s">
        <v>85</v>
      </c>
      <c r="P52" s="56"/>
    </row>
    <row r="53" spans="1:16" ht="15.75" customHeight="1" x14ac:dyDescent="0.3">
      <c r="A53" s="101">
        <v>11</v>
      </c>
      <c r="B53" s="148" t="s">
        <v>508</v>
      </c>
      <c r="C53" s="148"/>
      <c r="D53" s="58"/>
      <c r="E53" s="58"/>
      <c r="F53" s="58"/>
      <c r="G53" s="58"/>
      <c r="H53" s="58"/>
      <c r="I53" s="58"/>
      <c r="J53" s="58"/>
      <c r="K53" s="96"/>
      <c r="L53" s="80"/>
      <c r="M53" s="80"/>
      <c r="N53" s="80"/>
      <c r="O53" s="80"/>
      <c r="P53" s="56"/>
    </row>
    <row r="54" spans="1:16" ht="15" x14ac:dyDescent="0.3">
      <c r="A54" s="101"/>
      <c r="B54" s="113" t="s">
        <v>23</v>
      </c>
      <c r="C54" s="113" t="s">
        <v>509</v>
      </c>
      <c r="D54" s="58">
        <v>0</v>
      </c>
      <c r="E54" s="58">
        <v>0</v>
      </c>
      <c r="F54" s="58">
        <v>0</v>
      </c>
      <c r="G54" s="58">
        <v>0</v>
      </c>
      <c r="H54" s="58">
        <v>0</v>
      </c>
      <c r="I54" s="58">
        <v>0</v>
      </c>
      <c r="J54" s="58">
        <v>0</v>
      </c>
      <c r="K54" s="96" t="s">
        <v>85</v>
      </c>
      <c r="L54" s="80" t="s">
        <v>85</v>
      </c>
      <c r="M54" s="80" t="s">
        <v>85</v>
      </c>
      <c r="N54" s="80" t="s">
        <v>85</v>
      </c>
      <c r="O54" s="80" t="s">
        <v>85</v>
      </c>
      <c r="P54" s="56"/>
    </row>
    <row r="55" spans="1:16" ht="15" x14ac:dyDescent="0.3">
      <c r="A55" s="101"/>
      <c r="B55" s="113" t="s">
        <v>22</v>
      </c>
      <c r="C55" s="113" t="s">
        <v>510</v>
      </c>
      <c r="D55" s="58">
        <v>0</v>
      </c>
      <c r="E55" s="58">
        <v>0</v>
      </c>
      <c r="F55" s="58">
        <v>0</v>
      </c>
      <c r="G55" s="58">
        <v>0</v>
      </c>
      <c r="H55" s="58">
        <v>0</v>
      </c>
      <c r="I55" s="58">
        <v>0</v>
      </c>
      <c r="J55" s="58">
        <v>0</v>
      </c>
      <c r="K55" s="96" t="s">
        <v>85</v>
      </c>
      <c r="L55" s="80" t="s">
        <v>85</v>
      </c>
      <c r="M55" s="80" t="s">
        <v>85</v>
      </c>
      <c r="N55" s="80" t="s">
        <v>85</v>
      </c>
      <c r="O55" s="80" t="s">
        <v>85</v>
      </c>
      <c r="P55" s="56"/>
    </row>
    <row r="56" spans="1:16" ht="15.75" customHeight="1" x14ac:dyDescent="0.3">
      <c r="A56" s="101">
        <v>12</v>
      </c>
      <c r="B56" s="148" t="s">
        <v>511</v>
      </c>
      <c r="C56" s="148"/>
      <c r="D56" s="58"/>
      <c r="E56" s="58"/>
      <c r="F56" s="58"/>
      <c r="G56" s="58"/>
      <c r="H56" s="58"/>
      <c r="I56" s="58"/>
      <c r="J56" s="58"/>
      <c r="K56" s="96"/>
      <c r="L56" s="80"/>
      <c r="M56" s="80"/>
      <c r="N56" s="80"/>
      <c r="O56" s="80"/>
      <c r="P56" s="56"/>
    </row>
    <row r="57" spans="1:16" ht="15" x14ac:dyDescent="0.3">
      <c r="A57" s="101"/>
      <c r="B57" s="113" t="s">
        <v>23</v>
      </c>
      <c r="C57" s="113" t="s">
        <v>512</v>
      </c>
      <c r="D57" s="58">
        <v>0</v>
      </c>
      <c r="E57" s="58">
        <v>0</v>
      </c>
      <c r="F57" s="58">
        <v>0</v>
      </c>
      <c r="G57" s="58">
        <v>0</v>
      </c>
      <c r="H57" s="58">
        <v>0</v>
      </c>
      <c r="I57" s="58">
        <v>0</v>
      </c>
      <c r="J57" s="58">
        <v>0</v>
      </c>
      <c r="K57" s="96" t="s">
        <v>85</v>
      </c>
      <c r="L57" s="80" t="s">
        <v>85</v>
      </c>
      <c r="M57" s="80" t="s">
        <v>85</v>
      </c>
      <c r="N57" s="80" t="s">
        <v>85</v>
      </c>
      <c r="O57" s="80" t="s">
        <v>85</v>
      </c>
      <c r="P57" s="56"/>
    </row>
    <row r="58" spans="1:16" ht="15.75" customHeight="1" x14ac:dyDescent="0.3">
      <c r="A58" s="101">
        <v>13</v>
      </c>
      <c r="B58" s="148" t="s">
        <v>513</v>
      </c>
      <c r="C58" s="148"/>
      <c r="D58" s="58"/>
      <c r="E58" s="58"/>
      <c r="F58" s="58"/>
      <c r="G58" s="58"/>
      <c r="H58" s="58"/>
      <c r="I58" s="58"/>
      <c r="J58" s="58"/>
      <c r="K58" s="96"/>
      <c r="L58" s="80"/>
      <c r="M58" s="80"/>
      <c r="N58" s="80"/>
      <c r="O58" s="80"/>
      <c r="P58" s="56"/>
    </row>
    <row r="59" spans="1:16" ht="15" x14ac:dyDescent="0.3">
      <c r="A59" s="101"/>
      <c r="B59" s="113" t="s">
        <v>23</v>
      </c>
      <c r="C59" s="113" t="s">
        <v>514</v>
      </c>
      <c r="D59" s="58">
        <v>0</v>
      </c>
      <c r="E59" s="58">
        <v>0</v>
      </c>
      <c r="F59" s="58">
        <v>0</v>
      </c>
      <c r="G59" s="58">
        <v>0</v>
      </c>
      <c r="H59" s="58">
        <v>0</v>
      </c>
      <c r="I59" s="58">
        <v>0</v>
      </c>
      <c r="J59" s="58">
        <v>0</v>
      </c>
      <c r="K59" s="96" t="s">
        <v>85</v>
      </c>
      <c r="L59" s="80" t="s">
        <v>85</v>
      </c>
      <c r="M59" s="80" t="s">
        <v>85</v>
      </c>
      <c r="N59" s="80" t="s">
        <v>85</v>
      </c>
      <c r="O59" s="80" t="s">
        <v>85</v>
      </c>
      <c r="P59" s="56"/>
    </row>
    <row r="60" spans="1:16" ht="15" x14ac:dyDescent="0.3">
      <c r="A60" s="101"/>
      <c r="B60" s="113" t="s">
        <v>22</v>
      </c>
      <c r="C60" s="113" t="s">
        <v>515</v>
      </c>
      <c r="D60" s="58">
        <v>0</v>
      </c>
      <c r="E60" s="58">
        <v>0</v>
      </c>
      <c r="F60" s="58">
        <v>0</v>
      </c>
      <c r="G60" s="58">
        <v>0</v>
      </c>
      <c r="H60" s="58">
        <v>0</v>
      </c>
      <c r="I60" s="58">
        <v>0</v>
      </c>
      <c r="J60" s="58">
        <v>0</v>
      </c>
      <c r="K60" s="96" t="s">
        <v>85</v>
      </c>
      <c r="L60" s="80" t="s">
        <v>85</v>
      </c>
      <c r="M60" s="80" t="s">
        <v>85</v>
      </c>
      <c r="N60" s="80" t="s">
        <v>85</v>
      </c>
      <c r="O60" s="80" t="s">
        <v>85</v>
      </c>
      <c r="P60" s="56"/>
    </row>
    <row r="61" spans="1:16" ht="15.75" customHeight="1" x14ac:dyDescent="0.3">
      <c r="A61" s="101">
        <v>14</v>
      </c>
      <c r="B61" s="148" t="s">
        <v>516</v>
      </c>
      <c r="C61" s="148"/>
      <c r="D61" s="58"/>
      <c r="E61" s="58"/>
      <c r="F61" s="58" t="s">
        <v>110</v>
      </c>
      <c r="G61" s="58"/>
      <c r="H61" s="58"/>
      <c r="I61" s="58"/>
      <c r="J61" s="58"/>
      <c r="K61" s="96"/>
      <c r="L61" s="80"/>
      <c r="M61" s="80"/>
      <c r="N61" s="80"/>
      <c r="O61" s="80"/>
      <c r="P61" s="56"/>
    </row>
    <row r="62" spans="1:16" ht="15" x14ac:dyDescent="0.3">
      <c r="A62" s="101"/>
      <c r="B62" s="113" t="s">
        <v>23</v>
      </c>
      <c r="C62" s="113" t="s">
        <v>517</v>
      </c>
      <c r="D62" s="58">
        <v>0</v>
      </c>
      <c r="E62" s="58">
        <v>0</v>
      </c>
      <c r="F62" s="58">
        <v>0</v>
      </c>
      <c r="G62" s="58">
        <v>0</v>
      </c>
      <c r="H62" s="58">
        <v>0</v>
      </c>
      <c r="I62" s="58">
        <v>0</v>
      </c>
      <c r="J62" s="58">
        <v>0</v>
      </c>
      <c r="K62" s="96" t="s">
        <v>85</v>
      </c>
      <c r="L62" s="80" t="s">
        <v>85</v>
      </c>
      <c r="M62" s="80" t="s">
        <v>85</v>
      </c>
      <c r="N62" s="80" t="s">
        <v>85</v>
      </c>
      <c r="O62" s="80" t="s">
        <v>85</v>
      </c>
      <c r="P62" s="56"/>
    </row>
    <row r="63" spans="1:16" ht="15" x14ac:dyDescent="0.3">
      <c r="A63" s="101"/>
      <c r="B63" s="113" t="s">
        <v>22</v>
      </c>
      <c r="C63" s="113" t="s">
        <v>518</v>
      </c>
      <c r="D63" s="58">
        <v>0</v>
      </c>
      <c r="E63" s="58">
        <v>0</v>
      </c>
      <c r="F63" s="58">
        <v>0</v>
      </c>
      <c r="G63" s="58">
        <v>0</v>
      </c>
      <c r="H63" s="58">
        <v>0</v>
      </c>
      <c r="I63" s="58">
        <v>0</v>
      </c>
      <c r="J63" s="58">
        <v>0</v>
      </c>
      <c r="K63" s="96" t="s">
        <v>85</v>
      </c>
      <c r="L63" s="80" t="s">
        <v>85</v>
      </c>
      <c r="M63" s="80" t="s">
        <v>85</v>
      </c>
      <c r="N63" s="80" t="s">
        <v>85</v>
      </c>
      <c r="O63" s="80" t="s">
        <v>85</v>
      </c>
      <c r="P63" s="56"/>
    </row>
    <row r="64" spans="1:16" ht="15.75" customHeight="1" x14ac:dyDescent="0.3">
      <c r="A64" s="101">
        <v>15</v>
      </c>
      <c r="B64" s="148" t="s">
        <v>519</v>
      </c>
      <c r="C64" s="148"/>
      <c r="D64" s="58"/>
      <c r="E64" s="58"/>
      <c r="F64" s="58"/>
      <c r="G64" s="58"/>
      <c r="H64" s="58"/>
      <c r="I64" s="58"/>
      <c r="J64" s="58"/>
      <c r="K64" s="96"/>
      <c r="L64" s="80"/>
      <c r="M64" s="80"/>
      <c r="N64" s="80"/>
      <c r="O64" s="80"/>
      <c r="P64" s="56"/>
    </row>
    <row r="65" spans="1:16" ht="15" x14ac:dyDescent="0.3">
      <c r="A65" s="101"/>
      <c r="B65" s="113" t="s">
        <v>23</v>
      </c>
      <c r="C65" s="113" t="s">
        <v>520</v>
      </c>
      <c r="D65" s="58">
        <v>0</v>
      </c>
      <c r="E65" s="58">
        <v>0</v>
      </c>
      <c r="F65" s="58">
        <v>0</v>
      </c>
      <c r="G65" s="58">
        <v>0</v>
      </c>
      <c r="H65" s="58">
        <v>0</v>
      </c>
      <c r="I65" s="58">
        <v>0</v>
      </c>
      <c r="J65" s="58">
        <v>0</v>
      </c>
      <c r="K65" s="96" t="s">
        <v>85</v>
      </c>
      <c r="L65" s="80" t="s">
        <v>85</v>
      </c>
      <c r="M65" s="80" t="s">
        <v>85</v>
      </c>
      <c r="N65" s="80" t="s">
        <v>85</v>
      </c>
      <c r="O65" s="80" t="s">
        <v>85</v>
      </c>
      <c r="P65" s="56"/>
    </row>
    <row r="66" spans="1:16" ht="15" x14ac:dyDescent="0.3">
      <c r="A66" s="101"/>
      <c r="B66" s="113" t="s">
        <v>22</v>
      </c>
      <c r="C66" s="113" t="s">
        <v>521</v>
      </c>
      <c r="D66" s="58">
        <v>0</v>
      </c>
      <c r="E66" s="58">
        <v>0</v>
      </c>
      <c r="F66" s="58">
        <v>0</v>
      </c>
      <c r="G66" s="58">
        <v>0</v>
      </c>
      <c r="H66" s="58">
        <v>0</v>
      </c>
      <c r="I66" s="58">
        <v>0</v>
      </c>
      <c r="J66" s="58">
        <v>0</v>
      </c>
      <c r="K66" s="96" t="s">
        <v>85</v>
      </c>
      <c r="L66" s="80" t="s">
        <v>85</v>
      </c>
      <c r="M66" s="80" t="s">
        <v>85</v>
      </c>
      <c r="N66" s="80" t="s">
        <v>85</v>
      </c>
      <c r="O66" s="80" t="s">
        <v>85</v>
      </c>
      <c r="P66" s="56"/>
    </row>
    <row r="67" spans="1:16" ht="15.6" x14ac:dyDescent="0.3">
      <c r="A67" s="161" t="s">
        <v>109</v>
      </c>
      <c r="B67" s="161"/>
      <c r="C67" s="161"/>
      <c r="D67" s="58"/>
      <c r="E67" s="58"/>
      <c r="F67" s="58"/>
      <c r="G67" s="58"/>
      <c r="H67" s="58"/>
      <c r="I67" s="58"/>
      <c r="J67" s="58"/>
      <c r="K67" s="96"/>
      <c r="L67" s="80"/>
      <c r="M67" s="80"/>
      <c r="N67" s="80"/>
      <c r="O67" s="80"/>
      <c r="P67" s="56"/>
    </row>
    <row r="68" spans="1:16" ht="24" customHeight="1" x14ac:dyDescent="0.3">
      <c r="A68" s="58">
        <v>16</v>
      </c>
      <c r="B68" s="151" t="s">
        <v>522</v>
      </c>
      <c r="C68" s="151"/>
      <c r="D68" s="92">
        <v>0</v>
      </c>
      <c r="E68" s="92">
        <v>4</v>
      </c>
      <c r="F68" s="97">
        <v>0</v>
      </c>
      <c r="G68" s="97">
        <v>0</v>
      </c>
      <c r="H68" s="97">
        <v>0</v>
      </c>
      <c r="I68" s="98">
        <f t="shared" ref="I68:I86" si="0">SUM(F68:H68)</f>
        <v>0</v>
      </c>
      <c r="J68" s="97">
        <v>0</v>
      </c>
      <c r="K68" s="96">
        <f t="shared" ref="K68:K79" si="1">SUM(E68-I68)</f>
        <v>4</v>
      </c>
      <c r="L68" s="80">
        <f t="shared" ref="L68:L79" si="2">IF(E68=0,"-",(I68/E68))</f>
        <v>0</v>
      </c>
      <c r="M68" s="80">
        <f t="shared" ref="M68:M79" si="3">IF(E68=0,"-",(J68/E68))</f>
        <v>0</v>
      </c>
      <c r="N68" s="80">
        <f t="shared" ref="N68:N79" si="4">IF(E68=0,"-",(K68/E68))</f>
        <v>1</v>
      </c>
      <c r="O68" s="80">
        <f t="shared" ref="O68:O79" si="5">IF(E68=0,"-",(M68+N68))</f>
        <v>1</v>
      </c>
      <c r="P68" s="95"/>
    </row>
    <row r="69" spans="1:16" s="100" customFormat="1" ht="93" customHeight="1" x14ac:dyDescent="0.3">
      <c r="A69" s="58">
        <v>17</v>
      </c>
      <c r="B69" s="151" t="s">
        <v>523</v>
      </c>
      <c r="C69" s="151"/>
      <c r="D69" s="92">
        <v>353</v>
      </c>
      <c r="E69" s="92">
        <v>272</v>
      </c>
      <c r="F69" s="92">
        <v>2</v>
      </c>
      <c r="G69" s="92">
        <v>2</v>
      </c>
      <c r="H69" s="92">
        <v>0</v>
      </c>
      <c r="I69" s="98">
        <f t="shared" si="0"/>
        <v>4</v>
      </c>
      <c r="J69" s="97">
        <v>0</v>
      </c>
      <c r="K69" s="96">
        <f t="shared" si="1"/>
        <v>268</v>
      </c>
      <c r="L69" s="80">
        <f t="shared" si="2"/>
        <v>1.4705882352941176E-2</v>
      </c>
      <c r="M69" s="80">
        <f t="shared" si="3"/>
        <v>0</v>
      </c>
      <c r="N69" s="80">
        <f t="shared" si="4"/>
        <v>0.98529411764705888</v>
      </c>
      <c r="O69" s="80">
        <f t="shared" si="5"/>
        <v>0.98529411764705888</v>
      </c>
      <c r="P69" s="56" t="s">
        <v>633</v>
      </c>
    </row>
    <row r="70" spans="1:16" ht="30" x14ac:dyDescent="0.3">
      <c r="A70" s="58">
        <v>18</v>
      </c>
      <c r="B70" s="151" t="s">
        <v>524</v>
      </c>
      <c r="C70" s="151"/>
      <c r="D70" s="92">
        <v>144</v>
      </c>
      <c r="E70" s="92">
        <v>163</v>
      </c>
      <c r="F70" s="92">
        <v>1</v>
      </c>
      <c r="G70" s="92">
        <v>2</v>
      </c>
      <c r="H70" s="92">
        <v>0</v>
      </c>
      <c r="I70" s="98">
        <f t="shared" si="0"/>
        <v>3</v>
      </c>
      <c r="J70" s="97">
        <v>0</v>
      </c>
      <c r="K70" s="96">
        <f t="shared" si="1"/>
        <v>160</v>
      </c>
      <c r="L70" s="80">
        <f t="shared" si="2"/>
        <v>1.8404907975460124E-2</v>
      </c>
      <c r="M70" s="80">
        <f t="shared" si="3"/>
        <v>0</v>
      </c>
      <c r="N70" s="80">
        <f t="shared" si="4"/>
        <v>0.98159509202453987</v>
      </c>
      <c r="O70" s="80">
        <f t="shared" si="5"/>
        <v>0.98159509202453987</v>
      </c>
      <c r="P70" s="60" t="s">
        <v>634</v>
      </c>
    </row>
    <row r="71" spans="1:16" ht="15" x14ac:dyDescent="0.3">
      <c r="A71" s="58">
        <v>19</v>
      </c>
      <c r="B71" s="151" t="s">
        <v>525</v>
      </c>
      <c r="C71" s="151"/>
      <c r="D71" s="92">
        <v>250</v>
      </c>
      <c r="E71" s="92">
        <v>271</v>
      </c>
      <c r="F71" s="92">
        <v>1</v>
      </c>
      <c r="G71" s="92">
        <v>0</v>
      </c>
      <c r="H71" s="92">
        <v>0</v>
      </c>
      <c r="I71" s="98">
        <f t="shared" si="0"/>
        <v>1</v>
      </c>
      <c r="J71" s="97">
        <v>0</v>
      </c>
      <c r="K71" s="96">
        <f t="shared" si="1"/>
        <v>270</v>
      </c>
      <c r="L71" s="80">
        <f t="shared" si="2"/>
        <v>3.6900369003690036E-3</v>
      </c>
      <c r="M71" s="80">
        <f t="shared" si="3"/>
        <v>0</v>
      </c>
      <c r="N71" s="80">
        <f t="shared" si="4"/>
        <v>0.99630996309963105</v>
      </c>
      <c r="O71" s="80">
        <f t="shared" si="5"/>
        <v>0.99630996309963105</v>
      </c>
      <c r="P71" s="95" t="s">
        <v>635</v>
      </c>
    </row>
    <row r="72" spans="1:16" ht="15" customHeight="1" x14ac:dyDescent="0.3">
      <c r="A72" s="58">
        <v>20</v>
      </c>
      <c r="B72" s="151" t="s">
        <v>526</v>
      </c>
      <c r="C72" s="151"/>
      <c r="D72" s="92">
        <v>107</v>
      </c>
      <c r="E72" s="92">
        <v>108</v>
      </c>
      <c r="F72" s="92">
        <v>1</v>
      </c>
      <c r="G72" s="92">
        <v>0</v>
      </c>
      <c r="H72" s="92">
        <v>0</v>
      </c>
      <c r="I72" s="98">
        <f t="shared" si="0"/>
        <v>1</v>
      </c>
      <c r="J72" s="97">
        <v>0</v>
      </c>
      <c r="K72" s="96">
        <f t="shared" si="1"/>
        <v>107</v>
      </c>
      <c r="L72" s="80">
        <f t="shared" si="2"/>
        <v>9.2592592592592587E-3</v>
      </c>
      <c r="M72" s="80">
        <f t="shared" si="3"/>
        <v>0</v>
      </c>
      <c r="N72" s="80">
        <f t="shared" si="4"/>
        <v>0.9907407407407407</v>
      </c>
      <c r="O72" s="80">
        <f t="shared" si="5"/>
        <v>0.9907407407407407</v>
      </c>
      <c r="P72" s="112" t="s">
        <v>622</v>
      </c>
    </row>
    <row r="73" spans="1:16" ht="15" customHeight="1" x14ac:dyDescent="0.3">
      <c r="A73" s="58">
        <v>21</v>
      </c>
      <c r="B73" s="151" t="s">
        <v>527</v>
      </c>
      <c r="C73" s="151"/>
      <c r="D73" s="92">
        <v>72</v>
      </c>
      <c r="E73" s="92">
        <v>70</v>
      </c>
      <c r="F73" s="92">
        <v>1</v>
      </c>
      <c r="G73" s="92">
        <v>0</v>
      </c>
      <c r="H73" s="92">
        <v>0</v>
      </c>
      <c r="I73" s="98">
        <f t="shared" si="0"/>
        <v>1</v>
      </c>
      <c r="J73" s="97">
        <v>0</v>
      </c>
      <c r="K73" s="96">
        <f t="shared" si="1"/>
        <v>69</v>
      </c>
      <c r="L73" s="80">
        <f t="shared" si="2"/>
        <v>1.4285714285714285E-2</v>
      </c>
      <c r="M73" s="80">
        <f t="shared" si="3"/>
        <v>0</v>
      </c>
      <c r="N73" s="80">
        <f t="shared" si="4"/>
        <v>0.98571428571428577</v>
      </c>
      <c r="O73" s="80">
        <f t="shared" si="5"/>
        <v>0.98571428571428577</v>
      </c>
      <c r="P73" s="87" t="s">
        <v>636</v>
      </c>
    </row>
    <row r="74" spans="1:16" ht="55.5" customHeight="1" x14ac:dyDescent="0.3">
      <c r="A74" s="58">
        <v>22</v>
      </c>
      <c r="B74" s="151" t="s">
        <v>528</v>
      </c>
      <c r="C74" s="151"/>
      <c r="D74" s="92">
        <v>12</v>
      </c>
      <c r="E74" s="92">
        <v>5</v>
      </c>
      <c r="F74" s="92">
        <v>1</v>
      </c>
      <c r="G74" s="92">
        <v>0</v>
      </c>
      <c r="H74" s="92">
        <v>0</v>
      </c>
      <c r="I74" s="98">
        <f t="shared" si="0"/>
        <v>1</v>
      </c>
      <c r="J74" s="97">
        <v>0</v>
      </c>
      <c r="K74" s="96">
        <f t="shared" si="1"/>
        <v>4</v>
      </c>
      <c r="L74" s="80">
        <f t="shared" si="2"/>
        <v>0.2</v>
      </c>
      <c r="M74" s="80">
        <f t="shared" si="3"/>
        <v>0</v>
      </c>
      <c r="N74" s="80">
        <f t="shared" si="4"/>
        <v>0.8</v>
      </c>
      <c r="O74" s="80">
        <f t="shared" si="5"/>
        <v>0.8</v>
      </c>
      <c r="P74" s="111" t="s">
        <v>623</v>
      </c>
    </row>
    <row r="75" spans="1:16" ht="264.75" customHeight="1" x14ac:dyDescent="0.3">
      <c r="A75" s="58">
        <v>23</v>
      </c>
      <c r="B75" s="151" t="s">
        <v>529</v>
      </c>
      <c r="C75" s="151"/>
      <c r="D75" s="97">
        <v>4</v>
      </c>
      <c r="E75" s="92">
        <v>5</v>
      </c>
      <c r="F75" s="97">
        <v>1</v>
      </c>
      <c r="G75" s="97">
        <v>0</v>
      </c>
      <c r="H75" s="97">
        <v>0</v>
      </c>
      <c r="I75" s="98">
        <f t="shared" si="0"/>
        <v>1</v>
      </c>
      <c r="J75" s="97">
        <v>0</v>
      </c>
      <c r="K75" s="96">
        <f t="shared" si="1"/>
        <v>4</v>
      </c>
      <c r="L75" s="80">
        <f t="shared" si="2"/>
        <v>0.2</v>
      </c>
      <c r="M75" s="80">
        <f t="shared" si="3"/>
        <v>0</v>
      </c>
      <c r="N75" s="80">
        <f t="shared" si="4"/>
        <v>0.8</v>
      </c>
      <c r="O75" s="80">
        <f t="shared" si="5"/>
        <v>0.8</v>
      </c>
      <c r="P75" s="110" t="s">
        <v>637</v>
      </c>
    </row>
    <row r="76" spans="1:16" ht="15" customHeight="1" x14ac:dyDescent="0.3">
      <c r="A76" s="58">
        <v>24</v>
      </c>
      <c r="B76" s="151" t="s">
        <v>530</v>
      </c>
      <c r="C76" s="151"/>
      <c r="D76" s="92">
        <v>0</v>
      </c>
      <c r="E76" s="92">
        <v>0</v>
      </c>
      <c r="F76" s="92">
        <v>0</v>
      </c>
      <c r="G76" s="92">
        <v>0</v>
      </c>
      <c r="H76" s="92">
        <v>0</v>
      </c>
      <c r="I76" s="98">
        <f t="shared" si="0"/>
        <v>0</v>
      </c>
      <c r="J76" s="97">
        <v>0</v>
      </c>
      <c r="K76" s="96">
        <f t="shared" si="1"/>
        <v>0</v>
      </c>
      <c r="L76" s="80" t="str">
        <f t="shared" si="2"/>
        <v>-</v>
      </c>
      <c r="M76" s="80" t="str">
        <f t="shared" si="3"/>
        <v>-</v>
      </c>
      <c r="N76" s="80" t="str">
        <f t="shared" si="4"/>
        <v>-</v>
      </c>
      <c r="O76" s="80" t="str">
        <f t="shared" si="5"/>
        <v>-</v>
      </c>
      <c r="P76" s="89"/>
    </row>
    <row r="77" spans="1:16" ht="15" customHeight="1" x14ac:dyDescent="0.3">
      <c r="A77" s="58">
        <v>25</v>
      </c>
      <c r="B77" s="151" t="s">
        <v>531</v>
      </c>
      <c r="C77" s="151"/>
      <c r="D77" s="92">
        <v>6</v>
      </c>
      <c r="E77" s="92">
        <v>4</v>
      </c>
      <c r="F77" s="92">
        <v>0</v>
      </c>
      <c r="G77" s="92">
        <v>0</v>
      </c>
      <c r="H77" s="92">
        <v>0</v>
      </c>
      <c r="I77" s="98">
        <f t="shared" si="0"/>
        <v>0</v>
      </c>
      <c r="J77" s="97">
        <v>0</v>
      </c>
      <c r="K77" s="96">
        <f t="shared" si="1"/>
        <v>4</v>
      </c>
      <c r="L77" s="80">
        <f t="shared" si="2"/>
        <v>0</v>
      </c>
      <c r="M77" s="80">
        <f t="shared" si="3"/>
        <v>0</v>
      </c>
      <c r="N77" s="80">
        <f t="shared" si="4"/>
        <v>1</v>
      </c>
      <c r="O77" s="80">
        <f t="shared" si="5"/>
        <v>1</v>
      </c>
      <c r="P77" s="89"/>
    </row>
    <row r="78" spans="1:16" ht="15" customHeight="1" x14ac:dyDescent="0.3">
      <c r="A78" s="58">
        <v>26</v>
      </c>
      <c r="B78" s="151" t="s">
        <v>532</v>
      </c>
      <c r="C78" s="151"/>
      <c r="D78" s="92">
        <v>2</v>
      </c>
      <c r="E78" s="92">
        <v>2</v>
      </c>
      <c r="F78" s="92">
        <v>0</v>
      </c>
      <c r="G78" s="92">
        <v>0</v>
      </c>
      <c r="H78" s="92">
        <v>0</v>
      </c>
      <c r="I78" s="98">
        <f t="shared" si="0"/>
        <v>0</v>
      </c>
      <c r="J78" s="97">
        <v>0</v>
      </c>
      <c r="K78" s="96">
        <f t="shared" si="1"/>
        <v>2</v>
      </c>
      <c r="L78" s="80">
        <f t="shared" si="2"/>
        <v>0</v>
      </c>
      <c r="M78" s="80">
        <f t="shared" si="3"/>
        <v>0</v>
      </c>
      <c r="N78" s="80">
        <f t="shared" si="4"/>
        <v>1</v>
      </c>
      <c r="O78" s="80">
        <f t="shared" si="5"/>
        <v>1</v>
      </c>
      <c r="P78" s="89"/>
    </row>
    <row r="79" spans="1:16" ht="15" customHeight="1" x14ac:dyDescent="0.3">
      <c r="A79" s="58">
        <v>27</v>
      </c>
      <c r="B79" s="151" t="s">
        <v>533</v>
      </c>
      <c r="C79" s="151"/>
      <c r="D79" s="92">
        <v>50</v>
      </c>
      <c r="E79" s="92">
        <v>29</v>
      </c>
      <c r="F79" s="92">
        <v>1</v>
      </c>
      <c r="G79" s="92">
        <v>0</v>
      </c>
      <c r="H79" s="92">
        <v>0</v>
      </c>
      <c r="I79" s="98">
        <f t="shared" si="0"/>
        <v>1</v>
      </c>
      <c r="J79" s="97">
        <v>0</v>
      </c>
      <c r="K79" s="96">
        <f t="shared" si="1"/>
        <v>28</v>
      </c>
      <c r="L79" s="80">
        <f t="shared" si="2"/>
        <v>3.4482758620689655E-2</v>
      </c>
      <c r="M79" s="80">
        <f t="shared" si="3"/>
        <v>0</v>
      </c>
      <c r="N79" s="80">
        <f t="shared" si="4"/>
        <v>0.96551724137931039</v>
      </c>
      <c r="O79" s="80">
        <f t="shared" si="5"/>
        <v>0.96551724137931039</v>
      </c>
      <c r="P79" s="89" t="s">
        <v>624</v>
      </c>
    </row>
    <row r="80" spans="1:16" ht="15.6" x14ac:dyDescent="0.3">
      <c r="A80" s="161" t="s">
        <v>108</v>
      </c>
      <c r="B80" s="161"/>
      <c r="C80" s="161"/>
      <c r="D80" s="97"/>
      <c r="E80" s="97"/>
      <c r="F80" s="97"/>
      <c r="G80" s="97"/>
      <c r="H80" s="97"/>
      <c r="I80" s="98">
        <f t="shared" si="0"/>
        <v>0</v>
      </c>
      <c r="J80" s="97"/>
      <c r="K80" s="96"/>
      <c r="L80" s="80"/>
      <c r="M80" s="80"/>
      <c r="N80" s="80"/>
      <c r="O80" s="80"/>
      <c r="P80" s="89"/>
    </row>
    <row r="81" spans="1:16" s="100" customFormat="1" ht="90" x14ac:dyDescent="0.3">
      <c r="A81" s="58">
        <v>28</v>
      </c>
      <c r="B81" s="151" t="s">
        <v>534</v>
      </c>
      <c r="C81" s="151"/>
      <c r="D81" s="92">
        <v>273</v>
      </c>
      <c r="E81" s="92">
        <v>305</v>
      </c>
      <c r="F81" s="92">
        <v>6</v>
      </c>
      <c r="G81" s="92">
        <v>5</v>
      </c>
      <c r="H81" s="92">
        <v>0</v>
      </c>
      <c r="I81" s="98">
        <f t="shared" si="0"/>
        <v>11</v>
      </c>
      <c r="J81" s="97">
        <v>0</v>
      </c>
      <c r="K81" s="96">
        <f t="shared" ref="K81:K86" si="6">SUM(E81-I81)</f>
        <v>294</v>
      </c>
      <c r="L81" s="80">
        <f t="shared" ref="L81:L86" si="7">IF(E81=0,"-",(I81/E81))</f>
        <v>3.6065573770491806E-2</v>
      </c>
      <c r="M81" s="80">
        <f t="shared" ref="M81:M86" si="8">IF(E81=0,"-",(J81/E81))</f>
        <v>0</v>
      </c>
      <c r="N81" s="80">
        <f t="shared" ref="N81:N86" si="9">IF(E81=0,"-",(K81/E81))</f>
        <v>0.9639344262295082</v>
      </c>
      <c r="O81" s="80">
        <f t="shared" ref="O81:O86" si="10">IF(E81=0,"-",(M81+N81))</f>
        <v>0.9639344262295082</v>
      </c>
      <c r="P81" s="60" t="s">
        <v>632</v>
      </c>
    </row>
    <row r="82" spans="1:16" ht="15" customHeight="1" x14ac:dyDescent="0.25">
      <c r="A82" s="58">
        <v>29</v>
      </c>
      <c r="B82" s="151" t="s">
        <v>535</v>
      </c>
      <c r="C82" s="151"/>
      <c r="D82" s="92">
        <v>0</v>
      </c>
      <c r="E82" s="92">
        <v>11</v>
      </c>
      <c r="F82" s="92">
        <v>0</v>
      </c>
      <c r="G82" s="92">
        <v>4</v>
      </c>
      <c r="H82" s="92">
        <v>0</v>
      </c>
      <c r="I82" s="98">
        <f t="shared" si="0"/>
        <v>4</v>
      </c>
      <c r="J82" s="97">
        <v>0</v>
      </c>
      <c r="K82" s="96">
        <f t="shared" si="6"/>
        <v>7</v>
      </c>
      <c r="L82" s="80">
        <f t="shared" si="7"/>
        <v>0.36363636363636365</v>
      </c>
      <c r="M82" s="80">
        <f t="shared" si="8"/>
        <v>0</v>
      </c>
      <c r="N82" s="80">
        <f t="shared" si="9"/>
        <v>0.63636363636363635</v>
      </c>
      <c r="O82" s="80">
        <f t="shared" si="10"/>
        <v>0.63636363636363635</v>
      </c>
      <c r="P82" s="102" t="s">
        <v>629</v>
      </c>
    </row>
    <row r="83" spans="1:16" ht="15" customHeight="1" x14ac:dyDescent="0.3">
      <c r="A83" s="58">
        <v>30</v>
      </c>
      <c r="B83" s="151" t="s">
        <v>536</v>
      </c>
      <c r="C83" s="151"/>
      <c r="D83" s="92">
        <v>3</v>
      </c>
      <c r="E83" s="92">
        <v>3</v>
      </c>
      <c r="F83" s="92">
        <v>0</v>
      </c>
      <c r="G83" s="92">
        <v>0</v>
      </c>
      <c r="H83" s="92">
        <v>0</v>
      </c>
      <c r="I83" s="98">
        <f t="shared" si="0"/>
        <v>0</v>
      </c>
      <c r="J83" s="97">
        <v>0</v>
      </c>
      <c r="K83" s="96">
        <f t="shared" si="6"/>
        <v>3</v>
      </c>
      <c r="L83" s="80">
        <f t="shared" si="7"/>
        <v>0</v>
      </c>
      <c r="M83" s="80">
        <f t="shared" si="8"/>
        <v>0</v>
      </c>
      <c r="N83" s="80">
        <f t="shared" si="9"/>
        <v>1</v>
      </c>
      <c r="O83" s="80">
        <f t="shared" si="10"/>
        <v>1</v>
      </c>
      <c r="P83" s="95"/>
    </row>
    <row r="84" spans="1:16" ht="15" customHeight="1" x14ac:dyDescent="0.3">
      <c r="A84" s="58">
        <v>31</v>
      </c>
      <c r="B84" s="151" t="s">
        <v>537</v>
      </c>
      <c r="C84" s="151"/>
      <c r="D84" s="92">
        <v>91</v>
      </c>
      <c r="E84" s="92">
        <v>68</v>
      </c>
      <c r="F84" s="97">
        <v>0</v>
      </c>
      <c r="G84" s="97">
        <v>0</v>
      </c>
      <c r="H84" s="97">
        <v>0</v>
      </c>
      <c r="I84" s="98">
        <f t="shared" si="0"/>
        <v>0</v>
      </c>
      <c r="J84" s="97">
        <v>0</v>
      </c>
      <c r="K84" s="96">
        <f t="shared" si="6"/>
        <v>68</v>
      </c>
      <c r="L84" s="80">
        <f t="shared" si="7"/>
        <v>0</v>
      </c>
      <c r="M84" s="80">
        <f t="shared" si="8"/>
        <v>0</v>
      </c>
      <c r="N84" s="80">
        <f t="shared" si="9"/>
        <v>1</v>
      </c>
      <c r="O84" s="80">
        <f t="shared" si="10"/>
        <v>1</v>
      </c>
      <c r="P84" s="95"/>
    </row>
    <row r="85" spans="1:16" ht="60.75" customHeight="1" thickBot="1" x14ac:dyDescent="0.35">
      <c r="A85" s="58">
        <v>32</v>
      </c>
      <c r="B85" s="151" t="s">
        <v>538</v>
      </c>
      <c r="C85" s="151"/>
      <c r="D85" s="92">
        <v>40</v>
      </c>
      <c r="E85" s="92">
        <v>36</v>
      </c>
      <c r="F85" s="92">
        <v>2</v>
      </c>
      <c r="G85" s="92">
        <v>3</v>
      </c>
      <c r="H85" s="92">
        <v>0</v>
      </c>
      <c r="I85" s="98">
        <f t="shared" si="0"/>
        <v>5</v>
      </c>
      <c r="J85" s="97">
        <v>0</v>
      </c>
      <c r="K85" s="96">
        <f t="shared" si="6"/>
        <v>31</v>
      </c>
      <c r="L85" s="80">
        <f t="shared" si="7"/>
        <v>0.1388888888888889</v>
      </c>
      <c r="M85" s="80">
        <f t="shared" si="8"/>
        <v>0</v>
      </c>
      <c r="N85" s="80">
        <f t="shared" si="9"/>
        <v>0.86111111111111116</v>
      </c>
      <c r="O85" s="80">
        <f t="shared" si="10"/>
        <v>0.86111111111111116</v>
      </c>
      <c r="P85" s="103" t="s">
        <v>630</v>
      </c>
    </row>
    <row r="86" spans="1:16" ht="15" customHeight="1" x14ac:dyDescent="0.3">
      <c r="A86" s="58">
        <v>33</v>
      </c>
      <c r="B86" s="151" t="s">
        <v>539</v>
      </c>
      <c r="C86" s="151"/>
      <c r="D86" s="92">
        <v>0</v>
      </c>
      <c r="E86" s="92">
        <v>18</v>
      </c>
      <c r="F86" s="92">
        <v>0</v>
      </c>
      <c r="G86" s="92">
        <v>0</v>
      </c>
      <c r="H86" s="92">
        <v>0</v>
      </c>
      <c r="I86" s="98">
        <f t="shared" si="0"/>
        <v>0</v>
      </c>
      <c r="J86" s="97">
        <v>0</v>
      </c>
      <c r="K86" s="96">
        <f t="shared" si="6"/>
        <v>18</v>
      </c>
      <c r="L86" s="80">
        <f t="shared" si="7"/>
        <v>0</v>
      </c>
      <c r="M86" s="80">
        <f t="shared" si="8"/>
        <v>0</v>
      </c>
      <c r="N86" s="80">
        <f t="shared" si="9"/>
        <v>1</v>
      </c>
      <c r="O86" s="80">
        <f t="shared" si="10"/>
        <v>1</v>
      </c>
      <c r="P86" s="89"/>
    </row>
    <row r="87" spans="1:16" ht="15.75" customHeight="1" x14ac:dyDescent="0.3">
      <c r="A87" s="109" t="s">
        <v>107</v>
      </c>
      <c r="B87" s="108"/>
      <c r="C87" s="108"/>
      <c r="D87" s="108"/>
      <c r="E87" s="108"/>
      <c r="F87" s="108"/>
      <c r="G87" s="108"/>
      <c r="H87" s="108"/>
      <c r="I87" s="108"/>
      <c r="J87" s="108"/>
      <c r="K87" s="108"/>
      <c r="L87" s="108"/>
      <c r="M87" s="108"/>
      <c r="N87" s="108"/>
      <c r="O87" s="108"/>
      <c r="P87" s="107"/>
    </row>
    <row r="88" spans="1:16" ht="28.5" customHeight="1" x14ac:dyDescent="0.3">
      <c r="A88" s="58">
        <v>34</v>
      </c>
      <c r="B88" s="152" t="s">
        <v>540</v>
      </c>
      <c r="C88" s="152"/>
      <c r="D88" s="92">
        <v>241</v>
      </c>
      <c r="E88" s="92">
        <v>146</v>
      </c>
      <c r="F88" s="92">
        <v>0</v>
      </c>
      <c r="G88" s="92">
        <v>0</v>
      </c>
      <c r="H88" s="92">
        <v>0</v>
      </c>
      <c r="I88" s="98">
        <f t="shared" ref="I88:I119" si="11">SUM(F88:H88)</f>
        <v>0</v>
      </c>
      <c r="J88" s="97">
        <v>0</v>
      </c>
      <c r="K88" s="96">
        <f t="shared" ref="K88:K106" si="12">SUM(E88-I88)</f>
        <v>146</v>
      </c>
      <c r="L88" s="80">
        <f t="shared" ref="L88:L106" si="13">IF(E88=0,"-",(I88/E88))</f>
        <v>0</v>
      </c>
      <c r="M88" s="80">
        <f t="shared" ref="M88:M106" si="14">IF(E88=0,"-",(J88/E88))</f>
        <v>0</v>
      </c>
      <c r="N88" s="80">
        <f t="shared" ref="N88:N106" si="15">IF(E88=0,"-",(K88/E88))</f>
        <v>1</v>
      </c>
      <c r="O88" s="80">
        <f t="shared" ref="O88:O106" si="16">IF(E88=0,"-",(M88+N88))</f>
        <v>1</v>
      </c>
      <c r="P88" s="105"/>
    </row>
    <row r="89" spans="1:16" ht="45" customHeight="1" x14ac:dyDescent="0.3">
      <c r="A89" s="58">
        <v>35</v>
      </c>
      <c r="B89" s="152" t="s">
        <v>541</v>
      </c>
      <c r="C89" s="152"/>
      <c r="D89" s="92">
        <v>529</v>
      </c>
      <c r="E89" s="92">
        <v>487</v>
      </c>
      <c r="F89" s="92">
        <v>0</v>
      </c>
      <c r="G89" s="92">
        <v>2</v>
      </c>
      <c r="H89" s="92">
        <v>0</v>
      </c>
      <c r="I89" s="98">
        <f t="shared" si="11"/>
        <v>2</v>
      </c>
      <c r="J89" s="97">
        <v>0</v>
      </c>
      <c r="K89" s="96">
        <f t="shared" si="12"/>
        <v>485</v>
      </c>
      <c r="L89" s="80">
        <f t="shared" si="13"/>
        <v>4.1067761806981521E-3</v>
      </c>
      <c r="M89" s="80">
        <f t="shared" si="14"/>
        <v>0</v>
      </c>
      <c r="N89" s="80">
        <f t="shared" si="15"/>
        <v>0.9958932238193019</v>
      </c>
      <c r="O89" s="80">
        <f t="shared" si="16"/>
        <v>0.9958932238193019</v>
      </c>
      <c r="P89" s="35" t="s">
        <v>106</v>
      </c>
    </row>
    <row r="90" spans="1:16" s="100" customFormat="1" ht="48.75" customHeight="1" x14ac:dyDescent="0.3">
      <c r="A90" s="58">
        <v>36</v>
      </c>
      <c r="B90" s="152" t="s">
        <v>542</v>
      </c>
      <c r="C90" s="152"/>
      <c r="D90" s="92">
        <v>197</v>
      </c>
      <c r="E90" s="92">
        <v>377</v>
      </c>
      <c r="F90" s="92">
        <v>1</v>
      </c>
      <c r="G90" s="92">
        <v>1</v>
      </c>
      <c r="H90" s="92">
        <v>0</v>
      </c>
      <c r="I90" s="98">
        <f t="shared" si="11"/>
        <v>2</v>
      </c>
      <c r="J90" s="97">
        <v>0</v>
      </c>
      <c r="K90" s="96">
        <f t="shared" si="12"/>
        <v>375</v>
      </c>
      <c r="L90" s="80">
        <f t="shared" si="13"/>
        <v>5.3050397877984082E-3</v>
      </c>
      <c r="M90" s="80">
        <f t="shared" si="14"/>
        <v>0</v>
      </c>
      <c r="N90" s="80">
        <f t="shared" si="15"/>
        <v>0.99469496021220161</v>
      </c>
      <c r="O90" s="80">
        <f t="shared" si="16"/>
        <v>0.99469496021220161</v>
      </c>
      <c r="P90" s="87" t="s">
        <v>625</v>
      </c>
    </row>
    <row r="91" spans="1:16" ht="76.5" customHeight="1" thickBot="1" x14ac:dyDescent="0.35">
      <c r="A91" s="58">
        <v>37</v>
      </c>
      <c r="B91" s="152" t="s">
        <v>543</v>
      </c>
      <c r="C91" s="152"/>
      <c r="D91" s="92">
        <v>601</v>
      </c>
      <c r="E91" s="92">
        <v>504</v>
      </c>
      <c r="F91" s="97">
        <v>1</v>
      </c>
      <c r="G91" s="97">
        <v>2</v>
      </c>
      <c r="H91" s="97">
        <v>0</v>
      </c>
      <c r="I91" s="98">
        <f t="shared" si="11"/>
        <v>3</v>
      </c>
      <c r="J91" s="97">
        <v>0</v>
      </c>
      <c r="K91" s="96">
        <f t="shared" si="12"/>
        <v>501</v>
      </c>
      <c r="L91" s="80">
        <f t="shared" si="13"/>
        <v>5.9523809523809521E-3</v>
      </c>
      <c r="M91" s="80">
        <f t="shared" si="14"/>
        <v>0</v>
      </c>
      <c r="N91" s="80">
        <f t="shared" si="15"/>
        <v>0.99404761904761907</v>
      </c>
      <c r="O91" s="80">
        <f t="shared" si="16"/>
        <v>0.99404761904761907</v>
      </c>
      <c r="P91" s="103" t="s">
        <v>626</v>
      </c>
    </row>
    <row r="92" spans="1:16" ht="28.5" customHeight="1" x14ac:dyDescent="0.3">
      <c r="A92" s="58">
        <v>38</v>
      </c>
      <c r="B92" s="152" t="s">
        <v>544</v>
      </c>
      <c r="C92" s="152"/>
      <c r="D92" s="92">
        <v>59</v>
      </c>
      <c r="E92" s="92">
        <v>81</v>
      </c>
      <c r="F92" s="92">
        <v>0</v>
      </c>
      <c r="G92" s="92">
        <v>0</v>
      </c>
      <c r="H92" s="92">
        <v>0</v>
      </c>
      <c r="I92" s="98">
        <f t="shared" si="11"/>
        <v>0</v>
      </c>
      <c r="J92" s="97">
        <v>0</v>
      </c>
      <c r="K92" s="96">
        <f t="shared" si="12"/>
        <v>81</v>
      </c>
      <c r="L92" s="80">
        <f t="shared" si="13"/>
        <v>0</v>
      </c>
      <c r="M92" s="80">
        <f t="shared" si="14"/>
        <v>0</v>
      </c>
      <c r="N92" s="80">
        <f t="shared" si="15"/>
        <v>1</v>
      </c>
      <c r="O92" s="80">
        <f t="shared" si="16"/>
        <v>1</v>
      </c>
      <c r="P92" s="106"/>
    </row>
    <row r="93" spans="1:16" ht="31.5" customHeight="1" x14ac:dyDescent="0.3">
      <c r="A93" s="58">
        <v>39</v>
      </c>
      <c r="B93" s="152" t="s">
        <v>545</v>
      </c>
      <c r="C93" s="152"/>
      <c r="D93" s="92">
        <v>0</v>
      </c>
      <c r="E93" s="92">
        <v>0</v>
      </c>
      <c r="F93" s="92">
        <v>0</v>
      </c>
      <c r="G93" s="92">
        <v>0</v>
      </c>
      <c r="H93" s="92">
        <v>0</v>
      </c>
      <c r="I93" s="98">
        <f t="shared" si="11"/>
        <v>0</v>
      </c>
      <c r="J93" s="97">
        <v>0</v>
      </c>
      <c r="K93" s="96">
        <f t="shared" si="12"/>
        <v>0</v>
      </c>
      <c r="L93" s="80" t="str">
        <f t="shared" si="13"/>
        <v>-</v>
      </c>
      <c r="M93" s="80" t="str">
        <f t="shared" si="14"/>
        <v>-</v>
      </c>
      <c r="N93" s="80" t="str">
        <f t="shared" si="15"/>
        <v>-</v>
      </c>
      <c r="O93" s="80" t="str">
        <f t="shared" si="16"/>
        <v>-</v>
      </c>
      <c r="P93" s="89"/>
    </row>
    <row r="94" spans="1:16" ht="30.75" customHeight="1" x14ac:dyDescent="0.3">
      <c r="A94" s="58">
        <v>40</v>
      </c>
      <c r="B94" s="152" t="s">
        <v>546</v>
      </c>
      <c r="C94" s="152"/>
      <c r="D94" s="92">
        <v>36</v>
      </c>
      <c r="E94" s="92">
        <v>36</v>
      </c>
      <c r="F94" s="92">
        <v>0</v>
      </c>
      <c r="G94" s="92">
        <v>0</v>
      </c>
      <c r="H94" s="92">
        <v>0</v>
      </c>
      <c r="I94" s="98">
        <f t="shared" si="11"/>
        <v>0</v>
      </c>
      <c r="J94" s="97">
        <v>0</v>
      </c>
      <c r="K94" s="96">
        <f t="shared" si="12"/>
        <v>36</v>
      </c>
      <c r="L94" s="80">
        <f t="shared" si="13"/>
        <v>0</v>
      </c>
      <c r="M94" s="80">
        <f t="shared" si="14"/>
        <v>0</v>
      </c>
      <c r="N94" s="80">
        <f t="shared" si="15"/>
        <v>1</v>
      </c>
      <c r="O94" s="80">
        <f t="shared" si="16"/>
        <v>1</v>
      </c>
      <c r="P94" s="89"/>
    </row>
    <row r="95" spans="1:16" ht="15" customHeight="1" x14ac:dyDescent="0.3">
      <c r="A95" s="58">
        <v>41</v>
      </c>
      <c r="B95" s="152" t="s">
        <v>547</v>
      </c>
      <c r="C95" s="152"/>
      <c r="D95" s="92">
        <v>18</v>
      </c>
      <c r="E95" s="92">
        <v>18</v>
      </c>
      <c r="F95" s="92">
        <v>0</v>
      </c>
      <c r="G95" s="92">
        <v>0</v>
      </c>
      <c r="H95" s="92">
        <v>0</v>
      </c>
      <c r="I95" s="98">
        <f t="shared" si="11"/>
        <v>0</v>
      </c>
      <c r="J95" s="97">
        <v>0</v>
      </c>
      <c r="K95" s="96">
        <f t="shared" si="12"/>
        <v>18</v>
      </c>
      <c r="L95" s="80">
        <f t="shared" si="13"/>
        <v>0</v>
      </c>
      <c r="M95" s="80">
        <f t="shared" si="14"/>
        <v>0</v>
      </c>
      <c r="N95" s="80">
        <f t="shared" si="15"/>
        <v>1</v>
      </c>
      <c r="O95" s="80">
        <f t="shared" si="16"/>
        <v>1</v>
      </c>
      <c r="P95" s="95"/>
    </row>
    <row r="96" spans="1:16" s="100" customFormat="1" ht="45.75" customHeight="1" thickBot="1" x14ac:dyDescent="0.35">
      <c r="A96" s="58">
        <v>42</v>
      </c>
      <c r="B96" s="152" t="s">
        <v>548</v>
      </c>
      <c r="C96" s="152"/>
      <c r="D96" s="92">
        <v>18</v>
      </c>
      <c r="E96" s="92">
        <v>18</v>
      </c>
      <c r="F96" s="92">
        <v>0</v>
      </c>
      <c r="G96" s="92">
        <v>0</v>
      </c>
      <c r="H96" s="92">
        <v>0</v>
      </c>
      <c r="I96" s="98">
        <f t="shared" si="11"/>
        <v>0</v>
      </c>
      <c r="J96" s="97">
        <v>0</v>
      </c>
      <c r="K96" s="96">
        <f t="shared" si="12"/>
        <v>18</v>
      </c>
      <c r="L96" s="80">
        <f t="shared" si="13"/>
        <v>0</v>
      </c>
      <c r="M96" s="80">
        <f t="shared" si="14"/>
        <v>0</v>
      </c>
      <c r="N96" s="80">
        <f t="shared" si="15"/>
        <v>1</v>
      </c>
      <c r="O96" s="80">
        <f t="shared" si="16"/>
        <v>1</v>
      </c>
      <c r="P96" s="103"/>
    </row>
    <row r="97" spans="1:16" ht="15" customHeight="1" x14ac:dyDescent="0.3">
      <c r="A97" s="58">
        <v>43</v>
      </c>
      <c r="B97" s="152" t="s">
        <v>549</v>
      </c>
      <c r="C97" s="152"/>
      <c r="D97" s="92">
        <v>52</v>
      </c>
      <c r="E97" s="92">
        <v>31</v>
      </c>
      <c r="F97" s="92">
        <v>0</v>
      </c>
      <c r="G97" s="92">
        <v>0</v>
      </c>
      <c r="H97" s="92">
        <v>0</v>
      </c>
      <c r="I97" s="98">
        <f t="shared" si="11"/>
        <v>0</v>
      </c>
      <c r="J97" s="97">
        <v>0</v>
      </c>
      <c r="K97" s="96">
        <f t="shared" si="12"/>
        <v>31</v>
      </c>
      <c r="L97" s="80">
        <f t="shared" si="13"/>
        <v>0</v>
      </c>
      <c r="M97" s="80">
        <f t="shared" si="14"/>
        <v>0</v>
      </c>
      <c r="N97" s="80">
        <f t="shared" si="15"/>
        <v>1</v>
      </c>
      <c r="O97" s="80">
        <f t="shared" si="16"/>
        <v>1</v>
      </c>
      <c r="P97" s="105"/>
    </row>
    <row r="98" spans="1:16" s="104" customFormat="1" ht="45" x14ac:dyDescent="0.3">
      <c r="A98" s="58">
        <v>44</v>
      </c>
      <c r="B98" s="152" t="s">
        <v>550</v>
      </c>
      <c r="C98" s="152"/>
      <c r="D98" s="92">
        <v>1515</v>
      </c>
      <c r="E98" s="92">
        <v>1422</v>
      </c>
      <c r="F98" s="92">
        <v>1</v>
      </c>
      <c r="G98" s="92">
        <v>11</v>
      </c>
      <c r="H98" s="92">
        <v>0</v>
      </c>
      <c r="I98" s="98">
        <f t="shared" si="11"/>
        <v>12</v>
      </c>
      <c r="J98" s="97">
        <v>0</v>
      </c>
      <c r="K98" s="96">
        <f t="shared" si="12"/>
        <v>1410</v>
      </c>
      <c r="L98" s="80">
        <f t="shared" si="13"/>
        <v>8.4388185654008432E-3</v>
      </c>
      <c r="M98" s="80">
        <f t="shared" si="14"/>
        <v>0</v>
      </c>
      <c r="N98" s="80">
        <f t="shared" si="15"/>
        <v>0.99156118143459915</v>
      </c>
      <c r="O98" s="80">
        <f t="shared" si="16"/>
        <v>0.99156118143459915</v>
      </c>
      <c r="P98" s="87" t="s">
        <v>627</v>
      </c>
    </row>
    <row r="99" spans="1:16" ht="15" customHeight="1" x14ac:dyDescent="0.3">
      <c r="A99" s="58">
        <v>45</v>
      </c>
      <c r="B99" s="152" t="s">
        <v>551</v>
      </c>
      <c r="C99" s="152"/>
      <c r="D99" s="92">
        <v>178</v>
      </c>
      <c r="E99" s="92">
        <v>121</v>
      </c>
      <c r="F99" s="92">
        <v>0</v>
      </c>
      <c r="G99" s="92">
        <v>0</v>
      </c>
      <c r="H99" s="92">
        <v>0</v>
      </c>
      <c r="I99" s="98">
        <f t="shared" si="11"/>
        <v>0</v>
      </c>
      <c r="J99" s="97">
        <v>0</v>
      </c>
      <c r="K99" s="96">
        <f t="shared" si="12"/>
        <v>121</v>
      </c>
      <c r="L99" s="80">
        <f t="shared" si="13"/>
        <v>0</v>
      </c>
      <c r="M99" s="80">
        <f t="shared" si="14"/>
        <v>0</v>
      </c>
      <c r="N99" s="80">
        <f t="shared" si="15"/>
        <v>1</v>
      </c>
      <c r="O99" s="80">
        <f t="shared" si="16"/>
        <v>1</v>
      </c>
      <c r="P99" s="89"/>
    </row>
    <row r="100" spans="1:16" ht="15" customHeight="1" x14ac:dyDescent="0.3">
      <c r="A100" s="58">
        <v>46</v>
      </c>
      <c r="B100" s="152" t="s">
        <v>552</v>
      </c>
      <c r="C100" s="152"/>
      <c r="D100" s="92">
        <v>0</v>
      </c>
      <c r="E100" s="92">
        <v>0</v>
      </c>
      <c r="F100" s="92">
        <v>0</v>
      </c>
      <c r="G100" s="92">
        <v>0</v>
      </c>
      <c r="H100" s="92">
        <v>0</v>
      </c>
      <c r="I100" s="98">
        <f t="shared" si="11"/>
        <v>0</v>
      </c>
      <c r="J100" s="97">
        <v>0</v>
      </c>
      <c r="K100" s="96">
        <f t="shared" si="12"/>
        <v>0</v>
      </c>
      <c r="L100" s="80" t="str">
        <f t="shared" si="13"/>
        <v>-</v>
      </c>
      <c r="M100" s="80" t="str">
        <f t="shared" si="14"/>
        <v>-</v>
      </c>
      <c r="N100" s="80" t="str">
        <f t="shared" si="15"/>
        <v>-</v>
      </c>
      <c r="O100" s="80" t="str">
        <f t="shared" si="16"/>
        <v>-</v>
      </c>
      <c r="P100" s="89"/>
    </row>
    <row r="101" spans="1:16" ht="15" customHeight="1" x14ac:dyDescent="0.3">
      <c r="A101" s="58">
        <v>47</v>
      </c>
      <c r="B101" s="152" t="s">
        <v>553</v>
      </c>
      <c r="C101" s="152"/>
      <c r="D101" s="92">
        <v>40</v>
      </c>
      <c r="E101" s="92">
        <v>30</v>
      </c>
      <c r="F101" s="92">
        <v>0</v>
      </c>
      <c r="G101" s="92">
        <v>0</v>
      </c>
      <c r="H101" s="92">
        <v>0</v>
      </c>
      <c r="I101" s="98">
        <f t="shared" si="11"/>
        <v>0</v>
      </c>
      <c r="J101" s="97">
        <v>0</v>
      </c>
      <c r="K101" s="96">
        <f t="shared" si="12"/>
        <v>30</v>
      </c>
      <c r="L101" s="80">
        <f t="shared" si="13"/>
        <v>0</v>
      </c>
      <c r="M101" s="80">
        <f t="shared" si="14"/>
        <v>0</v>
      </c>
      <c r="N101" s="80">
        <f t="shared" si="15"/>
        <v>1</v>
      </c>
      <c r="O101" s="80">
        <f t="shared" si="16"/>
        <v>1</v>
      </c>
      <c r="P101" s="89"/>
    </row>
    <row r="102" spans="1:16" ht="15" customHeight="1" x14ac:dyDescent="0.3">
      <c r="A102" s="58">
        <v>48</v>
      </c>
      <c r="B102" s="152" t="s">
        <v>554</v>
      </c>
      <c r="C102" s="152"/>
      <c r="D102" s="92">
        <v>253</v>
      </c>
      <c r="E102" s="92">
        <v>185</v>
      </c>
      <c r="F102" s="92">
        <v>0</v>
      </c>
      <c r="G102" s="92">
        <v>0</v>
      </c>
      <c r="H102" s="92">
        <v>0</v>
      </c>
      <c r="I102" s="98">
        <f t="shared" si="11"/>
        <v>0</v>
      </c>
      <c r="J102" s="97">
        <v>0</v>
      </c>
      <c r="K102" s="96">
        <f t="shared" si="12"/>
        <v>185</v>
      </c>
      <c r="L102" s="80">
        <f t="shared" si="13"/>
        <v>0</v>
      </c>
      <c r="M102" s="80">
        <f t="shared" si="14"/>
        <v>0</v>
      </c>
      <c r="N102" s="80">
        <f t="shared" si="15"/>
        <v>1</v>
      </c>
      <c r="O102" s="80">
        <f t="shared" si="16"/>
        <v>1</v>
      </c>
      <c r="P102" s="89"/>
    </row>
    <row r="103" spans="1:16" ht="15.6" thickBot="1" x14ac:dyDescent="0.35">
      <c r="A103" s="58">
        <v>49</v>
      </c>
      <c r="B103" s="152" t="s">
        <v>555</v>
      </c>
      <c r="C103" s="152"/>
      <c r="D103" s="92">
        <v>0</v>
      </c>
      <c r="E103" s="92">
        <v>0</v>
      </c>
      <c r="F103" s="92">
        <v>0</v>
      </c>
      <c r="G103" s="92">
        <v>0</v>
      </c>
      <c r="H103" s="92">
        <v>0</v>
      </c>
      <c r="I103" s="98">
        <f t="shared" si="11"/>
        <v>0</v>
      </c>
      <c r="J103" s="97">
        <v>0</v>
      </c>
      <c r="K103" s="96">
        <f t="shared" si="12"/>
        <v>0</v>
      </c>
      <c r="L103" s="80" t="str">
        <f t="shared" si="13"/>
        <v>-</v>
      </c>
      <c r="M103" s="80" t="str">
        <f t="shared" si="14"/>
        <v>-</v>
      </c>
      <c r="N103" s="80" t="str">
        <f t="shared" si="15"/>
        <v>-</v>
      </c>
      <c r="O103" s="80" t="str">
        <f t="shared" si="16"/>
        <v>-</v>
      </c>
      <c r="P103" s="103"/>
    </row>
    <row r="104" spans="1:16" ht="33.75" customHeight="1" x14ac:dyDescent="0.25">
      <c r="A104" s="58">
        <v>50</v>
      </c>
      <c r="B104" s="152" t="s">
        <v>556</v>
      </c>
      <c r="C104" s="152"/>
      <c r="D104" s="92">
        <v>440</v>
      </c>
      <c r="E104" s="92">
        <v>298</v>
      </c>
      <c r="F104" s="92">
        <v>0</v>
      </c>
      <c r="G104" s="92">
        <v>2</v>
      </c>
      <c r="H104" s="92">
        <v>0</v>
      </c>
      <c r="I104" s="98">
        <f t="shared" si="11"/>
        <v>2</v>
      </c>
      <c r="J104" s="97">
        <v>0</v>
      </c>
      <c r="K104" s="96">
        <f t="shared" si="12"/>
        <v>296</v>
      </c>
      <c r="L104" s="80">
        <f t="shared" si="13"/>
        <v>6.7114093959731542E-3</v>
      </c>
      <c r="M104" s="80">
        <f t="shared" si="14"/>
        <v>0</v>
      </c>
      <c r="N104" s="80">
        <f t="shared" si="15"/>
        <v>0.99328859060402686</v>
      </c>
      <c r="O104" s="80">
        <f t="shared" si="16"/>
        <v>0.99328859060402686</v>
      </c>
      <c r="P104" s="102" t="s">
        <v>631</v>
      </c>
    </row>
    <row r="105" spans="1:16" ht="60.75" customHeight="1" x14ac:dyDescent="0.3">
      <c r="A105" s="58">
        <v>51</v>
      </c>
      <c r="B105" s="152" t="s">
        <v>557</v>
      </c>
      <c r="C105" s="152"/>
      <c r="D105" s="92">
        <v>651</v>
      </c>
      <c r="E105" s="92">
        <v>532</v>
      </c>
      <c r="F105" s="92">
        <v>1</v>
      </c>
      <c r="G105" s="92">
        <v>4</v>
      </c>
      <c r="H105" s="92">
        <v>0</v>
      </c>
      <c r="I105" s="98">
        <f t="shared" si="11"/>
        <v>5</v>
      </c>
      <c r="J105" s="97">
        <v>0</v>
      </c>
      <c r="K105" s="96">
        <f t="shared" si="12"/>
        <v>527</v>
      </c>
      <c r="L105" s="80">
        <f t="shared" si="13"/>
        <v>9.3984962406015032E-3</v>
      </c>
      <c r="M105" s="80">
        <f t="shared" si="14"/>
        <v>0</v>
      </c>
      <c r="N105" s="80">
        <f t="shared" si="15"/>
        <v>0.99060150375939848</v>
      </c>
      <c r="O105" s="80">
        <f t="shared" si="16"/>
        <v>0.99060150375939848</v>
      </c>
      <c r="P105" s="9" t="s">
        <v>628</v>
      </c>
    </row>
    <row r="106" spans="1:16" ht="15" customHeight="1" x14ac:dyDescent="0.3">
      <c r="A106" s="58">
        <v>52</v>
      </c>
      <c r="B106" s="152" t="s">
        <v>558</v>
      </c>
      <c r="C106" s="152"/>
      <c r="D106" s="92">
        <v>3</v>
      </c>
      <c r="E106" s="92">
        <v>3</v>
      </c>
      <c r="F106" s="92">
        <v>0</v>
      </c>
      <c r="G106" s="92">
        <v>0</v>
      </c>
      <c r="H106" s="92">
        <v>0</v>
      </c>
      <c r="I106" s="98">
        <f t="shared" si="11"/>
        <v>0</v>
      </c>
      <c r="J106" s="97">
        <v>0</v>
      </c>
      <c r="K106" s="96">
        <f t="shared" si="12"/>
        <v>3</v>
      </c>
      <c r="L106" s="80">
        <f t="shared" si="13"/>
        <v>0</v>
      </c>
      <c r="M106" s="80">
        <f t="shared" si="14"/>
        <v>0</v>
      </c>
      <c r="N106" s="80">
        <f t="shared" si="15"/>
        <v>1</v>
      </c>
      <c r="O106" s="80">
        <f t="shared" si="16"/>
        <v>1</v>
      </c>
      <c r="P106" s="89"/>
    </row>
    <row r="107" spans="1:16" ht="15.6" x14ac:dyDescent="0.3">
      <c r="A107" s="161" t="s">
        <v>105</v>
      </c>
      <c r="B107" s="161"/>
      <c r="C107" s="161"/>
      <c r="D107" s="97"/>
      <c r="E107" s="97"/>
      <c r="F107" s="97"/>
      <c r="G107" s="97"/>
      <c r="H107" s="97"/>
      <c r="I107" s="98">
        <f t="shared" si="11"/>
        <v>0</v>
      </c>
      <c r="J107" s="97"/>
      <c r="K107" s="96"/>
      <c r="L107" s="80"/>
      <c r="M107" s="80"/>
      <c r="N107" s="80"/>
      <c r="O107" s="80"/>
      <c r="P107" s="89"/>
    </row>
    <row r="108" spans="1:16" s="100" customFormat="1" ht="64.5" customHeight="1" x14ac:dyDescent="0.3">
      <c r="A108" s="58">
        <v>53</v>
      </c>
      <c r="B108" s="151" t="s">
        <v>559</v>
      </c>
      <c r="C108" s="151"/>
      <c r="D108" s="92">
        <v>1813</v>
      </c>
      <c r="E108" s="92">
        <v>1703</v>
      </c>
      <c r="F108" s="97">
        <v>5</v>
      </c>
      <c r="G108" s="97">
        <v>0</v>
      </c>
      <c r="H108" s="97">
        <v>0</v>
      </c>
      <c r="I108" s="98">
        <f t="shared" si="11"/>
        <v>5</v>
      </c>
      <c r="J108" s="97">
        <v>0</v>
      </c>
      <c r="K108" s="96">
        <f t="shared" ref="K108:K139" si="17">SUM(E108-I108)</f>
        <v>1698</v>
      </c>
      <c r="L108" s="80">
        <f t="shared" ref="L108:L139" si="18">IF(E108=0,"-",(I108/E108))</f>
        <v>2.935995302407516E-3</v>
      </c>
      <c r="M108" s="80">
        <f t="shared" ref="M108:M139" si="19">IF(E108=0,"-",(J108/E108))</f>
        <v>0</v>
      </c>
      <c r="N108" s="80">
        <f t="shared" ref="N108:N139" si="20">IF(E108=0,"-",(K108/E108))</f>
        <v>0.99706400469759249</v>
      </c>
      <c r="O108" s="80">
        <f t="shared" ref="O108:O139" si="21">IF(E108=0,"-",(M108+N108))</f>
        <v>0.99706400469759249</v>
      </c>
      <c r="P108" s="89" t="s">
        <v>621</v>
      </c>
    </row>
    <row r="109" spans="1:16" ht="15" customHeight="1" x14ac:dyDescent="0.3">
      <c r="A109" s="58">
        <v>54</v>
      </c>
      <c r="B109" s="151" t="s">
        <v>560</v>
      </c>
      <c r="C109" s="151"/>
      <c r="D109" s="92">
        <v>18</v>
      </c>
      <c r="E109" s="92">
        <v>17</v>
      </c>
      <c r="F109" s="92">
        <v>0</v>
      </c>
      <c r="G109" s="92">
        <v>0</v>
      </c>
      <c r="H109" s="92">
        <v>0</v>
      </c>
      <c r="I109" s="98">
        <f t="shared" si="11"/>
        <v>0</v>
      </c>
      <c r="J109" s="97">
        <v>0</v>
      </c>
      <c r="K109" s="96">
        <f t="shared" si="17"/>
        <v>17</v>
      </c>
      <c r="L109" s="80">
        <f t="shared" si="18"/>
        <v>0</v>
      </c>
      <c r="M109" s="80">
        <f t="shared" si="19"/>
        <v>0</v>
      </c>
      <c r="N109" s="80">
        <f t="shared" si="20"/>
        <v>1</v>
      </c>
      <c r="O109" s="80">
        <f t="shared" si="21"/>
        <v>1</v>
      </c>
      <c r="P109" s="95"/>
    </row>
    <row r="110" spans="1:16" ht="15" customHeight="1" x14ac:dyDescent="0.3">
      <c r="A110" s="58">
        <v>55</v>
      </c>
      <c r="B110" s="151" t="s">
        <v>561</v>
      </c>
      <c r="C110" s="151"/>
      <c r="D110" s="92">
        <v>4</v>
      </c>
      <c r="E110" s="92">
        <v>4</v>
      </c>
      <c r="F110" s="92">
        <v>0</v>
      </c>
      <c r="G110" s="92">
        <v>0</v>
      </c>
      <c r="H110" s="92">
        <v>0</v>
      </c>
      <c r="I110" s="98">
        <f t="shared" si="11"/>
        <v>0</v>
      </c>
      <c r="J110" s="97">
        <v>0</v>
      </c>
      <c r="K110" s="96">
        <f t="shared" si="17"/>
        <v>4</v>
      </c>
      <c r="L110" s="80">
        <f t="shared" si="18"/>
        <v>0</v>
      </c>
      <c r="M110" s="80">
        <f t="shared" si="19"/>
        <v>0</v>
      </c>
      <c r="N110" s="80">
        <f t="shared" si="20"/>
        <v>1</v>
      </c>
      <c r="O110" s="80">
        <f t="shared" si="21"/>
        <v>1</v>
      </c>
      <c r="P110" s="95"/>
    </row>
    <row r="111" spans="1:16" ht="15" customHeight="1" x14ac:dyDescent="0.3">
      <c r="A111" s="58">
        <v>56</v>
      </c>
      <c r="B111" s="151" t="s">
        <v>562</v>
      </c>
      <c r="C111" s="151"/>
      <c r="D111" s="92">
        <v>154</v>
      </c>
      <c r="E111" s="92">
        <v>128</v>
      </c>
      <c r="F111" s="92">
        <v>0</v>
      </c>
      <c r="G111" s="92">
        <v>0</v>
      </c>
      <c r="H111" s="92">
        <v>0</v>
      </c>
      <c r="I111" s="98">
        <f t="shared" si="11"/>
        <v>0</v>
      </c>
      <c r="J111" s="97">
        <v>0</v>
      </c>
      <c r="K111" s="96">
        <f t="shared" si="17"/>
        <v>128</v>
      </c>
      <c r="L111" s="80">
        <f t="shared" si="18"/>
        <v>0</v>
      </c>
      <c r="M111" s="80">
        <f t="shared" si="19"/>
        <v>0</v>
      </c>
      <c r="N111" s="80">
        <f t="shared" si="20"/>
        <v>1</v>
      </c>
      <c r="O111" s="80">
        <f t="shared" si="21"/>
        <v>1</v>
      </c>
      <c r="P111" s="95"/>
    </row>
    <row r="112" spans="1:16" ht="15" customHeight="1" x14ac:dyDescent="0.3">
      <c r="A112" s="58">
        <v>57</v>
      </c>
      <c r="B112" s="151" t="s">
        <v>563</v>
      </c>
      <c r="C112" s="151"/>
      <c r="D112" s="92">
        <v>68</v>
      </c>
      <c r="E112" s="92">
        <v>73</v>
      </c>
      <c r="F112" s="92">
        <v>0</v>
      </c>
      <c r="G112" s="92">
        <v>0</v>
      </c>
      <c r="H112" s="92">
        <v>0</v>
      </c>
      <c r="I112" s="98">
        <f t="shared" si="11"/>
        <v>0</v>
      </c>
      <c r="J112" s="97">
        <v>0</v>
      </c>
      <c r="K112" s="96">
        <f t="shared" si="17"/>
        <v>73</v>
      </c>
      <c r="L112" s="80">
        <f t="shared" si="18"/>
        <v>0</v>
      </c>
      <c r="M112" s="80">
        <f t="shared" si="19"/>
        <v>0</v>
      </c>
      <c r="N112" s="80">
        <f t="shared" si="20"/>
        <v>1</v>
      </c>
      <c r="O112" s="80">
        <f t="shared" si="21"/>
        <v>1</v>
      </c>
      <c r="P112" s="95"/>
    </row>
    <row r="113" spans="1:16" ht="15" customHeight="1" x14ac:dyDescent="0.3">
      <c r="A113" s="58">
        <v>58</v>
      </c>
      <c r="B113" s="151" t="s">
        <v>564</v>
      </c>
      <c r="C113" s="151"/>
      <c r="D113" s="92">
        <v>254</v>
      </c>
      <c r="E113" s="92">
        <v>189</v>
      </c>
      <c r="F113" s="97">
        <v>0</v>
      </c>
      <c r="G113" s="97">
        <v>0</v>
      </c>
      <c r="H113" s="97">
        <v>0</v>
      </c>
      <c r="I113" s="98">
        <f t="shared" si="11"/>
        <v>0</v>
      </c>
      <c r="J113" s="97">
        <v>0</v>
      </c>
      <c r="K113" s="96">
        <f t="shared" si="17"/>
        <v>189</v>
      </c>
      <c r="L113" s="80">
        <f t="shared" si="18"/>
        <v>0</v>
      </c>
      <c r="M113" s="80">
        <f t="shared" si="19"/>
        <v>0</v>
      </c>
      <c r="N113" s="80">
        <f t="shared" si="20"/>
        <v>1</v>
      </c>
      <c r="O113" s="80">
        <f t="shared" si="21"/>
        <v>1</v>
      </c>
      <c r="P113" s="95"/>
    </row>
    <row r="114" spans="1:16" ht="15" customHeight="1" x14ac:dyDescent="0.3">
      <c r="A114" s="58">
        <v>59</v>
      </c>
      <c r="B114" s="151" t="s">
        <v>565</v>
      </c>
      <c r="C114" s="151"/>
      <c r="D114" s="92">
        <v>11</v>
      </c>
      <c r="E114" s="92">
        <v>16</v>
      </c>
      <c r="F114" s="92">
        <v>0</v>
      </c>
      <c r="G114" s="92">
        <v>0</v>
      </c>
      <c r="H114" s="92">
        <v>0</v>
      </c>
      <c r="I114" s="98">
        <f t="shared" si="11"/>
        <v>0</v>
      </c>
      <c r="J114" s="97">
        <v>0</v>
      </c>
      <c r="K114" s="96">
        <f t="shared" si="17"/>
        <v>16</v>
      </c>
      <c r="L114" s="80">
        <f t="shared" si="18"/>
        <v>0</v>
      </c>
      <c r="M114" s="80">
        <f t="shared" si="19"/>
        <v>0</v>
      </c>
      <c r="N114" s="80">
        <f t="shared" si="20"/>
        <v>1</v>
      </c>
      <c r="O114" s="80">
        <f t="shared" si="21"/>
        <v>1</v>
      </c>
      <c r="P114" s="95"/>
    </row>
    <row r="115" spans="1:16" ht="18.75" customHeight="1" x14ac:dyDescent="0.3">
      <c r="A115" s="58">
        <v>60</v>
      </c>
      <c r="B115" s="151" t="s">
        <v>566</v>
      </c>
      <c r="C115" s="151"/>
      <c r="D115" s="92">
        <v>701</v>
      </c>
      <c r="E115" s="92">
        <v>447</v>
      </c>
      <c r="F115" s="92">
        <v>0</v>
      </c>
      <c r="G115" s="92">
        <v>0</v>
      </c>
      <c r="H115" s="92">
        <v>0</v>
      </c>
      <c r="I115" s="98">
        <f t="shared" si="11"/>
        <v>0</v>
      </c>
      <c r="J115" s="97">
        <v>0</v>
      </c>
      <c r="K115" s="96">
        <f t="shared" si="17"/>
        <v>447</v>
      </c>
      <c r="L115" s="80">
        <f t="shared" si="18"/>
        <v>0</v>
      </c>
      <c r="M115" s="80">
        <f t="shared" si="19"/>
        <v>0</v>
      </c>
      <c r="N115" s="80">
        <f t="shared" si="20"/>
        <v>1</v>
      </c>
      <c r="O115" s="80">
        <f t="shared" si="21"/>
        <v>1</v>
      </c>
      <c r="P115" s="95"/>
    </row>
    <row r="116" spans="1:16" ht="15" customHeight="1" x14ac:dyDescent="0.3">
      <c r="A116" s="58">
        <v>61</v>
      </c>
      <c r="B116" s="151" t="s">
        <v>567</v>
      </c>
      <c r="C116" s="151"/>
      <c r="D116" s="92">
        <v>164</v>
      </c>
      <c r="E116" s="92">
        <v>229</v>
      </c>
      <c r="F116" s="92">
        <v>0</v>
      </c>
      <c r="G116" s="92">
        <v>0</v>
      </c>
      <c r="H116" s="92">
        <v>0</v>
      </c>
      <c r="I116" s="98">
        <f t="shared" si="11"/>
        <v>0</v>
      </c>
      <c r="J116" s="97">
        <v>0</v>
      </c>
      <c r="K116" s="96">
        <f t="shared" si="17"/>
        <v>229</v>
      </c>
      <c r="L116" s="80">
        <f t="shared" si="18"/>
        <v>0</v>
      </c>
      <c r="M116" s="80">
        <f t="shared" si="19"/>
        <v>0</v>
      </c>
      <c r="N116" s="80">
        <f t="shared" si="20"/>
        <v>1</v>
      </c>
      <c r="O116" s="80">
        <f t="shared" si="21"/>
        <v>1</v>
      </c>
      <c r="P116" s="95"/>
    </row>
    <row r="117" spans="1:16" ht="15" customHeight="1" x14ac:dyDescent="0.3">
      <c r="A117" s="58">
        <v>62</v>
      </c>
      <c r="B117" s="151" t="s">
        <v>568</v>
      </c>
      <c r="C117" s="151"/>
      <c r="D117" s="92">
        <v>1</v>
      </c>
      <c r="E117" s="92">
        <v>1</v>
      </c>
      <c r="F117" s="92">
        <v>0</v>
      </c>
      <c r="G117" s="92">
        <v>0</v>
      </c>
      <c r="H117" s="92">
        <v>0</v>
      </c>
      <c r="I117" s="98">
        <f t="shared" si="11"/>
        <v>0</v>
      </c>
      <c r="J117" s="97">
        <v>0</v>
      </c>
      <c r="K117" s="96">
        <f t="shared" si="17"/>
        <v>1</v>
      </c>
      <c r="L117" s="80">
        <f t="shared" si="18"/>
        <v>0</v>
      </c>
      <c r="M117" s="80">
        <f t="shared" si="19"/>
        <v>0</v>
      </c>
      <c r="N117" s="80">
        <f t="shared" si="20"/>
        <v>1</v>
      </c>
      <c r="O117" s="80">
        <f t="shared" si="21"/>
        <v>1</v>
      </c>
      <c r="P117" s="95"/>
    </row>
    <row r="118" spans="1:16" ht="15" customHeight="1" x14ac:dyDescent="0.3">
      <c r="A118" s="58">
        <v>63</v>
      </c>
      <c r="B118" s="151" t="s">
        <v>569</v>
      </c>
      <c r="C118" s="151"/>
      <c r="D118" s="92">
        <v>20</v>
      </c>
      <c r="E118" s="92">
        <v>22</v>
      </c>
      <c r="F118" s="92">
        <v>0</v>
      </c>
      <c r="G118" s="92">
        <v>0</v>
      </c>
      <c r="H118" s="92">
        <v>0</v>
      </c>
      <c r="I118" s="98">
        <f t="shared" si="11"/>
        <v>0</v>
      </c>
      <c r="J118" s="97">
        <v>0</v>
      </c>
      <c r="K118" s="96">
        <f t="shared" si="17"/>
        <v>22</v>
      </c>
      <c r="L118" s="80">
        <f t="shared" si="18"/>
        <v>0</v>
      </c>
      <c r="M118" s="80">
        <f t="shared" si="19"/>
        <v>0</v>
      </c>
      <c r="N118" s="80">
        <f t="shared" si="20"/>
        <v>1</v>
      </c>
      <c r="O118" s="80">
        <f t="shared" si="21"/>
        <v>1</v>
      </c>
      <c r="P118" s="95"/>
    </row>
    <row r="119" spans="1:16" ht="15" customHeight="1" x14ac:dyDescent="0.3">
      <c r="A119" s="58">
        <v>64</v>
      </c>
      <c r="B119" s="151" t="s">
        <v>570</v>
      </c>
      <c r="C119" s="151"/>
      <c r="D119" s="92">
        <v>169</v>
      </c>
      <c r="E119" s="92">
        <v>381</v>
      </c>
      <c r="F119" s="97">
        <v>0</v>
      </c>
      <c r="G119" s="97">
        <v>0</v>
      </c>
      <c r="H119" s="97">
        <v>0</v>
      </c>
      <c r="I119" s="98">
        <f t="shared" si="11"/>
        <v>0</v>
      </c>
      <c r="J119" s="97">
        <v>0</v>
      </c>
      <c r="K119" s="96">
        <f t="shared" si="17"/>
        <v>381</v>
      </c>
      <c r="L119" s="80">
        <f t="shared" si="18"/>
        <v>0</v>
      </c>
      <c r="M119" s="80">
        <f t="shared" si="19"/>
        <v>0</v>
      </c>
      <c r="N119" s="80">
        <f t="shared" si="20"/>
        <v>1</v>
      </c>
      <c r="O119" s="80">
        <f t="shared" si="21"/>
        <v>1</v>
      </c>
      <c r="P119" s="95"/>
    </row>
    <row r="120" spans="1:16" ht="15" customHeight="1" x14ac:dyDescent="0.3">
      <c r="A120" s="58">
        <v>65</v>
      </c>
      <c r="B120" s="151" t="s">
        <v>571</v>
      </c>
      <c r="C120" s="151"/>
      <c r="D120" s="92">
        <v>1836</v>
      </c>
      <c r="E120" s="92">
        <v>1983</v>
      </c>
      <c r="F120" s="92">
        <v>0</v>
      </c>
      <c r="G120" s="92">
        <v>0</v>
      </c>
      <c r="H120" s="92">
        <v>0</v>
      </c>
      <c r="I120" s="98">
        <f t="shared" ref="I120:I151" si="22">SUM(F120:H120)</f>
        <v>0</v>
      </c>
      <c r="J120" s="97">
        <v>0</v>
      </c>
      <c r="K120" s="96">
        <f t="shared" si="17"/>
        <v>1983</v>
      </c>
      <c r="L120" s="80">
        <f t="shared" si="18"/>
        <v>0</v>
      </c>
      <c r="M120" s="80">
        <f t="shared" si="19"/>
        <v>0</v>
      </c>
      <c r="N120" s="80">
        <f t="shared" si="20"/>
        <v>1</v>
      </c>
      <c r="O120" s="80">
        <f t="shared" si="21"/>
        <v>1</v>
      </c>
      <c r="P120" s="95"/>
    </row>
    <row r="121" spans="1:16" ht="15" customHeight="1" x14ac:dyDescent="0.3">
      <c r="A121" s="58">
        <v>66</v>
      </c>
      <c r="B121" s="151" t="s">
        <v>572</v>
      </c>
      <c r="C121" s="151"/>
      <c r="D121" s="92">
        <v>5</v>
      </c>
      <c r="E121" s="92">
        <v>5</v>
      </c>
      <c r="F121" s="92">
        <v>0</v>
      </c>
      <c r="G121" s="92">
        <v>0</v>
      </c>
      <c r="H121" s="92">
        <v>0</v>
      </c>
      <c r="I121" s="98">
        <f t="shared" si="22"/>
        <v>0</v>
      </c>
      <c r="J121" s="97">
        <v>0</v>
      </c>
      <c r="K121" s="96">
        <f t="shared" si="17"/>
        <v>5</v>
      </c>
      <c r="L121" s="80">
        <f t="shared" si="18"/>
        <v>0</v>
      </c>
      <c r="M121" s="80">
        <f t="shared" si="19"/>
        <v>0</v>
      </c>
      <c r="N121" s="80">
        <f t="shared" si="20"/>
        <v>1</v>
      </c>
      <c r="O121" s="80">
        <f t="shared" si="21"/>
        <v>1</v>
      </c>
      <c r="P121" s="95"/>
    </row>
    <row r="122" spans="1:16" ht="15" customHeight="1" x14ac:dyDescent="0.3">
      <c r="A122" s="58">
        <v>67</v>
      </c>
      <c r="B122" s="150" t="s">
        <v>573</v>
      </c>
      <c r="C122" s="150"/>
      <c r="D122" s="92">
        <v>146</v>
      </c>
      <c r="E122" s="92">
        <v>142</v>
      </c>
      <c r="F122" s="92">
        <v>0</v>
      </c>
      <c r="G122" s="92">
        <v>0</v>
      </c>
      <c r="H122" s="92">
        <v>0</v>
      </c>
      <c r="I122" s="98">
        <f t="shared" si="22"/>
        <v>0</v>
      </c>
      <c r="J122" s="97">
        <v>0</v>
      </c>
      <c r="K122" s="96">
        <f t="shared" si="17"/>
        <v>142</v>
      </c>
      <c r="L122" s="80">
        <f t="shared" si="18"/>
        <v>0</v>
      </c>
      <c r="M122" s="80">
        <f t="shared" si="19"/>
        <v>0</v>
      </c>
      <c r="N122" s="80">
        <f t="shared" si="20"/>
        <v>1</v>
      </c>
      <c r="O122" s="80">
        <f t="shared" si="21"/>
        <v>1</v>
      </c>
      <c r="P122" s="95"/>
    </row>
    <row r="123" spans="1:16" ht="15" customHeight="1" x14ac:dyDescent="0.3">
      <c r="A123" s="58">
        <v>68</v>
      </c>
      <c r="B123" s="150" t="s">
        <v>574</v>
      </c>
      <c r="C123" s="150"/>
      <c r="D123" s="92">
        <v>91</v>
      </c>
      <c r="E123" s="92">
        <v>118</v>
      </c>
      <c r="F123" s="92">
        <v>0</v>
      </c>
      <c r="G123" s="92">
        <v>0</v>
      </c>
      <c r="H123" s="92">
        <v>0</v>
      </c>
      <c r="I123" s="98">
        <f t="shared" si="22"/>
        <v>0</v>
      </c>
      <c r="J123" s="97">
        <v>0</v>
      </c>
      <c r="K123" s="96">
        <f t="shared" si="17"/>
        <v>118</v>
      </c>
      <c r="L123" s="80">
        <f t="shared" si="18"/>
        <v>0</v>
      </c>
      <c r="M123" s="80">
        <f t="shared" si="19"/>
        <v>0</v>
      </c>
      <c r="N123" s="80">
        <f t="shared" si="20"/>
        <v>1</v>
      </c>
      <c r="O123" s="80">
        <f t="shared" si="21"/>
        <v>1</v>
      </c>
      <c r="P123" s="95"/>
    </row>
    <row r="124" spans="1:16" ht="15" customHeight="1" x14ac:dyDescent="0.3">
      <c r="A124" s="58">
        <v>69</v>
      </c>
      <c r="B124" s="150" t="s">
        <v>575</v>
      </c>
      <c r="C124" s="150"/>
      <c r="D124" s="92">
        <v>131</v>
      </c>
      <c r="E124" s="92">
        <v>81</v>
      </c>
      <c r="F124" s="92">
        <v>0</v>
      </c>
      <c r="G124" s="92">
        <v>0</v>
      </c>
      <c r="H124" s="92">
        <v>0</v>
      </c>
      <c r="I124" s="98">
        <f t="shared" si="22"/>
        <v>0</v>
      </c>
      <c r="J124" s="97">
        <v>0</v>
      </c>
      <c r="K124" s="96">
        <f t="shared" si="17"/>
        <v>81</v>
      </c>
      <c r="L124" s="80">
        <f t="shared" si="18"/>
        <v>0</v>
      </c>
      <c r="M124" s="80">
        <f t="shared" si="19"/>
        <v>0</v>
      </c>
      <c r="N124" s="80">
        <f t="shared" si="20"/>
        <v>1</v>
      </c>
      <c r="O124" s="80">
        <f t="shared" si="21"/>
        <v>1</v>
      </c>
      <c r="P124" s="95"/>
    </row>
    <row r="125" spans="1:16" ht="15" customHeight="1" x14ac:dyDescent="0.3">
      <c r="A125" s="58">
        <v>70</v>
      </c>
      <c r="B125" s="150" t="s">
        <v>576</v>
      </c>
      <c r="C125" s="150"/>
      <c r="D125" s="92">
        <v>0</v>
      </c>
      <c r="E125" s="92">
        <v>0</v>
      </c>
      <c r="F125" s="92">
        <v>0</v>
      </c>
      <c r="G125" s="92">
        <v>0</v>
      </c>
      <c r="H125" s="92">
        <v>0</v>
      </c>
      <c r="I125" s="98">
        <f t="shared" si="22"/>
        <v>0</v>
      </c>
      <c r="J125" s="97">
        <v>0</v>
      </c>
      <c r="K125" s="96">
        <f t="shared" si="17"/>
        <v>0</v>
      </c>
      <c r="L125" s="80" t="str">
        <f t="shared" si="18"/>
        <v>-</v>
      </c>
      <c r="M125" s="80" t="str">
        <f t="shared" si="19"/>
        <v>-</v>
      </c>
      <c r="N125" s="80" t="str">
        <f t="shared" si="20"/>
        <v>-</v>
      </c>
      <c r="O125" s="80" t="str">
        <f t="shared" si="21"/>
        <v>-</v>
      </c>
      <c r="P125" s="95"/>
    </row>
    <row r="126" spans="1:16" ht="15" customHeight="1" x14ac:dyDescent="0.3">
      <c r="A126" s="58">
        <v>71</v>
      </c>
      <c r="B126" s="150" t="s">
        <v>577</v>
      </c>
      <c r="C126" s="150"/>
      <c r="D126" s="92">
        <v>276</v>
      </c>
      <c r="E126" s="92">
        <v>373</v>
      </c>
      <c r="F126" s="92">
        <v>4</v>
      </c>
      <c r="G126" s="92">
        <v>0</v>
      </c>
      <c r="H126" s="92">
        <v>0</v>
      </c>
      <c r="I126" s="98">
        <f t="shared" si="22"/>
        <v>4</v>
      </c>
      <c r="J126" s="97">
        <v>0</v>
      </c>
      <c r="K126" s="96">
        <f t="shared" si="17"/>
        <v>369</v>
      </c>
      <c r="L126" s="80">
        <f t="shared" si="18"/>
        <v>1.0723860589812333E-2</v>
      </c>
      <c r="M126" s="80">
        <f t="shared" si="19"/>
        <v>0</v>
      </c>
      <c r="N126" s="80">
        <f t="shared" si="20"/>
        <v>0.98927613941018766</v>
      </c>
      <c r="O126" s="80">
        <f t="shared" si="21"/>
        <v>0.98927613941018766</v>
      </c>
      <c r="P126" s="95"/>
    </row>
    <row r="127" spans="1:16" ht="15" customHeight="1" x14ac:dyDescent="0.3">
      <c r="A127" s="58">
        <v>72</v>
      </c>
      <c r="B127" s="150" t="s">
        <v>578</v>
      </c>
      <c r="C127" s="150"/>
      <c r="D127" s="92">
        <v>16</v>
      </c>
      <c r="E127" s="92">
        <v>11</v>
      </c>
      <c r="F127" s="92">
        <v>0</v>
      </c>
      <c r="G127" s="92">
        <v>0</v>
      </c>
      <c r="H127" s="92">
        <v>0</v>
      </c>
      <c r="I127" s="98">
        <f t="shared" si="22"/>
        <v>0</v>
      </c>
      <c r="J127" s="97">
        <v>0</v>
      </c>
      <c r="K127" s="96">
        <f t="shared" si="17"/>
        <v>11</v>
      </c>
      <c r="L127" s="80">
        <f t="shared" si="18"/>
        <v>0</v>
      </c>
      <c r="M127" s="80">
        <f t="shared" si="19"/>
        <v>0</v>
      </c>
      <c r="N127" s="80">
        <f t="shared" si="20"/>
        <v>1</v>
      </c>
      <c r="O127" s="80">
        <f t="shared" si="21"/>
        <v>1</v>
      </c>
      <c r="P127" s="95"/>
    </row>
    <row r="128" spans="1:16" ht="15" customHeight="1" x14ac:dyDescent="0.3">
      <c r="A128" s="58">
        <v>73</v>
      </c>
      <c r="B128" s="150" t="s">
        <v>579</v>
      </c>
      <c r="C128" s="150"/>
      <c r="D128" s="92">
        <v>459</v>
      </c>
      <c r="E128" s="92">
        <v>530</v>
      </c>
      <c r="F128" s="92">
        <v>0</v>
      </c>
      <c r="G128" s="92">
        <v>0</v>
      </c>
      <c r="H128" s="92">
        <v>0</v>
      </c>
      <c r="I128" s="98">
        <f t="shared" si="22"/>
        <v>0</v>
      </c>
      <c r="J128" s="97">
        <v>0</v>
      </c>
      <c r="K128" s="96">
        <f t="shared" si="17"/>
        <v>530</v>
      </c>
      <c r="L128" s="80">
        <f t="shared" si="18"/>
        <v>0</v>
      </c>
      <c r="M128" s="80">
        <f t="shared" si="19"/>
        <v>0</v>
      </c>
      <c r="N128" s="80">
        <f t="shared" si="20"/>
        <v>1</v>
      </c>
      <c r="O128" s="80">
        <f t="shared" si="21"/>
        <v>1</v>
      </c>
      <c r="P128" s="95"/>
    </row>
    <row r="129" spans="1:16" ht="15" customHeight="1" x14ac:dyDescent="0.3">
      <c r="A129" s="58">
        <v>74</v>
      </c>
      <c r="B129" s="150" t="s">
        <v>580</v>
      </c>
      <c r="C129" s="150"/>
      <c r="D129" s="92">
        <v>977</v>
      </c>
      <c r="E129" s="92">
        <v>1049</v>
      </c>
      <c r="F129" s="92">
        <v>0</v>
      </c>
      <c r="G129" s="92">
        <v>0</v>
      </c>
      <c r="H129" s="92">
        <v>0</v>
      </c>
      <c r="I129" s="98">
        <f t="shared" si="22"/>
        <v>0</v>
      </c>
      <c r="J129" s="97">
        <v>0</v>
      </c>
      <c r="K129" s="96">
        <f t="shared" si="17"/>
        <v>1049</v>
      </c>
      <c r="L129" s="80">
        <f t="shared" si="18"/>
        <v>0</v>
      </c>
      <c r="M129" s="80">
        <f t="shared" si="19"/>
        <v>0</v>
      </c>
      <c r="N129" s="80">
        <f t="shared" si="20"/>
        <v>1</v>
      </c>
      <c r="O129" s="80">
        <f t="shared" si="21"/>
        <v>1</v>
      </c>
      <c r="P129" s="95"/>
    </row>
    <row r="130" spans="1:16" ht="15" customHeight="1" x14ac:dyDescent="0.3">
      <c r="A130" s="58">
        <v>75</v>
      </c>
      <c r="B130" s="150" t="s">
        <v>581</v>
      </c>
      <c r="C130" s="150"/>
      <c r="D130" s="92">
        <v>2018</v>
      </c>
      <c r="E130" s="92">
        <v>1958</v>
      </c>
      <c r="F130" s="92">
        <v>0</v>
      </c>
      <c r="G130" s="92">
        <v>0</v>
      </c>
      <c r="H130" s="92">
        <v>0</v>
      </c>
      <c r="I130" s="98">
        <f t="shared" si="22"/>
        <v>0</v>
      </c>
      <c r="J130" s="97">
        <v>0</v>
      </c>
      <c r="K130" s="96">
        <f t="shared" si="17"/>
        <v>1958</v>
      </c>
      <c r="L130" s="80">
        <f t="shared" si="18"/>
        <v>0</v>
      </c>
      <c r="M130" s="80">
        <f t="shared" si="19"/>
        <v>0</v>
      </c>
      <c r="N130" s="80">
        <f t="shared" si="20"/>
        <v>1</v>
      </c>
      <c r="O130" s="80">
        <f t="shared" si="21"/>
        <v>1</v>
      </c>
      <c r="P130" s="95"/>
    </row>
    <row r="131" spans="1:16" ht="15" customHeight="1" x14ac:dyDescent="0.3">
      <c r="A131" s="58">
        <v>76</v>
      </c>
      <c r="B131" s="150" t="s">
        <v>582</v>
      </c>
      <c r="C131" s="150"/>
      <c r="D131" s="92">
        <v>54</v>
      </c>
      <c r="E131" s="92">
        <v>18</v>
      </c>
      <c r="F131" s="92">
        <v>0</v>
      </c>
      <c r="G131" s="92">
        <v>0</v>
      </c>
      <c r="H131" s="92">
        <v>0</v>
      </c>
      <c r="I131" s="98">
        <f t="shared" si="22"/>
        <v>0</v>
      </c>
      <c r="J131" s="97">
        <v>0</v>
      </c>
      <c r="K131" s="96">
        <f t="shared" si="17"/>
        <v>18</v>
      </c>
      <c r="L131" s="80">
        <f t="shared" si="18"/>
        <v>0</v>
      </c>
      <c r="M131" s="80">
        <f t="shared" si="19"/>
        <v>0</v>
      </c>
      <c r="N131" s="80">
        <f t="shared" si="20"/>
        <v>1</v>
      </c>
      <c r="O131" s="80">
        <f t="shared" si="21"/>
        <v>1</v>
      </c>
      <c r="P131" s="95"/>
    </row>
    <row r="132" spans="1:16" ht="15" customHeight="1" x14ac:dyDescent="0.3">
      <c r="A132" s="58">
        <v>77</v>
      </c>
      <c r="B132" s="150" t="s">
        <v>583</v>
      </c>
      <c r="C132" s="150"/>
      <c r="D132" s="92">
        <v>10</v>
      </c>
      <c r="E132" s="92">
        <v>9</v>
      </c>
      <c r="F132" s="92">
        <v>0</v>
      </c>
      <c r="G132" s="92">
        <v>0</v>
      </c>
      <c r="H132" s="92">
        <v>0</v>
      </c>
      <c r="I132" s="98">
        <f t="shared" si="22"/>
        <v>0</v>
      </c>
      <c r="J132" s="97">
        <v>0</v>
      </c>
      <c r="K132" s="96">
        <f t="shared" si="17"/>
        <v>9</v>
      </c>
      <c r="L132" s="80">
        <f t="shared" si="18"/>
        <v>0</v>
      </c>
      <c r="M132" s="80">
        <f t="shared" si="19"/>
        <v>0</v>
      </c>
      <c r="N132" s="80">
        <f t="shared" si="20"/>
        <v>1</v>
      </c>
      <c r="O132" s="80">
        <f t="shared" si="21"/>
        <v>1</v>
      </c>
      <c r="P132" s="95"/>
    </row>
    <row r="133" spans="1:16" ht="15" customHeight="1" x14ac:dyDescent="0.3">
      <c r="A133" s="58">
        <v>78</v>
      </c>
      <c r="B133" s="150" t="s">
        <v>584</v>
      </c>
      <c r="C133" s="150"/>
      <c r="D133" s="92">
        <v>0</v>
      </c>
      <c r="E133" s="92">
        <v>0</v>
      </c>
      <c r="F133" s="92">
        <v>0</v>
      </c>
      <c r="G133" s="92">
        <v>0</v>
      </c>
      <c r="H133" s="92">
        <v>0</v>
      </c>
      <c r="I133" s="98">
        <f t="shared" si="22"/>
        <v>0</v>
      </c>
      <c r="J133" s="97">
        <v>0</v>
      </c>
      <c r="K133" s="96">
        <f t="shared" si="17"/>
        <v>0</v>
      </c>
      <c r="L133" s="80" t="str">
        <f t="shared" si="18"/>
        <v>-</v>
      </c>
      <c r="M133" s="80" t="str">
        <f t="shared" si="19"/>
        <v>-</v>
      </c>
      <c r="N133" s="80" t="str">
        <f t="shared" si="20"/>
        <v>-</v>
      </c>
      <c r="O133" s="80" t="str">
        <f t="shared" si="21"/>
        <v>-</v>
      </c>
      <c r="P133" s="95"/>
    </row>
    <row r="134" spans="1:16" ht="15" customHeight="1" x14ac:dyDescent="0.3">
      <c r="A134" s="58">
        <v>79</v>
      </c>
      <c r="B134" s="150" t="s">
        <v>585</v>
      </c>
      <c r="C134" s="150"/>
      <c r="D134" s="92">
        <v>0</v>
      </c>
      <c r="E134" s="92">
        <v>0</v>
      </c>
      <c r="F134" s="92">
        <v>0</v>
      </c>
      <c r="G134" s="92">
        <v>0</v>
      </c>
      <c r="H134" s="92">
        <v>0</v>
      </c>
      <c r="I134" s="98">
        <f t="shared" si="22"/>
        <v>0</v>
      </c>
      <c r="J134" s="97">
        <v>0</v>
      </c>
      <c r="K134" s="96">
        <f t="shared" si="17"/>
        <v>0</v>
      </c>
      <c r="L134" s="80" t="str">
        <f t="shared" si="18"/>
        <v>-</v>
      </c>
      <c r="M134" s="80" t="str">
        <f t="shared" si="19"/>
        <v>-</v>
      </c>
      <c r="N134" s="80" t="str">
        <f t="shared" si="20"/>
        <v>-</v>
      </c>
      <c r="O134" s="80" t="str">
        <f t="shared" si="21"/>
        <v>-</v>
      </c>
      <c r="P134" s="95"/>
    </row>
    <row r="135" spans="1:16" ht="15" customHeight="1" x14ac:dyDescent="0.3">
      <c r="A135" s="58">
        <v>80</v>
      </c>
      <c r="B135" s="150" t="s">
        <v>586</v>
      </c>
      <c r="C135" s="150"/>
      <c r="D135" s="92">
        <v>502</v>
      </c>
      <c r="E135" s="92">
        <v>407</v>
      </c>
      <c r="F135" s="92">
        <v>0</v>
      </c>
      <c r="G135" s="92">
        <v>0</v>
      </c>
      <c r="H135" s="92">
        <v>0</v>
      </c>
      <c r="I135" s="98">
        <f t="shared" si="22"/>
        <v>0</v>
      </c>
      <c r="J135" s="97">
        <v>0</v>
      </c>
      <c r="K135" s="96">
        <f t="shared" si="17"/>
        <v>407</v>
      </c>
      <c r="L135" s="80">
        <f t="shared" si="18"/>
        <v>0</v>
      </c>
      <c r="M135" s="80">
        <f t="shared" si="19"/>
        <v>0</v>
      </c>
      <c r="N135" s="80">
        <f t="shared" si="20"/>
        <v>1</v>
      </c>
      <c r="O135" s="80">
        <f t="shared" si="21"/>
        <v>1</v>
      </c>
      <c r="P135" s="95"/>
    </row>
    <row r="136" spans="1:16" ht="15" x14ac:dyDescent="0.3">
      <c r="A136" s="58">
        <v>81</v>
      </c>
      <c r="B136" s="150" t="s">
        <v>587</v>
      </c>
      <c r="C136" s="150"/>
      <c r="D136" s="92">
        <v>221</v>
      </c>
      <c r="E136" s="92">
        <v>196</v>
      </c>
      <c r="F136" s="92">
        <v>0</v>
      </c>
      <c r="G136" s="92">
        <v>0</v>
      </c>
      <c r="H136" s="92">
        <v>0</v>
      </c>
      <c r="I136" s="98">
        <f t="shared" si="22"/>
        <v>0</v>
      </c>
      <c r="J136" s="97">
        <v>0</v>
      </c>
      <c r="K136" s="96">
        <f t="shared" si="17"/>
        <v>196</v>
      </c>
      <c r="L136" s="80">
        <f t="shared" si="18"/>
        <v>0</v>
      </c>
      <c r="M136" s="80">
        <f t="shared" si="19"/>
        <v>0</v>
      </c>
      <c r="N136" s="80">
        <f t="shared" si="20"/>
        <v>1</v>
      </c>
      <c r="O136" s="80">
        <f t="shared" si="21"/>
        <v>1</v>
      </c>
      <c r="P136" s="95"/>
    </row>
    <row r="137" spans="1:16" ht="15" customHeight="1" x14ac:dyDescent="0.3">
      <c r="A137" s="58">
        <v>82</v>
      </c>
      <c r="B137" s="150" t="s">
        <v>588</v>
      </c>
      <c r="C137" s="150"/>
      <c r="D137" s="92">
        <v>149</v>
      </c>
      <c r="E137" s="92">
        <v>74</v>
      </c>
      <c r="F137" s="92">
        <v>0</v>
      </c>
      <c r="G137" s="92">
        <v>0</v>
      </c>
      <c r="H137" s="92">
        <v>0</v>
      </c>
      <c r="I137" s="98">
        <f t="shared" si="22"/>
        <v>0</v>
      </c>
      <c r="J137" s="97">
        <v>0</v>
      </c>
      <c r="K137" s="96">
        <f t="shared" si="17"/>
        <v>74</v>
      </c>
      <c r="L137" s="80">
        <f t="shared" si="18"/>
        <v>0</v>
      </c>
      <c r="M137" s="80">
        <f t="shared" si="19"/>
        <v>0</v>
      </c>
      <c r="N137" s="80">
        <f t="shared" si="20"/>
        <v>1</v>
      </c>
      <c r="O137" s="80">
        <f t="shared" si="21"/>
        <v>1</v>
      </c>
      <c r="P137" s="95"/>
    </row>
    <row r="138" spans="1:16" ht="15" customHeight="1" x14ac:dyDescent="0.3">
      <c r="A138" s="58">
        <v>83</v>
      </c>
      <c r="B138" s="150" t="s">
        <v>589</v>
      </c>
      <c r="C138" s="150"/>
      <c r="D138" s="92">
        <v>0</v>
      </c>
      <c r="E138" s="92">
        <v>7</v>
      </c>
      <c r="F138" s="92">
        <v>0</v>
      </c>
      <c r="G138" s="92">
        <v>0</v>
      </c>
      <c r="H138" s="92">
        <v>0</v>
      </c>
      <c r="I138" s="98">
        <f t="shared" si="22"/>
        <v>0</v>
      </c>
      <c r="J138" s="97">
        <v>0</v>
      </c>
      <c r="K138" s="96">
        <f t="shared" si="17"/>
        <v>7</v>
      </c>
      <c r="L138" s="80">
        <f t="shared" si="18"/>
        <v>0</v>
      </c>
      <c r="M138" s="80">
        <f t="shared" si="19"/>
        <v>0</v>
      </c>
      <c r="N138" s="80">
        <f t="shared" si="20"/>
        <v>1</v>
      </c>
      <c r="O138" s="80">
        <f t="shared" si="21"/>
        <v>1</v>
      </c>
      <c r="P138" s="95"/>
    </row>
    <row r="139" spans="1:16" ht="15" customHeight="1" x14ac:dyDescent="0.3">
      <c r="A139" s="58">
        <v>84</v>
      </c>
      <c r="B139" s="150" t="s">
        <v>590</v>
      </c>
      <c r="C139" s="150"/>
      <c r="D139" s="92">
        <v>10</v>
      </c>
      <c r="E139" s="92">
        <v>5</v>
      </c>
      <c r="F139" s="92">
        <v>0</v>
      </c>
      <c r="G139" s="92">
        <v>0</v>
      </c>
      <c r="H139" s="92">
        <v>0</v>
      </c>
      <c r="I139" s="98">
        <f t="shared" si="22"/>
        <v>0</v>
      </c>
      <c r="J139" s="97">
        <v>0</v>
      </c>
      <c r="K139" s="96">
        <f t="shared" si="17"/>
        <v>5</v>
      </c>
      <c r="L139" s="80">
        <f t="shared" si="18"/>
        <v>0</v>
      </c>
      <c r="M139" s="80">
        <f t="shared" si="19"/>
        <v>0</v>
      </c>
      <c r="N139" s="80">
        <f t="shared" si="20"/>
        <v>1</v>
      </c>
      <c r="O139" s="80">
        <f t="shared" si="21"/>
        <v>1</v>
      </c>
      <c r="P139" s="95"/>
    </row>
    <row r="140" spans="1:16" ht="15" customHeight="1" x14ac:dyDescent="0.3">
      <c r="A140" s="58">
        <v>85</v>
      </c>
      <c r="B140" s="150" t="s">
        <v>591</v>
      </c>
      <c r="C140" s="150"/>
      <c r="D140" s="92">
        <v>0</v>
      </c>
      <c r="E140" s="92">
        <v>0</v>
      </c>
      <c r="F140" s="92">
        <v>0</v>
      </c>
      <c r="G140" s="92">
        <v>0</v>
      </c>
      <c r="H140" s="92">
        <v>0</v>
      </c>
      <c r="I140" s="98">
        <f t="shared" si="22"/>
        <v>0</v>
      </c>
      <c r="J140" s="97">
        <v>0</v>
      </c>
      <c r="K140" s="96">
        <f t="shared" ref="K140:K169" si="23">SUM(E140-I140)</f>
        <v>0</v>
      </c>
      <c r="L140" s="80" t="str">
        <f t="shared" ref="L140:L169" si="24">IF(E140=0,"-",(I140/E140))</f>
        <v>-</v>
      </c>
      <c r="M140" s="80" t="str">
        <f t="shared" ref="M140:M169" si="25">IF(E140=0,"-",(J140/E140))</f>
        <v>-</v>
      </c>
      <c r="N140" s="80" t="str">
        <f t="shared" ref="N140:N169" si="26">IF(E140=0,"-",(K140/E140))</f>
        <v>-</v>
      </c>
      <c r="O140" s="80" t="str">
        <f t="shared" ref="O140:O169" si="27">IF(E140=0,"-",(M140+N140))</f>
        <v>-</v>
      </c>
      <c r="P140" s="95"/>
    </row>
    <row r="141" spans="1:16" ht="15" customHeight="1" x14ac:dyDescent="0.3">
      <c r="A141" s="58">
        <v>86</v>
      </c>
      <c r="B141" s="150" t="s">
        <v>592</v>
      </c>
      <c r="C141" s="150"/>
      <c r="D141" s="92">
        <v>30</v>
      </c>
      <c r="E141" s="92">
        <v>27</v>
      </c>
      <c r="F141" s="92">
        <v>0</v>
      </c>
      <c r="G141" s="92">
        <v>0</v>
      </c>
      <c r="H141" s="92">
        <v>0</v>
      </c>
      <c r="I141" s="98">
        <f t="shared" si="22"/>
        <v>0</v>
      </c>
      <c r="J141" s="97">
        <v>0</v>
      </c>
      <c r="K141" s="96">
        <f t="shared" si="23"/>
        <v>27</v>
      </c>
      <c r="L141" s="80">
        <f t="shared" si="24"/>
        <v>0</v>
      </c>
      <c r="M141" s="80">
        <f t="shared" si="25"/>
        <v>0</v>
      </c>
      <c r="N141" s="80">
        <f t="shared" si="26"/>
        <v>1</v>
      </c>
      <c r="O141" s="80">
        <f t="shared" si="27"/>
        <v>1</v>
      </c>
      <c r="P141" s="95"/>
    </row>
    <row r="142" spans="1:16" s="100" customFormat="1" ht="30" customHeight="1" x14ac:dyDescent="0.3">
      <c r="A142" s="58">
        <v>87</v>
      </c>
      <c r="B142" s="150" t="s">
        <v>593</v>
      </c>
      <c r="C142" s="150"/>
      <c r="D142" s="92">
        <v>67</v>
      </c>
      <c r="E142" s="92">
        <v>17</v>
      </c>
      <c r="F142" s="92">
        <v>0</v>
      </c>
      <c r="G142" s="92">
        <v>0</v>
      </c>
      <c r="H142" s="92">
        <v>0</v>
      </c>
      <c r="I142" s="98">
        <f t="shared" si="22"/>
        <v>0</v>
      </c>
      <c r="J142" s="97">
        <v>0</v>
      </c>
      <c r="K142" s="96">
        <f t="shared" si="23"/>
        <v>17</v>
      </c>
      <c r="L142" s="80">
        <f t="shared" si="24"/>
        <v>0</v>
      </c>
      <c r="M142" s="80">
        <f t="shared" si="25"/>
        <v>0</v>
      </c>
      <c r="N142" s="80">
        <f t="shared" si="26"/>
        <v>1</v>
      </c>
      <c r="O142" s="80">
        <f t="shared" si="27"/>
        <v>1</v>
      </c>
      <c r="P142" s="56"/>
    </row>
    <row r="143" spans="1:16" ht="15" customHeight="1" x14ac:dyDescent="0.3">
      <c r="A143" s="58">
        <v>88</v>
      </c>
      <c r="B143" s="150" t="s">
        <v>594</v>
      </c>
      <c r="C143" s="150"/>
      <c r="D143" s="92">
        <v>11</v>
      </c>
      <c r="E143" s="92">
        <v>15</v>
      </c>
      <c r="F143" s="92">
        <v>0</v>
      </c>
      <c r="G143" s="92">
        <v>0</v>
      </c>
      <c r="H143" s="92">
        <v>0</v>
      </c>
      <c r="I143" s="98">
        <f t="shared" si="22"/>
        <v>0</v>
      </c>
      <c r="J143" s="97">
        <v>0</v>
      </c>
      <c r="K143" s="96">
        <f t="shared" si="23"/>
        <v>15</v>
      </c>
      <c r="L143" s="80">
        <f t="shared" si="24"/>
        <v>0</v>
      </c>
      <c r="M143" s="80">
        <f t="shared" si="25"/>
        <v>0</v>
      </c>
      <c r="N143" s="80">
        <f t="shared" si="26"/>
        <v>1</v>
      </c>
      <c r="O143" s="80">
        <f t="shared" si="27"/>
        <v>1</v>
      </c>
      <c r="P143" s="95"/>
    </row>
    <row r="144" spans="1:16" ht="15" customHeight="1" x14ac:dyDescent="0.3">
      <c r="A144" s="58">
        <v>89</v>
      </c>
      <c r="B144" s="150" t="s">
        <v>595</v>
      </c>
      <c r="C144" s="150"/>
      <c r="D144" s="92">
        <v>0</v>
      </c>
      <c r="E144" s="92">
        <v>0</v>
      </c>
      <c r="F144" s="92">
        <v>0</v>
      </c>
      <c r="G144" s="92">
        <v>0</v>
      </c>
      <c r="H144" s="92">
        <v>0</v>
      </c>
      <c r="I144" s="98">
        <f t="shared" si="22"/>
        <v>0</v>
      </c>
      <c r="J144" s="97">
        <v>0</v>
      </c>
      <c r="K144" s="96">
        <f t="shared" si="23"/>
        <v>0</v>
      </c>
      <c r="L144" s="80" t="str">
        <f t="shared" si="24"/>
        <v>-</v>
      </c>
      <c r="M144" s="80" t="str">
        <f t="shared" si="25"/>
        <v>-</v>
      </c>
      <c r="N144" s="80" t="str">
        <f t="shared" si="26"/>
        <v>-</v>
      </c>
      <c r="O144" s="80" t="str">
        <f t="shared" si="27"/>
        <v>-</v>
      </c>
      <c r="P144" s="95"/>
    </row>
    <row r="145" spans="1:16" ht="15" customHeight="1" x14ac:dyDescent="0.3">
      <c r="A145" s="58">
        <v>90</v>
      </c>
      <c r="B145" s="150" t="s">
        <v>596</v>
      </c>
      <c r="C145" s="150"/>
      <c r="D145" s="92">
        <v>0</v>
      </c>
      <c r="E145" s="92">
        <v>0</v>
      </c>
      <c r="F145" s="92">
        <v>0</v>
      </c>
      <c r="G145" s="92">
        <v>0</v>
      </c>
      <c r="H145" s="92">
        <v>0</v>
      </c>
      <c r="I145" s="98">
        <f t="shared" si="22"/>
        <v>0</v>
      </c>
      <c r="J145" s="97">
        <v>0</v>
      </c>
      <c r="K145" s="96">
        <f t="shared" si="23"/>
        <v>0</v>
      </c>
      <c r="L145" s="80" t="str">
        <f t="shared" si="24"/>
        <v>-</v>
      </c>
      <c r="M145" s="80" t="str">
        <f t="shared" si="25"/>
        <v>-</v>
      </c>
      <c r="N145" s="80" t="str">
        <f t="shared" si="26"/>
        <v>-</v>
      </c>
      <c r="O145" s="80" t="str">
        <f t="shared" si="27"/>
        <v>-</v>
      </c>
      <c r="P145" s="95"/>
    </row>
    <row r="146" spans="1:16" ht="15" customHeight="1" x14ac:dyDescent="0.3">
      <c r="A146" s="58">
        <v>91</v>
      </c>
      <c r="B146" s="150" t="s">
        <v>597</v>
      </c>
      <c r="C146" s="150"/>
      <c r="D146" s="92">
        <v>0</v>
      </c>
      <c r="E146" s="92">
        <v>0</v>
      </c>
      <c r="F146" s="92">
        <v>0</v>
      </c>
      <c r="G146" s="92">
        <v>0</v>
      </c>
      <c r="H146" s="92">
        <v>0</v>
      </c>
      <c r="I146" s="98">
        <f t="shared" si="22"/>
        <v>0</v>
      </c>
      <c r="J146" s="97">
        <v>0</v>
      </c>
      <c r="K146" s="96">
        <f t="shared" si="23"/>
        <v>0</v>
      </c>
      <c r="L146" s="80" t="str">
        <f t="shared" si="24"/>
        <v>-</v>
      </c>
      <c r="M146" s="80" t="str">
        <f t="shared" si="25"/>
        <v>-</v>
      </c>
      <c r="N146" s="80" t="str">
        <f t="shared" si="26"/>
        <v>-</v>
      </c>
      <c r="O146" s="80" t="str">
        <f t="shared" si="27"/>
        <v>-</v>
      </c>
      <c r="P146" s="95"/>
    </row>
    <row r="147" spans="1:16" ht="15" customHeight="1" x14ac:dyDescent="0.3">
      <c r="A147" s="32">
        <v>92</v>
      </c>
      <c r="B147" s="150" t="s">
        <v>598</v>
      </c>
      <c r="C147" s="150"/>
      <c r="D147" s="92">
        <v>0</v>
      </c>
      <c r="E147" s="92">
        <v>0</v>
      </c>
      <c r="F147" s="92">
        <v>0</v>
      </c>
      <c r="G147" s="92">
        <v>0</v>
      </c>
      <c r="H147" s="92">
        <v>0</v>
      </c>
      <c r="I147" s="98">
        <f t="shared" si="22"/>
        <v>0</v>
      </c>
      <c r="J147" s="97">
        <v>0</v>
      </c>
      <c r="K147" s="96">
        <f t="shared" si="23"/>
        <v>0</v>
      </c>
      <c r="L147" s="80" t="str">
        <f t="shared" si="24"/>
        <v>-</v>
      </c>
      <c r="M147" s="80" t="str">
        <f t="shared" si="25"/>
        <v>-</v>
      </c>
      <c r="N147" s="80" t="str">
        <f t="shared" si="26"/>
        <v>-</v>
      </c>
      <c r="O147" s="80" t="str">
        <f t="shared" si="27"/>
        <v>-</v>
      </c>
      <c r="P147" s="95"/>
    </row>
    <row r="148" spans="1:16" ht="15" customHeight="1" x14ac:dyDescent="0.3">
      <c r="A148" s="58">
        <v>93</v>
      </c>
      <c r="B148" s="150" t="s">
        <v>599</v>
      </c>
      <c r="C148" s="150"/>
      <c r="D148" s="92">
        <v>40</v>
      </c>
      <c r="E148" s="92">
        <v>54</v>
      </c>
      <c r="F148" s="92">
        <v>0</v>
      </c>
      <c r="G148" s="92">
        <v>0</v>
      </c>
      <c r="H148" s="92">
        <v>0</v>
      </c>
      <c r="I148" s="98">
        <f t="shared" si="22"/>
        <v>0</v>
      </c>
      <c r="J148" s="97">
        <v>0</v>
      </c>
      <c r="K148" s="96">
        <f t="shared" si="23"/>
        <v>54</v>
      </c>
      <c r="L148" s="80">
        <f t="shared" si="24"/>
        <v>0</v>
      </c>
      <c r="M148" s="80">
        <f t="shared" si="25"/>
        <v>0</v>
      </c>
      <c r="N148" s="80">
        <f t="shared" si="26"/>
        <v>1</v>
      </c>
      <c r="O148" s="80">
        <f t="shared" si="27"/>
        <v>1</v>
      </c>
      <c r="P148" s="95"/>
    </row>
    <row r="149" spans="1:16" ht="18.75" customHeight="1" x14ac:dyDescent="0.3">
      <c r="A149" s="58">
        <v>94</v>
      </c>
      <c r="B149" s="150" t="s">
        <v>600</v>
      </c>
      <c r="C149" s="150"/>
      <c r="D149" s="92">
        <v>0</v>
      </c>
      <c r="E149" s="92">
        <v>0</v>
      </c>
      <c r="F149" s="92">
        <v>0</v>
      </c>
      <c r="G149" s="92">
        <v>0</v>
      </c>
      <c r="H149" s="92">
        <v>0</v>
      </c>
      <c r="I149" s="98">
        <f t="shared" si="22"/>
        <v>0</v>
      </c>
      <c r="J149" s="97">
        <v>0</v>
      </c>
      <c r="K149" s="96">
        <f t="shared" si="23"/>
        <v>0</v>
      </c>
      <c r="L149" s="80" t="str">
        <f t="shared" si="24"/>
        <v>-</v>
      </c>
      <c r="M149" s="80" t="str">
        <f t="shared" si="25"/>
        <v>-</v>
      </c>
      <c r="N149" s="80" t="str">
        <f t="shared" si="26"/>
        <v>-</v>
      </c>
      <c r="O149" s="80" t="str">
        <f t="shared" si="27"/>
        <v>-</v>
      </c>
      <c r="P149" s="95"/>
    </row>
    <row r="150" spans="1:16" ht="15" customHeight="1" x14ac:dyDescent="0.3">
      <c r="A150" s="58">
        <v>95</v>
      </c>
      <c r="B150" s="150" t="s">
        <v>601</v>
      </c>
      <c r="C150" s="150"/>
      <c r="D150" s="92">
        <v>0</v>
      </c>
      <c r="E150" s="92">
        <v>0</v>
      </c>
      <c r="F150" s="92">
        <v>0</v>
      </c>
      <c r="G150" s="92">
        <v>0</v>
      </c>
      <c r="H150" s="92">
        <v>0</v>
      </c>
      <c r="I150" s="98">
        <f t="shared" si="22"/>
        <v>0</v>
      </c>
      <c r="J150" s="97">
        <v>0</v>
      </c>
      <c r="K150" s="96">
        <f t="shared" si="23"/>
        <v>0</v>
      </c>
      <c r="L150" s="80" t="str">
        <f t="shared" si="24"/>
        <v>-</v>
      </c>
      <c r="M150" s="80" t="str">
        <f t="shared" si="25"/>
        <v>-</v>
      </c>
      <c r="N150" s="80" t="str">
        <f t="shared" si="26"/>
        <v>-</v>
      </c>
      <c r="O150" s="80" t="str">
        <f t="shared" si="27"/>
        <v>-</v>
      </c>
      <c r="P150" s="95"/>
    </row>
    <row r="151" spans="1:16" ht="15" customHeight="1" x14ac:dyDescent="0.3">
      <c r="A151" s="58">
        <v>96</v>
      </c>
      <c r="B151" s="150" t="s">
        <v>602</v>
      </c>
      <c r="C151" s="150"/>
      <c r="D151" s="92">
        <v>61</v>
      </c>
      <c r="E151" s="92">
        <v>129</v>
      </c>
      <c r="F151" s="92">
        <v>0</v>
      </c>
      <c r="G151" s="92">
        <v>0</v>
      </c>
      <c r="H151" s="92">
        <v>0</v>
      </c>
      <c r="I151" s="98">
        <f t="shared" si="22"/>
        <v>0</v>
      </c>
      <c r="J151" s="97">
        <v>0</v>
      </c>
      <c r="K151" s="96">
        <f t="shared" si="23"/>
        <v>129</v>
      </c>
      <c r="L151" s="80">
        <f t="shared" si="24"/>
        <v>0</v>
      </c>
      <c r="M151" s="80">
        <f t="shared" si="25"/>
        <v>0</v>
      </c>
      <c r="N151" s="80">
        <f t="shared" si="26"/>
        <v>1</v>
      </c>
      <c r="O151" s="80">
        <f t="shared" si="27"/>
        <v>1</v>
      </c>
      <c r="P151" s="95"/>
    </row>
    <row r="152" spans="1:16" ht="15" customHeight="1" x14ac:dyDescent="0.3">
      <c r="A152" s="58">
        <v>97</v>
      </c>
      <c r="B152" s="150" t="s">
        <v>603</v>
      </c>
      <c r="C152" s="150"/>
      <c r="D152" s="92">
        <v>0</v>
      </c>
      <c r="E152" s="92">
        <v>0</v>
      </c>
      <c r="F152" s="92">
        <v>0</v>
      </c>
      <c r="G152" s="92">
        <v>0</v>
      </c>
      <c r="H152" s="92">
        <v>0</v>
      </c>
      <c r="I152" s="98">
        <f t="shared" ref="I152:I169" si="28">SUM(F152:H152)</f>
        <v>0</v>
      </c>
      <c r="J152" s="97">
        <v>0</v>
      </c>
      <c r="K152" s="96">
        <f t="shared" si="23"/>
        <v>0</v>
      </c>
      <c r="L152" s="80" t="str">
        <f t="shared" si="24"/>
        <v>-</v>
      </c>
      <c r="M152" s="80" t="str">
        <f t="shared" si="25"/>
        <v>-</v>
      </c>
      <c r="N152" s="80" t="str">
        <f t="shared" si="26"/>
        <v>-</v>
      </c>
      <c r="O152" s="80" t="str">
        <f t="shared" si="27"/>
        <v>-</v>
      </c>
      <c r="P152" s="95"/>
    </row>
    <row r="153" spans="1:16" ht="15" customHeight="1" x14ac:dyDescent="0.3">
      <c r="A153" s="58">
        <v>98</v>
      </c>
      <c r="B153" s="150" t="s">
        <v>604</v>
      </c>
      <c r="C153" s="150"/>
      <c r="D153" s="92">
        <v>7</v>
      </c>
      <c r="E153" s="92">
        <v>218</v>
      </c>
      <c r="F153" s="92">
        <v>0</v>
      </c>
      <c r="G153" s="92">
        <v>0</v>
      </c>
      <c r="H153" s="92">
        <v>0</v>
      </c>
      <c r="I153" s="98">
        <f t="shared" si="28"/>
        <v>0</v>
      </c>
      <c r="J153" s="97">
        <v>0</v>
      </c>
      <c r="K153" s="96">
        <f t="shared" si="23"/>
        <v>218</v>
      </c>
      <c r="L153" s="80">
        <f t="shared" si="24"/>
        <v>0</v>
      </c>
      <c r="M153" s="80">
        <f t="shared" si="25"/>
        <v>0</v>
      </c>
      <c r="N153" s="80">
        <f t="shared" si="26"/>
        <v>1</v>
      </c>
      <c r="O153" s="80">
        <f t="shared" si="27"/>
        <v>1</v>
      </c>
      <c r="P153" s="95"/>
    </row>
    <row r="154" spans="1:16" ht="15" customHeight="1" x14ac:dyDescent="0.3">
      <c r="A154" s="58">
        <v>99</v>
      </c>
      <c r="B154" s="150" t="s">
        <v>605</v>
      </c>
      <c r="C154" s="150"/>
      <c r="D154" s="92">
        <v>0</v>
      </c>
      <c r="E154" s="92">
        <v>4</v>
      </c>
      <c r="F154" s="92">
        <v>0</v>
      </c>
      <c r="G154" s="92">
        <v>0</v>
      </c>
      <c r="H154" s="92">
        <v>0</v>
      </c>
      <c r="I154" s="98">
        <f t="shared" si="28"/>
        <v>0</v>
      </c>
      <c r="J154" s="97">
        <v>0</v>
      </c>
      <c r="K154" s="96">
        <f t="shared" si="23"/>
        <v>4</v>
      </c>
      <c r="L154" s="80">
        <f t="shared" si="24"/>
        <v>0</v>
      </c>
      <c r="M154" s="80">
        <f t="shared" si="25"/>
        <v>0</v>
      </c>
      <c r="N154" s="80">
        <f t="shared" si="26"/>
        <v>1</v>
      </c>
      <c r="O154" s="80">
        <f t="shared" si="27"/>
        <v>1</v>
      </c>
      <c r="P154" s="95"/>
    </row>
    <row r="155" spans="1:16" ht="15" customHeight="1" x14ac:dyDescent="0.3">
      <c r="A155" s="58">
        <v>100</v>
      </c>
      <c r="B155" s="150" t="s">
        <v>606</v>
      </c>
      <c r="C155" s="150"/>
      <c r="D155" s="92">
        <v>0</v>
      </c>
      <c r="E155" s="92">
        <v>94</v>
      </c>
      <c r="F155" s="92">
        <v>0</v>
      </c>
      <c r="G155" s="92">
        <v>0</v>
      </c>
      <c r="H155" s="92">
        <v>0</v>
      </c>
      <c r="I155" s="98">
        <f t="shared" si="28"/>
        <v>0</v>
      </c>
      <c r="J155" s="97">
        <v>0</v>
      </c>
      <c r="K155" s="96">
        <f t="shared" si="23"/>
        <v>94</v>
      </c>
      <c r="L155" s="80">
        <f t="shared" si="24"/>
        <v>0</v>
      </c>
      <c r="M155" s="80">
        <f t="shared" si="25"/>
        <v>0</v>
      </c>
      <c r="N155" s="80">
        <f t="shared" si="26"/>
        <v>1</v>
      </c>
      <c r="O155" s="80">
        <f t="shared" si="27"/>
        <v>1</v>
      </c>
      <c r="P155" s="95"/>
    </row>
    <row r="156" spans="1:16" ht="15" customHeight="1" x14ac:dyDescent="0.3">
      <c r="A156" s="58">
        <v>101</v>
      </c>
      <c r="B156" s="150" t="s">
        <v>607</v>
      </c>
      <c r="C156" s="150"/>
      <c r="D156" s="92">
        <v>61</v>
      </c>
      <c r="E156" s="92">
        <v>31</v>
      </c>
      <c r="F156" s="92">
        <v>0</v>
      </c>
      <c r="G156" s="92">
        <v>0</v>
      </c>
      <c r="H156" s="92">
        <v>0</v>
      </c>
      <c r="I156" s="98">
        <f t="shared" si="28"/>
        <v>0</v>
      </c>
      <c r="J156" s="97">
        <v>0</v>
      </c>
      <c r="K156" s="96">
        <f t="shared" si="23"/>
        <v>31</v>
      </c>
      <c r="L156" s="80">
        <f t="shared" si="24"/>
        <v>0</v>
      </c>
      <c r="M156" s="80">
        <f t="shared" si="25"/>
        <v>0</v>
      </c>
      <c r="N156" s="80">
        <f t="shared" si="26"/>
        <v>1</v>
      </c>
      <c r="O156" s="80">
        <f t="shared" si="27"/>
        <v>1</v>
      </c>
      <c r="P156" s="95"/>
    </row>
    <row r="157" spans="1:16" ht="15" customHeight="1" x14ac:dyDescent="0.3">
      <c r="A157" s="58">
        <v>102</v>
      </c>
      <c r="B157" s="150" t="s">
        <v>608</v>
      </c>
      <c r="C157" s="150"/>
      <c r="D157" s="92">
        <v>14</v>
      </c>
      <c r="E157" s="92">
        <v>14</v>
      </c>
      <c r="F157" s="92">
        <v>0</v>
      </c>
      <c r="G157" s="92">
        <v>0</v>
      </c>
      <c r="H157" s="92">
        <v>0</v>
      </c>
      <c r="I157" s="98">
        <f t="shared" si="28"/>
        <v>0</v>
      </c>
      <c r="J157" s="97">
        <v>0</v>
      </c>
      <c r="K157" s="96">
        <f t="shared" si="23"/>
        <v>14</v>
      </c>
      <c r="L157" s="80">
        <f t="shared" si="24"/>
        <v>0</v>
      </c>
      <c r="M157" s="80">
        <f t="shared" si="25"/>
        <v>0</v>
      </c>
      <c r="N157" s="80">
        <f t="shared" si="26"/>
        <v>1</v>
      </c>
      <c r="O157" s="80">
        <f t="shared" si="27"/>
        <v>1</v>
      </c>
      <c r="P157" s="95"/>
    </row>
    <row r="158" spans="1:16" ht="15" customHeight="1" x14ac:dyDescent="0.3">
      <c r="A158" s="58">
        <v>103</v>
      </c>
      <c r="B158" s="150" t="s">
        <v>609</v>
      </c>
      <c r="C158" s="150"/>
      <c r="D158" s="92">
        <v>11</v>
      </c>
      <c r="E158" s="92">
        <v>44</v>
      </c>
      <c r="F158" s="92">
        <v>0</v>
      </c>
      <c r="G158" s="92">
        <v>0</v>
      </c>
      <c r="H158" s="92">
        <v>0</v>
      </c>
      <c r="I158" s="98">
        <f t="shared" si="28"/>
        <v>0</v>
      </c>
      <c r="J158" s="97">
        <v>0</v>
      </c>
      <c r="K158" s="96">
        <f t="shared" si="23"/>
        <v>44</v>
      </c>
      <c r="L158" s="80">
        <f t="shared" si="24"/>
        <v>0</v>
      </c>
      <c r="M158" s="80">
        <f t="shared" si="25"/>
        <v>0</v>
      </c>
      <c r="N158" s="80">
        <f t="shared" si="26"/>
        <v>1</v>
      </c>
      <c r="O158" s="80">
        <f t="shared" si="27"/>
        <v>1</v>
      </c>
      <c r="P158" s="95"/>
    </row>
    <row r="159" spans="1:16" ht="15" customHeight="1" x14ac:dyDescent="0.3">
      <c r="A159" s="58">
        <v>104</v>
      </c>
      <c r="B159" s="150" t="s">
        <v>610</v>
      </c>
      <c r="C159" s="150"/>
      <c r="D159" s="92">
        <v>635</v>
      </c>
      <c r="E159" s="92">
        <v>1097</v>
      </c>
      <c r="F159" s="92">
        <v>0</v>
      </c>
      <c r="G159" s="92">
        <v>3</v>
      </c>
      <c r="H159" s="92">
        <v>0</v>
      </c>
      <c r="I159" s="98">
        <f t="shared" si="28"/>
        <v>3</v>
      </c>
      <c r="J159" s="97">
        <v>0</v>
      </c>
      <c r="K159" s="96">
        <f t="shared" si="23"/>
        <v>1094</v>
      </c>
      <c r="L159" s="80">
        <f t="shared" si="24"/>
        <v>2.7347310847766638E-3</v>
      </c>
      <c r="M159" s="80">
        <f t="shared" si="25"/>
        <v>0</v>
      </c>
      <c r="N159" s="80">
        <f t="shared" si="26"/>
        <v>0.99726526891522338</v>
      </c>
      <c r="O159" s="80">
        <f t="shared" si="27"/>
        <v>0.99726526891522338</v>
      </c>
      <c r="P159" s="95"/>
    </row>
    <row r="160" spans="1:16" ht="15" customHeight="1" x14ac:dyDescent="0.3">
      <c r="A160" s="58">
        <v>105</v>
      </c>
      <c r="B160" s="150" t="s">
        <v>611</v>
      </c>
      <c r="C160" s="150"/>
      <c r="D160" s="92">
        <v>0</v>
      </c>
      <c r="E160" s="92">
        <v>0</v>
      </c>
      <c r="F160" s="92">
        <v>0</v>
      </c>
      <c r="G160" s="92">
        <v>0</v>
      </c>
      <c r="H160" s="92">
        <v>0</v>
      </c>
      <c r="I160" s="98">
        <f t="shared" si="28"/>
        <v>0</v>
      </c>
      <c r="J160" s="97">
        <v>0</v>
      </c>
      <c r="K160" s="96">
        <f t="shared" si="23"/>
        <v>0</v>
      </c>
      <c r="L160" s="80" t="str">
        <f t="shared" si="24"/>
        <v>-</v>
      </c>
      <c r="M160" s="80" t="str">
        <f t="shared" si="25"/>
        <v>-</v>
      </c>
      <c r="N160" s="80" t="str">
        <f t="shared" si="26"/>
        <v>-</v>
      </c>
      <c r="O160" s="80" t="str">
        <f t="shared" si="27"/>
        <v>-</v>
      </c>
      <c r="P160" s="95"/>
    </row>
    <row r="161" spans="1:16" ht="15" customHeight="1" x14ac:dyDescent="0.3">
      <c r="A161" s="58">
        <v>106</v>
      </c>
      <c r="B161" s="150" t="s">
        <v>612</v>
      </c>
      <c r="C161" s="150"/>
      <c r="D161" s="97">
        <v>3</v>
      </c>
      <c r="E161" s="92">
        <v>4</v>
      </c>
      <c r="F161" s="92">
        <v>0</v>
      </c>
      <c r="G161" s="92">
        <v>0</v>
      </c>
      <c r="H161" s="92">
        <v>0</v>
      </c>
      <c r="I161" s="98">
        <f t="shared" si="28"/>
        <v>0</v>
      </c>
      <c r="J161" s="97">
        <v>0</v>
      </c>
      <c r="K161" s="96">
        <f t="shared" si="23"/>
        <v>4</v>
      </c>
      <c r="L161" s="80">
        <f t="shared" si="24"/>
        <v>0</v>
      </c>
      <c r="M161" s="80">
        <f t="shared" si="25"/>
        <v>0</v>
      </c>
      <c r="N161" s="80">
        <f t="shared" si="26"/>
        <v>1</v>
      </c>
      <c r="O161" s="80">
        <f t="shared" si="27"/>
        <v>1</v>
      </c>
      <c r="P161" s="95"/>
    </row>
    <row r="162" spans="1:16" ht="15" customHeight="1" x14ac:dyDescent="0.3">
      <c r="A162" s="58">
        <v>107</v>
      </c>
      <c r="B162" s="150" t="s">
        <v>613</v>
      </c>
      <c r="C162" s="150"/>
      <c r="D162" s="92">
        <v>0</v>
      </c>
      <c r="E162" s="92">
        <v>0</v>
      </c>
      <c r="F162" s="92">
        <v>0</v>
      </c>
      <c r="G162" s="92">
        <v>0</v>
      </c>
      <c r="H162" s="92">
        <v>0</v>
      </c>
      <c r="I162" s="98">
        <f t="shared" si="28"/>
        <v>0</v>
      </c>
      <c r="J162" s="97">
        <v>0</v>
      </c>
      <c r="K162" s="96">
        <f t="shared" si="23"/>
        <v>0</v>
      </c>
      <c r="L162" s="80" t="str">
        <f t="shared" si="24"/>
        <v>-</v>
      </c>
      <c r="M162" s="80" t="str">
        <f t="shared" si="25"/>
        <v>-</v>
      </c>
      <c r="N162" s="80" t="str">
        <f t="shared" si="26"/>
        <v>-</v>
      </c>
      <c r="O162" s="80" t="str">
        <f t="shared" si="27"/>
        <v>-</v>
      </c>
      <c r="P162" s="95"/>
    </row>
    <row r="163" spans="1:16" ht="15" customHeight="1" x14ac:dyDescent="0.3">
      <c r="A163" s="58">
        <v>108</v>
      </c>
      <c r="B163" s="150" t="s">
        <v>614</v>
      </c>
      <c r="C163" s="150"/>
      <c r="D163" s="92">
        <v>0</v>
      </c>
      <c r="E163" s="92">
        <v>3</v>
      </c>
      <c r="F163" s="92">
        <v>0</v>
      </c>
      <c r="G163" s="92">
        <v>0</v>
      </c>
      <c r="H163" s="92">
        <v>0</v>
      </c>
      <c r="I163" s="98">
        <f t="shared" si="28"/>
        <v>0</v>
      </c>
      <c r="J163" s="97">
        <v>0</v>
      </c>
      <c r="K163" s="96">
        <f t="shared" si="23"/>
        <v>3</v>
      </c>
      <c r="L163" s="80">
        <f t="shared" si="24"/>
        <v>0</v>
      </c>
      <c r="M163" s="80">
        <f t="shared" si="25"/>
        <v>0</v>
      </c>
      <c r="N163" s="80">
        <f t="shared" si="26"/>
        <v>1</v>
      </c>
      <c r="O163" s="80">
        <f t="shared" si="27"/>
        <v>1</v>
      </c>
      <c r="P163" s="95"/>
    </row>
    <row r="164" spans="1:16" ht="15" customHeight="1" x14ac:dyDescent="0.3">
      <c r="A164" s="58">
        <v>109</v>
      </c>
      <c r="B164" s="150" t="s">
        <v>615</v>
      </c>
      <c r="C164" s="150"/>
      <c r="D164" s="97">
        <v>6</v>
      </c>
      <c r="E164" s="92">
        <v>5</v>
      </c>
      <c r="F164" s="92">
        <v>0</v>
      </c>
      <c r="G164" s="92">
        <v>0</v>
      </c>
      <c r="H164" s="92">
        <v>0</v>
      </c>
      <c r="I164" s="98">
        <f t="shared" si="28"/>
        <v>0</v>
      </c>
      <c r="J164" s="97">
        <v>0</v>
      </c>
      <c r="K164" s="96">
        <f t="shared" si="23"/>
        <v>5</v>
      </c>
      <c r="L164" s="80">
        <f t="shared" si="24"/>
        <v>0</v>
      </c>
      <c r="M164" s="80">
        <f t="shared" si="25"/>
        <v>0</v>
      </c>
      <c r="N164" s="80">
        <f t="shared" si="26"/>
        <v>1</v>
      </c>
      <c r="O164" s="80">
        <f t="shared" si="27"/>
        <v>1</v>
      </c>
      <c r="P164" s="95"/>
    </row>
    <row r="165" spans="1:16" ht="15" customHeight="1" x14ac:dyDescent="0.3">
      <c r="A165" s="58">
        <v>110</v>
      </c>
      <c r="B165" s="150" t="s">
        <v>616</v>
      </c>
      <c r="C165" s="150"/>
      <c r="D165" s="97">
        <v>0</v>
      </c>
      <c r="E165" s="92">
        <v>1</v>
      </c>
      <c r="F165" s="92">
        <v>0</v>
      </c>
      <c r="G165" s="92">
        <v>0</v>
      </c>
      <c r="H165" s="92">
        <v>0</v>
      </c>
      <c r="I165" s="98">
        <f t="shared" si="28"/>
        <v>0</v>
      </c>
      <c r="J165" s="97">
        <v>0</v>
      </c>
      <c r="K165" s="96">
        <f t="shared" si="23"/>
        <v>1</v>
      </c>
      <c r="L165" s="80">
        <f t="shared" si="24"/>
        <v>0</v>
      </c>
      <c r="M165" s="80">
        <f t="shared" si="25"/>
        <v>0</v>
      </c>
      <c r="N165" s="80">
        <f t="shared" si="26"/>
        <v>1</v>
      </c>
      <c r="O165" s="80">
        <f t="shared" si="27"/>
        <v>1</v>
      </c>
      <c r="P165" s="95"/>
    </row>
    <row r="166" spans="1:16" ht="45" x14ac:dyDescent="0.3">
      <c r="A166" s="58">
        <v>111</v>
      </c>
      <c r="B166" s="150" t="s">
        <v>617</v>
      </c>
      <c r="C166" s="150"/>
      <c r="D166" s="97">
        <v>2</v>
      </c>
      <c r="E166" s="92">
        <v>10</v>
      </c>
      <c r="F166" s="92">
        <v>1</v>
      </c>
      <c r="G166" s="97">
        <v>2</v>
      </c>
      <c r="H166" s="97">
        <v>0</v>
      </c>
      <c r="I166" s="98">
        <f t="shared" si="28"/>
        <v>3</v>
      </c>
      <c r="J166" s="97">
        <v>0</v>
      </c>
      <c r="K166" s="96">
        <f t="shared" si="23"/>
        <v>7</v>
      </c>
      <c r="L166" s="80">
        <f t="shared" si="24"/>
        <v>0.3</v>
      </c>
      <c r="M166" s="80">
        <f t="shared" si="25"/>
        <v>0</v>
      </c>
      <c r="N166" s="80">
        <f t="shared" si="26"/>
        <v>0.7</v>
      </c>
      <c r="O166" s="80">
        <f t="shared" si="27"/>
        <v>0.7</v>
      </c>
      <c r="P166" s="95" t="s">
        <v>104</v>
      </c>
    </row>
    <row r="167" spans="1:16" ht="46.5" customHeight="1" x14ac:dyDescent="0.3">
      <c r="A167" s="58">
        <v>112</v>
      </c>
      <c r="B167" s="150" t="s">
        <v>618</v>
      </c>
      <c r="C167" s="150"/>
      <c r="D167" s="97">
        <v>5</v>
      </c>
      <c r="E167" s="92">
        <v>28</v>
      </c>
      <c r="F167" s="92">
        <v>1</v>
      </c>
      <c r="G167" s="92">
        <v>0</v>
      </c>
      <c r="H167" s="92">
        <v>0</v>
      </c>
      <c r="I167" s="98">
        <f t="shared" si="28"/>
        <v>1</v>
      </c>
      <c r="J167" s="97">
        <v>0</v>
      </c>
      <c r="K167" s="96">
        <f t="shared" si="23"/>
        <v>27</v>
      </c>
      <c r="L167" s="80">
        <f t="shared" si="24"/>
        <v>3.5714285714285712E-2</v>
      </c>
      <c r="M167" s="80">
        <f t="shared" si="25"/>
        <v>0</v>
      </c>
      <c r="N167" s="80">
        <f t="shared" si="26"/>
        <v>0.9642857142857143</v>
      </c>
      <c r="O167" s="80">
        <f t="shared" si="27"/>
        <v>0.9642857142857143</v>
      </c>
      <c r="P167" s="56" t="s">
        <v>103</v>
      </c>
    </row>
    <row r="168" spans="1:16" ht="15" customHeight="1" x14ac:dyDescent="0.3">
      <c r="A168" s="58">
        <v>113</v>
      </c>
      <c r="B168" s="150" t="s">
        <v>619</v>
      </c>
      <c r="C168" s="150"/>
      <c r="D168" s="97">
        <v>0</v>
      </c>
      <c r="E168" s="92">
        <v>0</v>
      </c>
      <c r="F168" s="92">
        <v>0</v>
      </c>
      <c r="G168" s="92">
        <v>0</v>
      </c>
      <c r="H168" s="92">
        <v>0</v>
      </c>
      <c r="I168" s="98">
        <f t="shared" si="28"/>
        <v>0</v>
      </c>
      <c r="J168" s="97">
        <v>0</v>
      </c>
      <c r="K168" s="96">
        <f t="shared" si="23"/>
        <v>0</v>
      </c>
      <c r="L168" s="80" t="str">
        <f t="shared" si="24"/>
        <v>-</v>
      </c>
      <c r="M168" s="80" t="str">
        <f t="shared" si="25"/>
        <v>-</v>
      </c>
      <c r="N168" s="80" t="str">
        <f t="shared" si="26"/>
        <v>-</v>
      </c>
      <c r="O168" s="80" t="str">
        <f t="shared" si="27"/>
        <v>-</v>
      </c>
      <c r="P168" s="95"/>
    </row>
    <row r="169" spans="1:16" ht="15" customHeight="1" x14ac:dyDescent="0.3">
      <c r="A169" s="58">
        <v>114</v>
      </c>
      <c r="B169" s="150" t="s">
        <v>620</v>
      </c>
      <c r="C169" s="150"/>
      <c r="D169" s="97">
        <v>0</v>
      </c>
      <c r="E169" s="92">
        <v>0</v>
      </c>
      <c r="F169" s="92">
        <v>0</v>
      </c>
      <c r="G169" s="92">
        <v>0</v>
      </c>
      <c r="H169" s="92">
        <v>0</v>
      </c>
      <c r="I169" s="98">
        <f t="shared" si="28"/>
        <v>0</v>
      </c>
      <c r="J169" s="97">
        <v>0</v>
      </c>
      <c r="K169" s="96">
        <f t="shared" si="23"/>
        <v>0</v>
      </c>
      <c r="L169" s="80" t="str">
        <f t="shared" si="24"/>
        <v>-</v>
      </c>
      <c r="M169" s="80" t="str">
        <f t="shared" si="25"/>
        <v>-</v>
      </c>
      <c r="N169" s="80" t="str">
        <f t="shared" si="26"/>
        <v>-</v>
      </c>
      <c r="O169" s="80" t="str">
        <f t="shared" si="27"/>
        <v>-</v>
      </c>
      <c r="P169" s="95"/>
    </row>
  </sheetData>
  <mergeCells count="115">
    <mergeCell ref="B95:C95"/>
    <mergeCell ref="B98:C98"/>
    <mergeCell ref="B122:C122"/>
    <mergeCell ref="B159:C159"/>
    <mergeCell ref="B166:C166"/>
    <mergeCell ref="B167:C167"/>
    <mergeCell ref="B168:C168"/>
    <mergeCell ref="B169:C169"/>
    <mergeCell ref="B126:C126"/>
    <mergeCell ref="B127:C127"/>
    <mergeCell ref="B128:C128"/>
    <mergeCell ref="B129:C129"/>
    <mergeCell ref="B130:C130"/>
    <mergeCell ref="B131:C131"/>
    <mergeCell ref="B132:C132"/>
    <mergeCell ref="B133:C133"/>
    <mergeCell ref="B134:C134"/>
    <mergeCell ref="B69:C69"/>
    <mergeCell ref="B71:C71"/>
    <mergeCell ref="B72:C72"/>
    <mergeCell ref="B75:C75"/>
    <mergeCell ref="B76:C76"/>
    <mergeCell ref="A1:P1"/>
    <mergeCell ref="A2:A3"/>
    <mergeCell ref="B2:C3"/>
    <mergeCell ref="D2:E2"/>
    <mergeCell ref="F2:H2"/>
    <mergeCell ref="I2:I3"/>
    <mergeCell ref="J2:J3"/>
    <mergeCell ref="N2:N3"/>
    <mergeCell ref="O2:O3"/>
    <mergeCell ref="P2:P3"/>
    <mergeCell ref="L2:L3"/>
    <mergeCell ref="M2:M3"/>
    <mergeCell ref="K2:K3"/>
    <mergeCell ref="B70:C70"/>
    <mergeCell ref="B73:C73"/>
    <mergeCell ref="B74:C74"/>
    <mergeCell ref="A67:C67"/>
    <mergeCell ref="B68:C68"/>
    <mergeCell ref="B99:C99"/>
    <mergeCell ref="B100:C100"/>
    <mergeCell ref="B101:C101"/>
    <mergeCell ref="B102:C102"/>
    <mergeCell ref="B103:C103"/>
    <mergeCell ref="B77:C77"/>
    <mergeCell ref="B78:C78"/>
    <mergeCell ref="B79:C79"/>
    <mergeCell ref="B96:C96"/>
    <mergeCell ref="B97:C97"/>
    <mergeCell ref="A80:C80"/>
    <mergeCell ref="B81:C81"/>
    <mergeCell ref="B82:C82"/>
    <mergeCell ref="B84:C84"/>
    <mergeCell ref="B85:C85"/>
    <mergeCell ref="B86:C86"/>
    <mergeCell ref="B88:C88"/>
    <mergeCell ref="B89:C89"/>
    <mergeCell ref="B90:C90"/>
    <mergeCell ref="B91:C91"/>
    <mergeCell ref="B83:C83"/>
    <mergeCell ref="B92:C92"/>
    <mergeCell ref="B93:C93"/>
    <mergeCell ref="B94:C94"/>
    <mergeCell ref="B110:C110"/>
    <mergeCell ref="B111:C111"/>
    <mergeCell ref="B112:C112"/>
    <mergeCell ref="B113:C113"/>
    <mergeCell ref="B114:C114"/>
    <mergeCell ref="B104:C104"/>
    <mergeCell ref="B105:C105"/>
    <mergeCell ref="B106:C106"/>
    <mergeCell ref="B108:C108"/>
    <mergeCell ref="B109:C109"/>
    <mergeCell ref="A107:C107"/>
    <mergeCell ref="B120:C120"/>
    <mergeCell ref="B121:C121"/>
    <mergeCell ref="B123:C123"/>
    <mergeCell ref="B124:C124"/>
    <mergeCell ref="B125:C125"/>
    <mergeCell ref="B115:C115"/>
    <mergeCell ref="B116:C116"/>
    <mergeCell ref="B117:C117"/>
    <mergeCell ref="B118:C118"/>
    <mergeCell ref="B119:C119"/>
    <mergeCell ref="B140:C140"/>
    <mergeCell ref="B141:C141"/>
    <mergeCell ref="B142:C142"/>
    <mergeCell ref="B143:C143"/>
    <mergeCell ref="B144:C144"/>
    <mergeCell ref="B135:C135"/>
    <mergeCell ref="B136:C136"/>
    <mergeCell ref="B137:C137"/>
    <mergeCell ref="B138:C138"/>
    <mergeCell ref="B139:C139"/>
    <mergeCell ref="B150:C150"/>
    <mergeCell ref="B151:C151"/>
    <mergeCell ref="B152:C152"/>
    <mergeCell ref="B153:C153"/>
    <mergeCell ref="B154:C154"/>
    <mergeCell ref="B145:C145"/>
    <mergeCell ref="B146:C146"/>
    <mergeCell ref="B147:C147"/>
    <mergeCell ref="B148:C148"/>
    <mergeCell ref="B149:C149"/>
    <mergeCell ref="B161:C161"/>
    <mergeCell ref="B162:C162"/>
    <mergeCell ref="B163:C163"/>
    <mergeCell ref="B164:C164"/>
    <mergeCell ref="B165:C165"/>
    <mergeCell ref="B155:C155"/>
    <mergeCell ref="B156:C156"/>
    <mergeCell ref="B157:C157"/>
    <mergeCell ref="B158:C158"/>
    <mergeCell ref="B160:C160"/>
  </mergeCells>
  <dataValidations count="1">
    <dataValidation type="whole" allowBlank="1" showInputMessage="1" showErrorMessage="1" errorTitle="Value Between 0 to 200000" sqref="K5:K86 K88:K169" xr:uid="{81209417-EEEA-4A70-93A8-1F443C3161A4}">
      <formula1>0</formula1>
      <formula2>200000</formula2>
    </dataValidation>
  </dataValidations>
  <pageMargins left="0.7" right="0.7" top="0.75" bottom="0.75" header="0.3" footer="0.3"/>
  <pageSetup paperSize="9" scale="4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 Vehicle</vt:lpstr>
      <vt:lpstr>C Vehicle</vt:lpstr>
      <vt:lpstr>ARMT</vt:lpstr>
      <vt:lpstr>SA</vt:lpstr>
      <vt:lpstr>Appx E</vt:lpstr>
      <vt:lpstr>ARMT!Print_Area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hclkemebr_4c</dc:creator>
  <cp:lastModifiedBy>SANJUKTA MUKHERJEE</cp:lastModifiedBy>
  <dcterms:created xsi:type="dcterms:W3CDTF">2015-06-05T18:17:20Z</dcterms:created>
  <dcterms:modified xsi:type="dcterms:W3CDTF">2026-03-23T06:40:44Z</dcterms:modified>
</cp:coreProperties>
</file>
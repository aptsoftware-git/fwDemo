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codeName="ThisWorkbook" defaultThemeVersion="124226"/>
  <xr:revisionPtr revIDLastSave="0" documentId="13_ncr:1_{3261D57B-EB80-4C03-87E6-46B0E757659D}" xr6:coauthVersionLast="47" xr6:coauthVersionMax="47" xr10:uidLastSave="{00000000-0000-0000-0000-000000000000}"/>
  <bookViews>
    <workbookView xWindow="-108" yWindow="-108" windowWidth="23256" windowHeight="12456" tabRatio="846" activeTab="3" xr2:uid="{00000000-000D-0000-FFFF-FFFF00000000}"/>
  </bookViews>
  <sheets>
    <sheet name="B Vehicle" sheetId="89" r:id="rId1"/>
    <sheet name="C Vehicle" sheetId="93" r:id="rId2"/>
    <sheet name="SA" sheetId="94" r:id="rId3"/>
    <sheet name="INSTS" sheetId="95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a" localSheetId="0">'[1]FRS Units held amdt'!#REF!</definedName>
    <definedName name="a">'[1]FRS Units held amdt'!#REF!</definedName>
    <definedName name="aaa" localSheetId="0">'[1]FRS Units held amdt'!#REF!</definedName>
    <definedName name="aaa">'[1]FRS Units held amdt'!#REF!</definedName>
    <definedName name="aaaaaaaaa" localSheetId="0">'[2]FRS Units held amdt'!#REF!</definedName>
    <definedName name="aaaaaaaaa">'[3]FRS Units held amdt'!#REF!</definedName>
    <definedName name="AS" localSheetId="0">'[4]FRS Units held amdt'!#REF!</definedName>
    <definedName name="AS">'[4]FRS Units held amdt'!#REF!</definedName>
    <definedName name="ASD" localSheetId="0">'[5]FRS Units held amdt'!#REF!</definedName>
    <definedName name="ASD">'[5]FRS Units held amdt'!#REF!</definedName>
    <definedName name="Bot_rece_3man_2A" localSheetId="0">#REF!</definedName>
    <definedName name="Bot_rece_3man_2A">'[3]FRS Units held amdt'!#REF!</definedName>
    <definedName name="Engr_Eqpt_List_1">'[6]Engr eqpt'!$B$5:$B$72</definedName>
    <definedName name="MOTOR_CYCLE" localSheetId="0">#REF!</definedName>
    <definedName name="MOTOR_CYCLE">#REF!</definedName>
    <definedName name="_xlnm.Print_Area" localSheetId="0">'B Vehicle'!$A$1:$J$24</definedName>
    <definedName name="_xlnm.Print_Area" localSheetId="3">INSTS!$A$1:$P$17</definedName>
    <definedName name="_xlnm.Print_Titles" localSheetId="0">'B Vehicle'!$2:$4</definedName>
    <definedName name="Sample_format" localSheetId="0">'[3]FRS Units held amdt'!#REF!</definedName>
    <definedName name="Sample_format">'[3]FRS Units held amdt'!#REF!</definedName>
    <definedName name="Unit_List_606">'[6]Dependent User Unit'!$C$6:$C$35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95" l="1"/>
  <c r="M14" i="95"/>
  <c r="L14" i="95"/>
  <c r="N13" i="95"/>
  <c r="M13" i="95"/>
  <c r="O13" i="95" s="1"/>
  <c r="L13" i="95"/>
  <c r="N12" i="95"/>
  <c r="M12" i="95"/>
  <c r="O12" i="95" s="1"/>
  <c r="L12" i="95"/>
  <c r="N11" i="95"/>
  <c r="M11" i="95"/>
  <c r="L11" i="95"/>
  <c r="N10" i="95"/>
  <c r="M10" i="95"/>
  <c r="O10" i="95" s="1"/>
  <c r="L10" i="95"/>
  <c r="N9" i="95"/>
  <c r="M9" i="95"/>
  <c r="O9" i="95" s="1"/>
  <c r="L9" i="95"/>
  <c r="N8" i="95"/>
  <c r="M8" i="95"/>
  <c r="O8" i="95" s="1"/>
  <c r="L8" i="95"/>
  <c r="N7" i="95"/>
  <c r="M7" i="95"/>
  <c r="O7" i="95" s="1"/>
  <c r="L7" i="95"/>
  <c r="N6" i="95"/>
  <c r="M6" i="95"/>
  <c r="O6" i="95" s="1"/>
  <c r="L6" i="95"/>
  <c r="O14" i="95" l="1"/>
  <c r="O11" i="95"/>
</calcChain>
</file>

<file path=xl/sharedStrings.xml><?xml version="1.0" encoding="utf-8"?>
<sst xmlns="http://schemas.openxmlformats.org/spreadsheetml/2006/main" count="346" uniqueCount="112">
  <si>
    <t>MUA</t>
  </si>
  <si>
    <t>OH</t>
  </si>
  <si>
    <t>R4</t>
  </si>
  <si>
    <t>Ser No</t>
  </si>
  <si>
    <t>FMC</t>
  </si>
  <si>
    <t>(i)</t>
  </si>
  <si>
    <t>(ii)</t>
  </si>
  <si>
    <t>(iii)</t>
  </si>
  <si>
    <t>(iv)</t>
  </si>
  <si>
    <t>(vi)</t>
  </si>
  <si>
    <t>(viii)</t>
  </si>
  <si>
    <t>(ix)</t>
  </si>
  <si>
    <t xml:space="preserve">Remarks
</t>
  </si>
  <si>
    <t>Auth 
(UE)</t>
  </si>
  <si>
    <t>Held
(UH)</t>
  </si>
  <si>
    <t xml:space="preserve">Total 
</t>
  </si>
  <si>
    <t>GS Vehicle</t>
  </si>
  <si>
    <t>NMC Due to</t>
  </si>
  <si>
    <t>(v)</t>
  </si>
  <si>
    <t>(vii)</t>
  </si>
  <si>
    <t>(x)</t>
  </si>
  <si>
    <t>-</t>
  </si>
  <si>
    <t xml:space="preserve">FMN READINESS STATE : B VEHS </t>
  </si>
  <si>
    <t xml:space="preserve">11.1  BA No   23R 012592Y (BCC) . Bty 12 V DC 180 AH not holding charge . Failure report  raised on 14 Nov 2025 as the Veh are under warranty. But veh under observation.
11.2 BA No 23R025405K (CS), 23E 025420P(Lr) , 23E 025403P(CS) ,  23E 025406E (PV) &amp; 23E 025421M (Lr)  Bty 12 V DC 180 AH not holding charge . Follow up report   raised on 16 Oct &amp; 30 OCt 2025 . But veh under observation.
</t>
  </si>
  <si>
    <t>Category (Make &amp; Type)</t>
  </si>
  <si>
    <t>B1</t>
  </si>
  <si>
    <t>B2</t>
  </si>
  <si>
    <t>B3</t>
  </si>
  <si>
    <t>B11</t>
  </si>
  <si>
    <t>B57</t>
  </si>
  <si>
    <t>B61</t>
  </si>
  <si>
    <t>B63</t>
  </si>
  <si>
    <t>B64</t>
  </si>
  <si>
    <t>B66</t>
  </si>
  <si>
    <t>B69</t>
  </si>
  <si>
    <t>B70</t>
  </si>
  <si>
    <t>B71</t>
  </si>
  <si>
    <t>B72</t>
  </si>
  <si>
    <t>B73</t>
  </si>
  <si>
    <t>B79</t>
  </si>
  <si>
    <t>B83</t>
  </si>
  <si>
    <t>B95</t>
  </si>
  <si>
    <t>B96</t>
  </si>
  <si>
    <t>B65</t>
  </si>
  <si>
    <t>FMN READINESS STATE  :  'C' VEHS</t>
  </si>
  <si>
    <t>Ser</t>
  </si>
  <si>
    <t>Dependency</t>
  </si>
  <si>
    <t xml:space="preserve">Nos of Eqpt EOA Due to </t>
  </si>
  <si>
    <t xml:space="preserve">FMC </t>
  </si>
  <si>
    <t xml:space="preserve">Remarks </t>
  </si>
  <si>
    <t>Auth (UE)</t>
  </si>
  <si>
    <t>Held (UH)</t>
  </si>
  <si>
    <t>MUAs</t>
  </si>
  <si>
    <t xml:space="preserve">Total </t>
  </si>
  <si>
    <t xml:space="preserve">PLANT AND MACHY EQPT </t>
  </si>
  <si>
    <t>C20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</si>
  <si>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</si>
  <si>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</si>
  <si>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</si>
  <si>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</si>
  <si>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</si>
  <si>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</si>
  <si>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</si>
  <si>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</si>
  <si>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</si>
  <si>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</si>
  <si>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</si>
  <si>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</si>
  <si>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</si>
  <si>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</si>
  <si>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</si>
  <si>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</si>
  <si>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</si>
  <si>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</si>
  <si>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FMN READINESS STATE  : SMALL ARMS</t>
  </si>
  <si>
    <t xml:space="preserve">Make &amp; Eqpt </t>
  </si>
  <si>
    <t>Nos of Eqpt EOA Due to</t>
  </si>
  <si>
    <t xml:space="preserve">FMC
</t>
  </si>
  <si>
    <t xml:space="preserve"> OH</t>
  </si>
  <si>
    <t>WE Eqpt</t>
  </si>
  <si>
    <t>S10</t>
  </si>
  <si>
    <t>S22</t>
  </si>
  <si>
    <t>S25</t>
  </si>
  <si>
    <t>S26</t>
  </si>
  <si>
    <t>FMN READINESS STATE  : INSTS</t>
  </si>
  <si>
    <t xml:space="preserve">NMC due to </t>
  </si>
  <si>
    <t>Total NMC
(Nos)</t>
  </si>
  <si>
    <t xml:space="preserve">PMC (Nos) 
</t>
  </si>
  <si>
    <t>FMC
(Nos)</t>
  </si>
  <si>
    <t>NMC %</t>
  </si>
  <si>
    <t>PMC %</t>
  </si>
  <si>
    <t>FMC %</t>
  </si>
  <si>
    <t>Avl %</t>
  </si>
  <si>
    <t>Remarks
(To incl present loc of eqpt EOA)</t>
  </si>
  <si>
    <t>Auth
(UE)</t>
  </si>
  <si>
    <t>Spares</t>
  </si>
  <si>
    <t xml:space="preserve"> Under OH /R4/FR/  Base Repair</t>
  </si>
  <si>
    <t>OBE</t>
  </si>
  <si>
    <t>(xi)</t>
  </si>
  <si>
    <t>(xii)</t>
  </si>
  <si>
    <t>(xiii)</t>
  </si>
  <si>
    <t>(xiv)</t>
  </si>
  <si>
    <t>(xv)</t>
  </si>
  <si>
    <t>T17</t>
  </si>
  <si>
    <t>T36</t>
  </si>
  <si>
    <t>T37</t>
  </si>
  <si>
    <t>T53</t>
  </si>
  <si>
    <t>T64</t>
  </si>
  <si>
    <t>T65</t>
  </si>
  <si>
    <t>T165</t>
  </si>
  <si>
    <t>T166</t>
  </si>
  <si>
    <t>T167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</si>
</sst>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8"/>
      <color theme="1"/>
      <name val="Arial"/>
      <family val="2"/>
    </font>
    <font>
      <b/>
      <sz val="11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name val="Arial"/>
      <family val="2"/>
    </font>
    <font>
      <b/>
      <sz val="12"/>
      <color rgb="FF00B050"/>
      <name val="Arial"/>
      <family val="2"/>
    </font>
    <font>
      <b/>
      <u/>
      <sz val="12"/>
      <name val="Arial"/>
      <family val="2"/>
    </font>
    <font>
      <sz val="12"/>
      <color rgb="FF00B050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9">
    <xf numFmtId="0" fontId="0" fillId="0" borderId="0"/>
    <xf numFmtId="0" fontId="2" fillId="0" borderId="0"/>
    <xf numFmtId="0" fontId="2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176">
    <xf numFmtId="0" fontId="0" fillId="0" borderId="0" xfId="0"/>
    <xf numFmtId="0" fontId="5" fillId="2" borderId="0" xfId="5" applyFont="1" applyFill="1" applyAlignment="1">
      <alignment vertical="top"/>
    </xf>
    <xf numFmtId="0" fontId="5" fillId="2" borderId="0" xfId="5" applyFont="1" applyFill="1" applyAlignment="1">
      <alignment horizontal="center" vertical="top"/>
    </xf>
    <xf numFmtId="0" fontId="6" fillId="2" borderId="0" xfId="5" applyFont="1" applyFill="1" applyAlignment="1">
      <alignment vertical="top"/>
    </xf>
    <xf numFmtId="0" fontId="5" fillId="2" borderId="0" xfId="72" applyFont="1" applyFill="1" applyAlignment="1">
      <alignment vertical="top"/>
    </xf>
    <xf numFmtId="0" fontId="5" fillId="2" borderId="0" xfId="5" applyFont="1" applyFill="1" applyAlignment="1">
      <alignment vertical="top" wrapText="1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1" fontId="7" fillId="2" borderId="1" xfId="72" applyNumberFormat="1" applyFont="1" applyFill="1" applyBorder="1" applyAlignment="1">
      <alignment horizontal="center" vertical="center"/>
    </xf>
    <xf numFmtId="0" fontId="7" fillId="2" borderId="1" xfId="72" applyFont="1" applyFill="1" applyBorder="1" applyAlignment="1">
      <alignment horizontal="center" vertical="center" wrapText="1"/>
    </xf>
    <xf numFmtId="0" fontId="7" fillId="2" borderId="1" xfId="72" applyFont="1" applyFill="1" applyBorder="1" applyAlignment="1">
      <alignment horizontal="left" vertical="center" wrapText="1"/>
    </xf>
    <xf numFmtId="0" fontId="5" fillId="2" borderId="0" xfId="72" applyFont="1" applyFill="1" applyAlignment="1">
      <alignment vertical="center"/>
    </xf>
    <xf numFmtId="0" fontId="8" fillId="2" borderId="1" xfId="5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5" xfId="5" applyFont="1" applyFill="1" applyBorder="1" applyAlignment="1">
      <alignment horizontal="center" vertical="top"/>
    </xf>
    <xf numFmtId="0" fontId="8" fillId="2" borderId="5" xfId="5" applyFont="1" applyFill="1" applyBorder="1" applyAlignment="1">
      <alignment horizontal="center" vertical="top" wrapText="1"/>
    </xf>
    <xf numFmtId="0" fontId="8" fillId="2" borderId="1" xfId="5" applyFont="1" applyFill="1" applyBorder="1" applyAlignment="1">
      <alignment horizontal="center" vertical="top"/>
    </xf>
    <xf numFmtId="1" fontId="7" fillId="2" borderId="6" xfId="72" applyNumberFormat="1" applyFont="1" applyFill="1" applyBorder="1" applyAlignment="1">
      <alignment horizontal="center" vertical="center"/>
    </xf>
    <xf numFmtId="0" fontId="9" fillId="2" borderId="0" xfId="0" applyFont="1" applyFill="1"/>
    <xf numFmtId="0" fontId="9" fillId="2" borderId="1" xfId="0" applyFont="1" applyFill="1" applyBorder="1"/>
    <xf numFmtId="0" fontId="8" fillId="2" borderId="6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72" applyNumberFormat="1" applyFont="1" applyFill="1" applyBorder="1" applyAlignment="1">
      <alignment horizontal="center" vertical="center"/>
    </xf>
    <xf numFmtId="1" fontId="8" fillId="2" borderId="3" xfId="72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 applyProtection="1">
      <alignment horizontal="center" vertical="top"/>
      <protection locked="0"/>
    </xf>
    <xf numFmtId="0" fontId="8" fillId="2" borderId="1" xfId="0" applyFont="1" applyFill="1" applyBorder="1" applyAlignment="1">
      <alignment horizontal="center" vertical="center"/>
    </xf>
    <xf numFmtId="1" fontId="8" fillId="2" borderId="1" xfId="72" applyNumberFormat="1" applyFont="1" applyFill="1" applyBorder="1" applyAlignment="1">
      <alignment horizontal="center" vertical="top"/>
    </xf>
    <xf numFmtId="1" fontId="8" fillId="2" borderId="3" xfId="72" applyNumberFormat="1" applyFont="1" applyFill="1" applyBorder="1" applyAlignment="1">
      <alignment horizontal="center" vertical="top"/>
    </xf>
    <xf numFmtId="0" fontId="8" fillId="2" borderId="6" xfId="0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 applyProtection="1">
      <alignment horizontal="center" vertical="top"/>
      <protection locked="0"/>
    </xf>
    <xf numFmtId="0" fontId="8" fillId="2" borderId="6" xfId="0" applyFont="1" applyFill="1" applyBorder="1" applyAlignment="1" applyProtection="1">
      <alignment horizontal="left" vertical="top" wrapText="1"/>
      <protection locked="0"/>
    </xf>
    <xf numFmtId="0" fontId="8" fillId="2" borderId="3" xfId="0" applyFont="1" applyFill="1" applyBorder="1" applyAlignment="1">
      <alignment horizontal="left" vertical="top" wrapText="1"/>
    </xf>
    <xf numFmtId="0" fontId="7" fillId="2" borderId="1" xfId="72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12" fillId="2" borderId="1" xfId="72" applyFont="1" applyFill="1" applyBorder="1" applyAlignment="1">
      <alignment horizontal="left" vertical="center" wrapText="1"/>
    </xf>
    <xf numFmtId="1" fontId="8" fillId="0" borderId="1" xfId="72" applyNumberFormat="1" applyFont="1" applyBorder="1" applyAlignment="1">
      <alignment horizontal="center" vertical="center"/>
    </xf>
    <xf numFmtId="1" fontId="6" fillId="2" borderId="6" xfId="72" applyNumberFormat="1" applyFont="1" applyFill="1" applyBorder="1" applyAlignment="1">
      <alignment horizontal="center" vertical="center"/>
    </xf>
    <xf numFmtId="1" fontId="5" fillId="2" borderId="6" xfId="72" applyNumberFormat="1" applyFont="1" applyFill="1" applyBorder="1" applyAlignment="1">
      <alignment horizontal="center" vertical="center"/>
    </xf>
    <xf numFmtId="1" fontId="8" fillId="2" borderId="6" xfId="72" applyNumberFormat="1" applyFont="1" applyFill="1" applyBorder="1" applyAlignment="1">
      <alignment horizontal="center" vertical="center"/>
    </xf>
    <xf numFmtId="0" fontId="11" fillId="2" borderId="1" xfId="72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6" fillId="2" borderId="1" xfId="72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/>
    </xf>
    <xf numFmtId="0" fontId="5" fillId="0" borderId="0" xfId="0" applyFont="1"/>
    <xf numFmtId="0" fontId="8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/>
    </xf>
    <xf numFmtId="0" fontId="5" fillId="0" borderId="0" xfId="0" applyFont="1" applyAlignment="1">
      <alignment vertical="top"/>
    </xf>
    <xf numFmtId="0" fontId="16" fillId="2" borderId="1" xfId="6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6" fillId="0" borderId="0" xfId="0" applyFont="1" applyAlignment="1">
      <alignment vertical="top"/>
    </xf>
    <xf numFmtId="0" fontId="6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vertical="center" wrapText="1"/>
    </xf>
    <xf numFmtId="0" fontId="11" fillId="0" borderId="0" xfId="0" applyFont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0" xfId="0" applyFont="1"/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indent="2"/>
    </xf>
    <xf numFmtId="0" fontId="18" fillId="2" borderId="0" xfId="0" applyFont="1" applyFill="1" applyAlignment="1">
      <alignment horizontal="center" vertical="top"/>
    </xf>
    <xf numFmtId="0" fontId="18" fillId="2" borderId="0" xfId="0" applyFont="1" applyFill="1" applyAlignment="1">
      <alignment horizontal="left" vertical="top"/>
    </xf>
    <xf numFmtId="0" fontId="8" fillId="2" borderId="7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top" wrapText="1"/>
    </xf>
    <xf numFmtId="0" fontId="10" fillId="2" borderId="0" xfId="0" applyFont="1" applyFill="1" applyAlignment="1">
      <alignment horizont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top" wrapText="1"/>
    </xf>
    <xf numFmtId="1" fontId="10" fillId="2" borderId="1" xfId="0" applyNumberFormat="1" applyFont="1" applyFill="1" applyBorder="1" applyAlignment="1">
      <alignment horizontal="center" vertical="top"/>
    </xf>
    <xf numFmtId="1" fontId="10" fillId="2" borderId="1" xfId="0" applyNumberFormat="1" applyFont="1" applyFill="1" applyBorder="1" applyAlignment="1">
      <alignment horizontal="center" vertical="top" wrapText="1"/>
    </xf>
    <xf numFmtId="0" fontId="10" fillId="2" borderId="1" xfId="0" applyFont="1" applyFill="1" applyBorder="1" applyProtection="1">
      <protection locked="0"/>
    </xf>
    <xf numFmtId="0" fontId="18" fillId="2" borderId="1" xfId="0" applyFont="1" applyFill="1" applyBorder="1" applyAlignment="1">
      <alignment horizontal="center" vertical="top"/>
    </xf>
    <xf numFmtId="1" fontId="19" fillId="2" borderId="1" xfId="0" applyNumberFormat="1" applyFont="1" applyFill="1" applyBorder="1" applyAlignment="1" applyProtection="1">
      <alignment horizontal="center" vertical="top"/>
      <protection locked="0"/>
    </xf>
    <xf numFmtId="1" fontId="19" fillId="2" borderId="1" xfId="0" applyNumberFormat="1" applyFont="1" applyFill="1" applyBorder="1" applyAlignment="1">
      <alignment horizontal="center" vertical="top"/>
    </xf>
    <xf numFmtId="1" fontId="19" fillId="2" borderId="1" xfId="0" applyNumberFormat="1" applyFont="1" applyFill="1" applyBorder="1" applyAlignment="1">
      <alignment horizontal="center" vertical="top" wrapText="1"/>
    </xf>
    <xf numFmtId="0" fontId="19" fillId="2" borderId="1" xfId="0" applyFont="1" applyFill="1" applyBorder="1" applyAlignment="1" applyProtection="1">
      <alignment vertical="top" wrapText="1"/>
      <protection locked="0"/>
    </xf>
    <xf numFmtId="0" fontId="10" fillId="2" borderId="1" xfId="0" applyFont="1" applyFill="1" applyBorder="1" applyAlignment="1" applyProtection="1">
      <alignment horizontal="left" indent="2"/>
      <protection locked="0"/>
    </xf>
    <xf numFmtId="0" fontId="10" fillId="2" borderId="0" xfId="0" applyFont="1" applyFill="1" applyAlignment="1">
      <alignment horizontal="left" indent="2"/>
    </xf>
    <xf numFmtId="0" fontId="10" fillId="2" borderId="1" xfId="0" applyFont="1" applyFill="1" applyBorder="1" applyAlignment="1" applyProtection="1">
      <alignment vertical="center"/>
      <protection locked="0"/>
    </xf>
    <xf numFmtId="0" fontId="18" fillId="2" borderId="0" xfId="0" applyFont="1" applyFill="1" applyAlignment="1">
      <alignment horizontal="center"/>
    </xf>
    <xf numFmtId="10" fontId="18" fillId="2" borderId="0" xfId="0" applyNumberFormat="1" applyFont="1" applyFill="1" applyAlignment="1">
      <alignment horizontal="left" indent="2"/>
    </xf>
    <xf numFmtId="0" fontId="7" fillId="2" borderId="0" xfId="0" applyFont="1" applyFill="1"/>
    <xf numFmtId="0" fontId="7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indent="2"/>
    </xf>
    <xf numFmtId="0" fontId="8" fillId="2" borderId="1" xfId="0" applyFont="1" applyFill="1" applyBorder="1" applyAlignment="1">
      <alignment horizontal="center" vertical="top"/>
    </xf>
    <xf numFmtId="0" fontId="8" fillId="2" borderId="5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center" textRotation="90"/>
    </xf>
    <xf numFmtId="0" fontId="8" fillId="2" borderId="1" xfId="0" applyFont="1" applyFill="1" applyBorder="1" applyAlignment="1">
      <alignment horizontal="center" vertical="center" textRotation="90" wrapText="1"/>
    </xf>
    <xf numFmtId="0" fontId="8" fillId="2" borderId="0" xfId="0" applyFont="1" applyFill="1" applyAlignment="1">
      <alignment horizontal="center" vertical="top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 wrapText="1"/>
    </xf>
    <xf numFmtId="10" fontId="8" fillId="2" borderId="1" xfId="118" applyNumberFormat="1" applyFont="1" applyFill="1" applyBorder="1" applyAlignment="1" applyProtection="1">
      <alignment horizontal="center" vertical="top"/>
    </xf>
    <xf numFmtId="0" fontId="8" fillId="2" borderId="1" xfId="0" applyFont="1" applyFill="1" applyBorder="1" applyAlignment="1">
      <alignment horizontal="left" indent="2"/>
    </xf>
    <xf numFmtId="0" fontId="7" fillId="3" borderId="0" xfId="0" applyFont="1" applyFill="1"/>
    <xf numFmtId="1" fontId="8" fillId="2" borderId="1" xfId="0" applyNumberFormat="1" applyFont="1" applyFill="1" applyBorder="1" applyAlignment="1">
      <alignment horizontal="center" vertical="top"/>
    </xf>
    <xf numFmtId="1" fontId="8" fillId="2" borderId="1" xfId="0" applyNumberFormat="1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top" wrapText="1" indent="2"/>
    </xf>
    <xf numFmtId="0" fontId="8" fillId="3" borderId="0" xfId="0" applyFont="1" applyFill="1"/>
    <xf numFmtId="10" fontId="8" fillId="2" borderId="1" xfId="118" applyNumberFormat="1" applyFont="1" applyFill="1" applyBorder="1" applyAlignment="1" applyProtection="1">
      <alignment horizontal="center" vertical="center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vertical="top"/>
    </xf>
    <xf numFmtId="0" fontId="8" fillId="2" borderId="2" xfId="0" applyFont="1" applyFill="1" applyBorder="1"/>
    <xf numFmtId="0" fontId="7" fillId="3" borderId="0" xfId="0" applyFont="1" applyFill="1" applyAlignment="1">
      <alignment vertical="center"/>
    </xf>
    <xf numFmtId="0" fontId="8" fillId="2" borderId="1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justify" vertical="top" wrapText="1"/>
    </xf>
    <xf numFmtId="0" fontId="8" fillId="2" borderId="2" xfId="0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/>
    </xf>
    <xf numFmtId="0" fontId="13" fillId="2" borderId="0" xfId="0" applyFont="1" applyFill="1" applyAlignment="1">
      <alignment horizontal="center" vertical="top"/>
    </xf>
    <xf numFmtId="0" fontId="15" fillId="2" borderId="7" xfId="0" applyFont="1" applyFill="1" applyBorder="1" applyAlignment="1">
      <alignment horizontal="left" vertical="top"/>
    </xf>
    <xf numFmtId="0" fontId="8" fillId="2" borderId="7" xfId="0" applyFont="1" applyFill="1" applyBorder="1" applyAlignment="1">
      <alignment horizontal="left" vertical="top"/>
    </xf>
    <xf numFmtId="0" fontId="8" fillId="2" borderId="8" xfId="0" applyFont="1" applyFill="1" applyBorder="1" applyAlignment="1">
      <alignment horizontal="center" vertical="top" wrapText="1"/>
    </xf>
    <xf numFmtId="0" fontId="8" fillId="2" borderId="9" xfId="0" applyFont="1" applyFill="1" applyBorder="1" applyAlignment="1">
      <alignment horizontal="center" vertical="top" wrapText="1"/>
    </xf>
    <xf numFmtId="0" fontId="8" fillId="2" borderId="10" xfId="0" applyFont="1" applyFill="1" applyBorder="1" applyAlignment="1">
      <alignment horizontal="center" vertical="top" wrapText="1"/>
    </xf>
    <xf numFmtId="0" fontId="8" fillId="2" borderId="11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/>
    </xf>
    <xf numFmtId="0" fontId="8" fillId="2" borderId="3" xfId="0" applyFont="1" applyFill="1" applyBorder="1" applyAlignment="1">
      <alignment horizontal="center" vertical="top"/>
    </xf>
    <xf numFmtId="0" fontId="6" fillId="2" borderId="2" xfId="72" applyFont="1" applyFill="1" applyBorder="1" applyAlignment="1">
      <alignment horizontal="left" vertical="center" wrapText="1"/>
    </xf>
    <xf numFmtId="0" fontId="6" fillId="2" borderId="4" xfId="72" applyFont="1" applyFill="1" applyBorder="1" applyAlignment="1">
      <alignment horizontal="left" vertical="center" wrapText="1"/>
    </xf>
    <xf numFmtId="0" fontId="6" fillId="2" borderId="3" xfId="72" applyFont="1" applyFill="1" applyBorder="1" applyAlignment="1">
      <alignment horizontal="left" vertical="center" wrapText="1"/>
    </xf>
    <xf numFmtId="0" fontId="8" fillId="2" borderId="1" xfId="5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3" fillId="2" borderId="0" xfId="5" applyFont="1" applyFill="1" applyAlignment="1">
      <alignment horizontal="center" vertical="top"/>
    </xf>
    <xf numFmtId="0" fontId="8" fillId="2" borderId="4" xfId="5" applyFont="1" applyFill="1" applyBorder="1" applyAlignment="1">
      <alignment horizontal="center" vertical="top"/>
    </xf>
    <xf numFmtId="0" fontId="8" fillId="2" borderId="3" xfId="5" applyFont="1" applyFill="1" applyBorder="1" applyAlignment="1">
      <alignment horizontal="center" vertical="top"/>
    </xf>
    <xf numFmtId="0" fontId="8" fillId="2" borderId="5" xfId="5" applyFont="1" applyFill="1" applyBorder="1" applyAlignment="1">
      <alignment horizontal="center" vertical="top"/>
    </xf>
    <xf numFmtId="0" fontId="8" fillId="2" borderId="6" xfId="5" applyFont="1" applyFill="1" applyBorder="1" applyAlignment="1">
      <alignment horizontal="center" vertical="top"/>
    </xf>
    <xf numFmtId="0" fontId="8" fillId="2" borderId="5" xfId="5" applyFont="1" applyFill="1" applyBorder="1" applyAlignment="1">
      <alignment horizontal="center" vertical="top" wrapText="1"/>
    </xf>
    <xf numFmtId="0" fontId="8" fillId="2" borderId="6" xfId="5" applyFont="1" applyFill="1" applyBorder="1" applyAlignment="1">
      <alignment horizontal="center" vertical="top" wrapText="1"/>
    </xf>
    <xf numFmtId="0" fontId="8" fillId="2" borderId="5" xfId="5" applyFont="1" applyFill="1" applyBorder="1" applyAlignment="1">
      <alignment horizontal="center" vertical="center"/>
    </xf>
    <xf numFmtId="0" fontId="8" fillId="2" borderId="6" xfId="5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8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top"/>
    </xf>
    <xf numFmtId="0" fontId="10" fillId="2" borderId="4" xfId="0" applyFont="1" applyFill="1" applyBorder="1" applyAlignment="1">
      <alignment horizontal="left" vertical="top"/>
    </xf>
    <xf numFmtId="0" fontId="10" fillId="2" borderId="3" xfId="0" applyFont="1" applyFill="1" applyBorder="1" applyAlignment="1">
      <alignment horizontal="left" vertical="top"/>
    </xf>
    <xf numFmtId="0" fontId="17" fillId="2" borderId="0" xfId="0" applyFont="1" applyFill="1" applyAlignment="1">
      <alignment horizontal="center" vertical="top"/>
    </xf>
    <xf numFmtId="0" fontId="10" fillId="2" borderId="1" xfId="0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top" wrapText="1"/>
    </xf>
    <xf numFmtId="0" fontId="10" fillId="2" borderId="2" xfId="0" applyFont="1" applyFill="1" applyBorder="1" applyAlignment="1">
      <alignment horizontal="center" vertical="top"/>
    </xf>
    <xf numFmtId="0" fontId="10" fillId="2" borderId="3" xfId="0" applyFont="1" applyFill="1" applyBorder="1" applyAlignment="1">
      <alignment horizontal="center" vertical="top"/>
    </xf>
    <xf numFmtId="0" fontId="10" fillId="2" borderId="5" xfId="0" applyFont="1" applyFill="1" applyBorder="1" applyAlignment="1">
      <alignment horizontal="center" vertical="top" wrapText="1"/>
    </xf>
    <xf numFmtId="0" fontId="10" fillId="2" borderId="6" xfId="0" applyFont="1" applyFill="1" applyBorder="1" applyAlignment="1">
      <alignment horizontal="center" vertical="top" wrapText="1"/>
    </xf>
  </cellXfs>
  <cellStyles count="119">
    <cellStyle name="Comma 2" xfId="8" xr:uid="{00000000-0005-0000-0000-000000000000}"/>
    <cellStyle name="Comma 2 2" xfId="102" xr:uid="{00000000-0005-0000-0000-000001000000}"/>
    <cellStyle name="Comma 2 3" xfId="110" xr:uid="{00000000-0005-0000-0000-000002000000}"/>
    <cellStyle name="Comma 3" xfId="9" xr:uid="{00000000-0005-0000-0000-000003000000}"/>
    <cellStyle name="Comma 4" xfId="10" xr:uid="{00000000-0005-0000-0000-000004000000}"/>
    <cellStyle name="Currency 2" xfId="11" xr:uid="{00000000-0005-0000-0000-000005000000}"/>
    <cellStyle name="Currency 2 2" xfId="4" xr:uid="{00000000-0005-0000-0000-000006000000}"/>
    <cellStyle name="Normal" xfId="0" builtinId="0"/>
    <cellStyle name="Normal 10" xfId="12" xr:uid="{00000000-0005-0000-0000-000008000000}"/>
    <cellStyle name="Normal 11" xfId="13" xr:uid="{00000000-0005-0000-0000-000009000000}"/>
    <cellStyle name="Normal 12" xfId="14" xr:uid="{00000000-0005-0000-0000-00000A000000}"/>
    <cellStyle name="Normal 13" xfId="15" xr:uid="{00000000-0005-0000-0000-00000B000000}"/>
    <cellStyle name="Normal 14" xfId="16" xr:uid="{00000000-0005-0000-0000-00000C000000}"/>
    <cellStyle name="Normal 15" xfId="17" xr:uid="{00000000-0005-0000-0000-00000D000000}"/>
    <cellStyle name="Normal 16" xfId="18" xr:uid="{00000000-0005-0000-0000-00000E000000}"/>
    <cellStyle name="Normal 17" xfId="19" xr:uid="{00000000-0005-0000-0000-00000F000000}"/>
    <cellStyle name="Normal 18" xfId="20" xr:uid="{00000000-0005-0000-0000-000010000000}"/>
    <cellStyle name="Normal 19" xfId="21" xr:uid="{00000000-0005-0000-0000-000011000000}"/>
    <cellStyle name="Normal 2" xfId="5" xr:uid="{00000000-0005-0000-0000-000012000000}"/>
    <cellStyle name="Normal 2 10 3" xfId="22" xr:uid="{00000000-0005-0000-0000-000013000000}"/>
    <cellStyle name="Normal 2 2" xfId="111" xr:uid="{00000000-0005-0000-0000-000014000000}"/>
    <cellStyle name="Normal 2 2 2" xfId="1" xr:uid="{00000000-0005-0000-0000-000015000000}"/>
    <cellStyle name="Normal 2 20" xfId="112" xr:uid="{00000000-0005-0000-0000-000016000000}"/>
    <cellStyle name="Normal 2 34" xfId="23" xr:uid="{00000000-0005-0000-0000-000017000000}"/>
    <cellStyle name="Normal 20" xfId="24" xr:uid="{00000000-0005-0000-0000-000018000000}"/>
    <cellStyle name="Normal 21" xfId="25" xr:uid="{00000000-0005-0000-0000-000019000000}"/>
    <cellStyle name="Normal 22" xfId="26" xr:uid="{00000000-0005-0000-0000-00001A000000}"/>
    <cellStyle name="Normal 23" xfId="27" xr:uid="{00000000-0005-0000-0000-00001B000000}"/>
    <cellStyle name="Normal 24" xfId="28" xr:uid="{00000000-0005-0000-0000-00001C000000}"/>
    <cellStyle name="Normal 25" xfId="29" xr:uid="{00000000-0005-0000-0000-00001D000000}"/>
    <cellStyle name="Normal 26" xfId="30" xr:uid="{00000000-0005-0000-0000-00001E000000}"/>
    <cellStyle name="Normal 27" xfId="31" xr:uid="{00000000-0005-0000-0000-00001F000000}"/>
    <cellStyle name="Normal 28" xfId="32" xr:uid="{00000000-0005-0000-0000-000020000000}"/>
    <cellStyle name="Normal 29" xfId="33" xr:uid="{00000000-0005-0000-0000-000021000000}"/>
    <cellStyle name="Normal 3" xfId="34" xr:uid="{00000000-0005-0000-0000-000022000000}"/>
    <cellStyle name="Normal 3 2" xfId="2" xr:uid="{00000000-0005-0000-0000-000023000000}"/>
    <cellStyle name="Normal 3 3" xfId="35" xr:uid="{00000000-0005-0000-0000-000024000000}"/>
    <cellStyle name="Normal 3 4" xfId="113" xr:uid="{00000000-0005-0000-0000-000025000000}"/>
    <cellStyle name="Normal 30" xfId="36" xr:uid="{00000000-0005-0000-0000-000026000000}"/>
    <cellStyle name="Normal 31" xfId="37" xr:uid="{00000000-0005-0000-0000-000027000000}"/>
    <cellStyle name="Normal 32" xfId="38" xr:uid="{00000000-0005-0000-0000-000028000000}"/>
    <cellStyle name="Normal 33" xfId="39" xr:uid="{00000000-0005-0000-0000-000029000000}"/>
    <cellStyle name="Normal 34" xfId="40" xr:uid="{00000000-0005-0000-0000-00002A000000}"/>
    <cellStyle name="Normal 35" xfId="41" xr:uid="{00000000-0005-0000-0000-00002B000000}"/>
    <cellStyle name="Normal 36" xfId="42" xr:uid="{00000000-0005-0000-0000-00002C000000}"/>
    <cellStyle name="Normal 37" xfId="43" xr:uid="{00000000-0005-0000-0000-00002D000000}"/>
    <cellStyle name="Normal 38" xfId="44" xr:uid="{00000000-0005-0000-0000-00002E000000}"/>
    <cellStyle name="Normal 39" xfId="45" xr:uid="{00000000-0005-0000-0000-00002F000000}"/>
    <cellStyle name="Normal 4" xfId="6" xr:uid="{00000000-0005-0000-0000-000030000000}"/>
    <cellStyle name="Normal 4 2" xfId="71" xr:uid="{00000000-0005-0000-0000-000031000000}"/>
    <cellStyle name="Normal 4 2 10" xfId="76" xr:uid="{00000000-0005-0000-0000-000032000000}"/>
    <cellStyle name="Normal 4 2 10 2" xfId="87" xr:uid="{00000000-0005-0000-0000-000033000000}"/>
    <cellStyle name="Normal 4 2 10 3" xfId="99" xr:uid="{00000000-0005-0000-0000-000034000000}"/>
    <cellStyle name="Normal 4 2 13" xfId="79" xr:uid="{00000000-0005-0000-0000-000035000000}"/>
    <cellStyle name="Normal 4 2 13 2" xfId="92" xr:uid="{00000000-0005-0000-0000-000036000000}"/>
    <cellStyle name="Normal 4 2 13 2 2" xfId="101" xr:uid="{00000000-0005-0000-0000-000037000000}"/>
    <cellStyle name="Normal 4 2 2" xfId="78" xr:uid="{00000000-0005-0000-0000-000038000000}"/>
    <cellStyle name="Normal 4 2 2 2" xfId="91" xr:uid="{00000000-0005-0000-0000-000039000000}"/>
    <cellStyle name="Normal 4 2 6" xfId="84" xr:uid="{00000000-0005-0000-0000-00003A000000}"/>
    <cellStyle name="Normal 4 2 6 2" xfId="97" xr:uid="{00000000-0005-0000-0000-00003B000000}"/>
    <cellStyle name="Normal 4 3" xfId="86" xr:uid="{00000000-0005-0000-0000-00003C000000}"/>
    <cellStyle name="Normal 4 4" xfId="80" xr:uid="{00000000-0005-0000-0000-00003D000000}"/>
    <cellStyle name="Normal 4 4 2" xfId="93" xr:uid="{00000000-0005-0000-0000-00003E000000}"/>
    <cellStyle name="Normal 4 5" xfId="81" xr:uid="{00000000-0005-0000-0000-00003F000000}"/>
    <cellStyle name="Normal 4 5 2" xfId="94" xr:uid="{00000000-0005-0000-0000-000040000000}"/>
    <cellStyle name="Normal 40" xfId="46" xr:uid="{00000000-0005-0000-0000-000041000000}"/>
    <cellStyle name="Normal 41" xfId="47" xr:uid="{00000000-0005-0000-0000-000042000000}"/>
    <cellStyle name="Normal 42" xfId="48" xr:uid="{00000000-0005-0000-0000-000043000000}"/>
    <cellStyle name="Normal 43" xfId="49" xr:uid="{00000000-0005-0000-0000-000044000000}"/>
    <cellStyle name="Normal 44" xfId="50" xr:uid="{00000000-0005-0000-0000-000045000000}"/>
    <cellStyle name="Normal 45" xfId="51" xr:uid="{00000000-0005-0000-0000-000046000000}"/>
    <cellStyle name="Normal 46" xfId="52" xr:uid="{00000000-0005-0000-0000-000047000000}"/>
    <cellStyle name="Normal 47" xfId="53" xr:uid="{00000000-0005-0000-0000-000048000000}"/>
    <cellStyle name="Normal 48" xfId="54" xr:uid="{00000000-0005-0000-0000-000049000000}"/>
    <cellStyle name="Normal 49" xfId="55" xr:uid="{00000000-0005-0000-0000-00004A000000}"/>
    <cellStyle name="Normal 5" xfId="7" xr:uid="{00000000-0005-0000-0000-00004B000000}"/>
    <cellStyle name="Normal 5 2" xfId="56" xr:uid="{00000000-0005-0000-0000-00004C000000}"/>
    <cellStyle name="Normal 50" xfId="57" xr:uid="{00000000-0005-0000-0000-00004D000000}"/>
    <cellStyle name="Normal 51" xfId="58" xr:uid="{00000000-0005-0000-0000-00004E000000}"/>
    <cellStyle name="Normal 52" xfId="59" xr:uid="{00000000-0005-0000-0000-00004F000000}"/>
    <cellStyle name="Normal 53" xfId="60" xr:uid="{00000000-0005-0000-0000-000050000000}"/>
    <cellStyle name="Normal 54" xfId="61" xr:uid="{00000000-0005-0000-0000-000051000000}"/>
    <cellStyle name="Normal 55" xfId="70" xr:uid="{00000000-0005-0000-0000-000052000000}"/>
    <cellStyle name="Normal 55 10 2" xfId="104" xr:uid="{00000000-0005-0000-0000-000053000000}"/>
    <cellStyle name="Normal 55 12" xfId="103" xr:uid="{00000000-0005-0000-0000-000054000000}"/>
    <cellStyle name="Normal 55 2" xfId="72" xr:uid="{00000000-0005-0000-0000-000055000000}"/>
    <cellStyle name="Normal 55 2 2" xfId="85" xr:uid="{00000000-0005-0000-0000-000056000000}"/>
    <cellStyle name="Normal 55 6" xfId="114" xr:uid="{00000000-0005-0000-0000-000057000000}"/>
    <cellStyle name="Normal 55 6 2 2" xfId="105" xr:uid="{00000000-0005-0000-0000-000058000000}"/>
    <cellStyle name="Normal 6" xfId="3" xr:uid="{00000000-0005-0000-0000-000059000000}"/>
    <cellStyle name="Normal 6 2" xfId="62" xr:uid="{00000000-0005-0000-0000-00005A000000}"/>
    <cellStyle name="Normal 60 12" xfId="109" xr:uid="{00000000-0005-0000-0000-00005B000000}"/>
    <cellStyle name="Normal 60 6" xfId="115" xr:uid="{00000000-0005-0000-0000-00005C000000}"/>
    <cellStyle name="Normal 69" xfId="73" xr:uid="{00000000-0005-0000-0000-00005D000000}"/>
    <cellStyle name="Normal 7" xfId="63" xr:uid="{00000000-0005-0000-0000-00005E000000}"/>
    <cellStyle name="Normal 7 2" xfId="64" xr:uid="{00000000-0005-0000-0000-00005F000000}"/>
    <cellStyle name="Normal 73" xfId="83" xr:uid="{00000000-0005-0000-0000-000060000000}"/>
    <cellStyle name="Normal 73 2" xfId="96" xr:uid="{00000000-0005-0000-0000-000061000000}"/>
    <cellStyle name="Normal 74" xfId="82" xr:uid="{00000000-0005-0000-0000-000062000000}"/>
    <cellStyle name="Normal 74 2" xfId="95" xr:uid="{00000000-0005-0000-0000-000063000000}"/>
    <cellStyle name="Normal 79 3" xfId="116" xr:uid="{00000000-0005-0000-0000-000064000000}"/>
    <cellStyle name="Normal 8" xfId="65" xr:uid="{00000000-0005-0000-0000-000065000000}"/>
    <cellStyle name="Normal 80" xfId="117" xr:uid="{00000000-0005-0000-0000-000066000000}"/>
    <cellStyle name="Normal 80 3 2" xfId="108" xr:uid="{00000000-0005-0000-0000-000067000000}"/>
    <cellStyle name="Normal 81" xfId="75" xr:uid="{00000000-0005-0000-0000-000068000000}"/>
    <cellStyle name="Normal 81 2" xfId="89" xr:uid="{00000000-0005-0000-0000-000069000000}"/>
    <cellStyle name="Normal 81 3 2" xfId="106" xr:uid="{00000000-0005-0000-0000-00006A000000}"/>
    <cellStyle name="Normal 82" xfId="77" xr:uid="{00000000-0005-0000-0000-00006B000000}"/>
    <cellStyle name="Normal 82 2" xfId="90" xr:uid="{00000000-0005-0000-0000-00006C000000}"/>
    <cellStyle name="Normal 83" xfId="74" xr:uid="{00000000-0005-0000-0000-00006D000000}"/>
    <cellStyle name="Normal 83 2" xfId="88" xr:uid="{00000000-0005-0000-0000-00006E000000}"/>
    <cellStyle name="Normal 83 2 2" xfId="98" xr:uid="{00000000-0005-0000-0000-00006F000000}"/>
    <cellStyle name="Normal 84" xfId="100" xr:uid="{00000000-0005-0000-0000-000070000000}"/>
    <cellStyle name="Normal 9" xfId="66" xr:uid="{00000000-0005-0000-0000-000071000000}"/>
    <cellStyle name="Normal 90 2" xfId="107" xr:uid="{00000000-0005-0000-0000-000072000000}"/>
    <cellStyle name="Percent" xfId="118" builtinId="5"/>
    <cellStyle name="Percent 2" xfId="67" xr:uid="{00000000-0005-0000-0000-000073000000}"/>
    <cellStyle name="Percent 2 2" xfId="68" xr:uid="{00000000-0005-0000-0000-000074000000}"/>
    <cellStyle name="Percent 3" xfId="69" xr:uid="{00000000-0005-0000-0000-00007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emebrtechfrs.STRIKEONE\Desktop\FRS%20May%2020\FRS%20UPDATED%20WITH%20NEW%20FORMAT\Secure%20Disk\G%20DRIVE\FRS%20FOLDER\ALL%20EQPT%20AUTH%20HELD%202019\ALL%20EQPT%20AUTH%20HELD%20Mar%20%20%20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emebrtechfrs/Desktop/Secure%20Disk/G%20DRIVE/FRS%20FOLDER/ALL%20EQPT%20AUTH%20HELD%202019/ALL%20EQPT%20AUTH%20HELD%20Mar%20%20%202019.xlsx" TargetMode="External"/><Relationship Id="rId1" Type="http://schemas.openxmlformats.org/officeDocument/2006/relationships/externalLinkPath" Target="/Users/emebrtechfrs/Desktop/Secure%20Disk/G%20DRIVE/FRS%20FOLDER/ALL%20EQPT%20AUTH%20HELD%202019/ALL%20EQPT%20AUTH%20HELD%20Mar%20%20%202019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ecure%20Disk/G%20DRIVE/FRS%20FOLDER/ALL%20EQPT%20AUTH%20HELD%202019/ALL%20EQPT%20AUTH%20HELD%20Mar%20%20%202019.xlsx" TargetMode="External"/><Relationship Id="rId1" Type="http://schemas.openxmlformats.org/officeDocument/2006/relationships/externalLinkPath" Target="/Secure%20Disk/G%20DRIVE/FRS%20FOLDER/ALL%20EQPT%20AUTH%20HELD%202019/ALL%20EQPT%20AUTH%20HELD%20Mar%20%20%20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esktop\FInal%20%20FRS%20month%20of%20Nov%2020%20-%20Copy\Secure%20Disk\G%20DRIVE\FRS%20FOLDER\ALL%20EQPT%20AUTH%20HELD%202019\ALL%20EQPT%20AUTH%20HELD%20Mar%20%20%202019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emebrtechfrs.STRIKEONE/Desktop/FRS%20May%2020/FRS%20UPDATED%20WITH%20NEW%20FORMAT/Secure%20Disk/G%20DRIVE/FRS%20FOLDER/ALL%20EQPT%20AUTH%20HELD%202019/ALL%20EQPT%20AUTH%20HELD%20Mar%20%20%202019.xlsx" TargetMode="External"/><Relationship Id="rId1" Type="http://schemas.openxmlformats.org/officeDocument/2006/relationships/externalLinkPath" Target="/Users/emebrtechfrs.STRIKEONE/Desktop/FRS%20May%2020/FRS%20UPDATED%20WITH%20NEW%20FORMAT/Secure%20Disk/G%20DRIVE/FRS%20FOLDER/ALL%20EQPT%20AUTH%20HELD%202019/ALL%20EQPT%20AUTH%20HELD%20Mar%20%20%202019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ocuments%20and%20Settings/User%2004/Application%20Data/Microsoft/Excel/MESR/FRS%20Nov%2010/Central%20Comd.xls" TargetMode="External"/><Relationship Id="rId1" Type="http://schemas.openxmlformats.org/officeDocument/2006/relationships/externalLinkPath" Target="/Documents%20and%20Settings/User%2004/Application%20Data/Microsoft/Excel/MESR/FRS%20Nov%2010/Central%20Com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S Units held amdt"/>
      <sheetName val="DROPDOWN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RS Units held amdt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RS Units held amdt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S Units held amdt"/>
      <sheetName val="DropDown"/>
    </sheetNames>
    <sheetDataSet>
      <sheetData sheetId="0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RS Units held amdt"/>
      <sheetName val="DROPDOWN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Tech Manager"/>
      <sheetName val="Dependent User Unit"/>
      <sheetName val="VOR EOA EHT "/>
      <sheetName val="A Vehs"/>
      <sheetName val="A Vehs Data"/>
      <sheetName val="B Vehs"/>
      <sheetName val="SPL Vehs"/>
      <sheetName val="Engr eqpt"/>
      <sheetName val="Power eqpt"/>
      <sheetName val="Inst eqpt"/>
      <sheetName val="Sig eqpt"/>
      <sheetName val="Small arms"/>
      <sheetName val="Armt"/>
      <sheetName val="Armt Data "/>
      <sheetName val="Radar  missile"/>
      <sheetName val="Computer"/>
      <sheetName val="VOR EOA DEMAND"/>
      <sheetName val="Fitment of Eng"/>
      <sheetName val="Eqpt in Base Wksp"/>
      <sheetName val="Sml"/>
      <sheetName val="ACSFP EQPT"/>
      <sheetName val="Eqpt Aval (Electronic)"/>
      <sheetName val="FR of EQPT"/>
      <sheetName val="EOA State RO, LINE,Radar"/>
      <sheetName val="Re Distribution of BFSR"/>
      <sheetName val="Strip Insp"/>
      <sheetName val="Fitment of Retainer"/>
      <sheetName val="DP Conversion"/>
      <sheetName val="DR84mmRL"/>
    </sheetNames>
    <sheetDataSet>
      <sheetData sheetId="0"/>
      <sheetData sheetId="1"/>
      <sheetData sheetId="2">
        <row r="6">
          <cell r="B6" t="str">
            <v>196 (I) Fd Wksp Coy</v>
          </cell>
          <cell r="C6" t="str">
            <v>302 Lt Regt</v>
          </cell>
        </row>
        <row r="7">
          <cell r="C7" t="str">
            <v>200 Fd Regt</v>
          </cell>
        </row>
        <row r="8">
          <cell r="C8" t="str">
            <v>1988 (I) Med Bty</v>
          </cell>
        </row>
        <row r="9">
          <cell r="C9" t="str">
            <v>Garh Scouts</v>
          </cell>
        </row>
        <row r="10">
          <cell r="C10" t="str">
            <v>2 Madras</v>
          </cell>
        </row>
        <row r="11">
          <cell r="C11" t="str">
            <v>1 MAHAR</v>
          </cell>
        </row>
        <row r="12">
          <cell r="C12" t="str">
            <v>Kumaon Scouts</v>
          </cell>
        </row>
        <row r="13">
          <cell r="C13" t="str">
            <v>5009 Coy ASC</v>
          </cell>
        </row>
        <row r="14">
          <cell r="C14" t="str">
            <v>8 (I) Fd Coy</v>
          </cell>
        </row>
        <row r="15">
          <cell r="C15" t="str">
            <v>2009 Fd Hosp</v>
          </cell>
        </row>
        <row r="16">
          <cell r="C16" t="str">
            <v>883 AT Bn</v>
          </cell>
        </row>
        <row r="17">
          <cell r="C17" t="str">
            <v>3 Coy Sig Regt</v>
          </cell>
        </row>
        <row r="18">
          <cell r="C18" t="str">
            <v>HQ 9 (I) Mtn Bde Gp</v>
          </cell>
        </row>
        <row r="19">
          <cell r="C19" t="str">
            <v>9 (I) Mtn Bde OMP</v>
          </cell>
        </row>
        <row r="20">
          <cell r="C20" t="str">
            <v>9 (I) Mtn Bde Pro Unit</v>
          </cell>
        </row>
        <row r="21">
          <cell r="C21" t="str">
            <v>25 MFVH</v>
          </cell>
        </row>
        <row r="22">
          <cell r="C22" t="str">
            <v>41 FARS</v>
          </cell>
        </row>
        <row r="23">
          <cell r="C23" t="str">
            <v>30 MFVH</v>
          </cell>
        </row>
        <row r="24">
          <cell r="C24" t="str">
            <v>871 EWS</v>
          </cell>
        </row>
        <row r="25">
          <cell r="C25" t="str">
            <v>830 FPO</v>
          </cell>
        </row>
        <row r="26">
          <cell r="C26" t="str">
            <v>798 FPO</v>
          </cell>
        </row>
        <row r="27">
          <cell r="C27" t="str">
            <v>8 UP NCC</v>
          </cell>
        </row>
        <row r="28">
          <cell r="C28" t="str">
            <v>9 JAK LI</v>
          </cell>
        </row>
        <row r="29">
          <cell r="C29" t="str">
            <v>1 ARCHER</v>
          </cell>
        </row>
        <row r="30">
          <cell r="C30" t="str">
            <v>Tawaghat Sig Sector</v>
          </cell>
        </row>
        <row r="31">
          <cell r="C31" t="str">
            <v>DIBER Auli</v>
          </cell>
        </row>
        <row r="32">
          <cell r="C32" t="str">
            <v>1/567 INT &amp; FS Unit</v>
          </cell>
        </row>
        <row r="33">
          <cell r="C33" t="str">
            <v>196 (I) Fd Wksp Coy</v>
          </cell>
        </row>
        <row r="34">
          <cell r="C34" t="str">
            <v>104 Engr Regt</v>
          </cell>
        </row>
        <row r="35">
          <cell r="C35" t="str">
            <v>127 TA Eco Coy</v>
          </cell>
        </row>
      </sheetData>
      <sheetData sheetId="3"/>
      <sheetData sheetId="4"/>
      <sheetData sheetId="5">
        <row r="117">
          <cell r="B117" t="str">
            <v>Org</v>
          </cell>
        </row>
      </sheetData>
      <sheetData sheetId="6">
        <row r="8">
          <cell r="B8" t="str">
            <v xml:space="preserve">M/C CD 100 Hero Honda </v>
          </cell>
        </row>
      </sheetData>
      <sheetData sheetId="7">
        <row r="7">
          <cell r="B7" t="str">
            <v>Tk 6x6 Kraz 255B (MSS)</v>
          </cell>
        </row>
      </sheetData>
      <sheetData sheetId="8">
        <row r="5">
          <cell r="B5" t="str">
            <v>Air Compressor All types</v>
          </cell>
        </row>
        <row r="6">
          <cell r="B6" t="str">
            <v>Anchor Br 60 Lbs</v>
          </cell>
        </row>
        <row r="7">
          <cell r="B7" t="str">
            <v>Atomization test bench</v>
          </cell>
        </row>
        <row r="8">
          <cell r="B8" t="str">
            <v>Bailey Pontoon Bridge Folding</v>
          </cell>
        </row>
        <row r="9">
          <cell r="B9" t="str">
            <v>Bailey Pontoon Increment Set</v>
          </cell>
        </row>
        <row r="10">
          <cell r="B10" t="str">
            <v>Bailey Suspension Bridge all types</v>
          </cell>
        </row>
        <row r="11">
          <cell r="B11" t="str">
            <v>Baut all types</v>
          </cell>
        </row>
        <row r="12">
          <cell r="B12" t="str">
            <v>Blower elect port 240V SP 50HZ</v>
          </cell>
        </row>
        <row r="13">
          <cell r="B13" t="str">
            <v>Boat Aslt all types</v>
          </cell>
        </row>
        <row r="14">
          <cell r="B14" t="str">
            <v>Boat Folding eqpt all types</v>
          </cell>
        </row>
        <row r="15">
          <cell r="B15" t="str">
            <v>Boat Inflatable</v>
          </cell>
        </row>
        <row r="16">
          <cell r="B16" t="str">
            <v>Boat Recce 3 Men 2A</v>
          </cell>
        </row>
        <row r="17">
          <cell r="B17" t="str">
            <v>Bridge AM-50</v>
          </cell>
        </row>
        <row r="18">
          <cell r="B18" t="str">
            <v>Camo flat eqpt MK I</v>
          </cell>
        </row>
        <row r="19">
          <cell r="B19" t="str">
            <v>CET</v>
          </cell>
        </row>
        <row r="20">
          <cell r="B20" t="str">
            <v>Chain Saw all types</v>
          </cell>
        </row>
        <row r="21">
          <cell r="B21" t="str">
            <v>Cleaner &amp; Tester Sparking Plug</v>
          </cell>
        </row>
        <row r="22">
          <cell r="B22" t="str">
            <v>Concrete Breaker</v>
          </cell>
        </row>
        <row r="23">
          <cell r="B23" t="str">
            <v>Cr Tr Size-II D-50 A-15</v>
          </cell>
        </row>
        <row r="24">
          <cell r="B24" t="str">
            <v>Cr Tr Size-II D-80 A-12/A-8</v>
          </cell>
        </row>
        <row r="25">
          <cell r="B25" t="str">
            <v>Drill eqpt port hy duty</v>
          </cell>
        </row>
        <row r="26">
          <cell r="B26" t="str">
            <v>Drive Flexible 17 mm 68</v>
          </cell>
        </row>
        <row r="27">
          <cell r="B27" t="str">
            <v>Drive Flexible 17.5  mm 16</v>
          </cell>
        </row>
        <row r="28">
          <cell r="B28" t="str">
            <v>Drive Flexible 17.5 mm 24</v>
          </cell>
        </row>
        <row r="29">
          <cell r="B29" t="str">
            <v>Drive Flexible 22 mm 04</v>
          </cell>
        </row>
        <row r="30">
          <cell r="B30" t="str">
            <v>Drive Flexible 22mm 08</v>
          </cell>
        </row>
        <row r="31">
          <cell r="B31" t="str">
            <v>Electronic Stethoscope</v>
          </cell>
        </row>
        <row r="32">
          <cell r="B32" t="str">
            <v>Erection Boat Bridge</v>
          </cell>
        </row>
        <row r="33">
          <cell r="B33" t="str">
            <v>Excavator LoaderTATA (JCB)</v>
          </cell>
        </row>
        <row r="34">
          <cell r="B34" t="str">
            <v xml:space="preserve">Fork Lifter </v>
          </cell>
        </row>
        <row r="35">
          <cell r="B35" t="str">
            <v>Hammer drill pneumatic</v>
          </cell>
        </row>
        <row r="36">
          <cell r="B36" t="str">
            <v>Hydrema 910 MCV-2</v>
          </cell>
        </row>
        <row r="37">
          <cell r="B37" t="str">
            <v xml:space="preserve">India sarvatra </v>
          </cell>
        </row>
        <row r="38">
          <cell r="B38" t="str">
            <v>Jumbo Deisel</v>
          </cell>
        </row>
        <row r="39">
          <cell r="B39" t="str">
            <v>KM Briding Eqpt KM Float</v>
          </cell>
        </row>
        <row r="40">
          <cell r="B40" t="str">
            <v>KM Briding Filling unit</v>
          </cell>
        </row>
        <row r="41">
          <cell r="B41" t="str">
            <v>Lathe Machine 7 " dia Constr SS &amp; SC Duty 36</v>
          </cell>
        </row>
        <row r="42">
          <cell r="B42" t="str">
            <v>Lubricating Unit</v>
          </cell>
        </row>
        <row r="43">
          <cell r="B43" t="str">
            <v>Machine Drilling Portable all types</v>
          </cell>
        </row>
        <row r="44">
          <cell r="B44" t="str">
            <v>Mech mine layer</v>
          </cell>
        </row>
        <row r="45">
          <cell r="B45" t="str">
            <v>Mechanical Mine Layer all types</v>
          </cell>
        </row>
        <row r="46">
          <cell r="B46" t="str">
            <v>Motor Grader GD 605 R2 (BEML)</v>
          </cell>
        </row>
        <row r="47">
          <cell r="B47" t="str">
            <v>MTL BMK-130</v>
          </cell>
        </row>
        <row r="48">
          <cell r="B48" t="str">
            <v>MTL-634 (with Tlr/SP-5)</v>
          </cell>
        </row>
        <row r="49">
          <cell r="B49" t="str">
            <v>OBM all types</v>
          </cell>
        </row>
        <row r="50">
          <cell r="B50" t="str">
            <v>Pinjor Rock Drill All type</v>
          </cell>
        </row>
        <row r="51">
          <cell r="B51" t="str">
            <v>Plant Electric Welding</v>
          </cell>
        </row>
        <row r="52">
          <cell r="B52" t="str">
            <v>Plant Washing all types</v>
          </cell>
        </row>
        <row r="53">
          <cell r="B53" t="str">
            <v>Plant Welding all types</v>
          </cell>
        </row>
        <row r="54">
          <cell r="B54" t="str">
            <v>PMP Br System (1.5 Set)</v>
          </cell>
        </row>
        <row r="55">
          <cell r="B55" t="str">
            <v>PMS Bridging System (1.5 Set)</v>
          </cell>
        </row>
        <row r="56">
          <cell r="B56" t="str">
            <v>Prodder mine</v>
          </cell>
        </row>
        <row r="57">
          <cell r="B57" t="str">
            <v>Pump Water Centrifugal</v>
          </cell>
        </row>
        <row r="58">
          <cell r="B58" t="str">
            <v>Pumping set all type</v>
          </cell>
        </row>
        <row r="59">
          <cell r="B59" t="str">
            <v>Pumping Set No 4</v>
          </cell>
        </row>
        <row r="60">
          <cell r="B60" t="str">
            <v>Pumping Set No 5</v>
          </cell>
        </row>
        <row r="61">
          <cell r="B61" t="str">
            <v>Skid steer loader</v>
          </cell>
        </row>
        <row r="62">
          <cell r="B62" t="str">
            <v xml:space="preserve">Spray Trolley / Plant all types </v>
          </cell>
        </row>
        <row r="63">
          <cell r="B63" t="str">
            <v>Static Plants</v>
          </cell>
        </row>
        <row r="64">
          <cell r="B64" t="str">
            <v>Sudan pump</v>
          </cell>
        </row>
        <row r="65">
          <cell r="B65" t="str">
            <v>Tlr 50 Ton BEML</v>
          </cell>
        </row>
        <row r="66">
          <cell r="B66" t="str">
            <v>Tlr Fire pump all types</v>
          </cell>
        </row>
        <row r="67">
          <cell r="B67" t="str">
            <v>Tractor Agriculture</v>
          </cell>
        </row>
        <row r="68">
          <cell r="B68" t="str">
            <v>Trench Digger BTM</v>
          </cell>
        </row>
        <row r="69">
          <cell r="B69" t="str">
            <v>Washer motor hydro fork</v>
          </cell>
        </row>
        <row r="70">
          <cell r="B70" t="str">
            <v>Water Purification Plant</v>
          </cell>
        </row>
        <row r="71">
          <cell r="B71" t="str">
            <v>Wheel Dozer G 14 D1 / Road Roller</v>
          </cell>
        </row>
        <row r="72">
          <cell r="B72" t="str">
            <v>Wksp Servicing Plant</v>
          </cell>
        </row>
      </sheetData>
      <sheetData sheetId="9">
        <row r="7">
          <cell r="B7" t="str">
            <v>Chg Set ED 150 W</v>
          </cell>
        </row>
      </sheetData>
      <sheetData sheetId="10">
        <row r="7">
          <cell r="B7" t="str">
            <v>HHTI (Elop)</v>
          </cell>
        </row>
      </sheetData>
      <sheetData sheetId="11">
        <row r="7">
          <cell r="B7" t="str">
            <v>RS VA/VB/VC MK-II</v>
          </cell>
        </row>
      </sheetData>
      <sheetData sheetId="12">
        <row r="7">
          <cell r="B7" t="str">
            <v>Rif 5.56mm INSAS</v>
          </cell>
        </row>
      </sheetData>
      <sheetData sheetId="13">
        <row r="6">
          <cell r="B6" t="str">
            <v>125mm SBG (T-72)</v>
          </cell>
        </row>
      </sheetData>
      <sheetData sheetId="14">
        <row r="3461">
          <cell r="O3461" t="str">
            <v>I</v>
          </cell>
        </row>
      </sheetData>
      <sheetData sheetId="15"/>
      <sheetData sheetId="16"/>
      <sheetData sheetId="17"/>
      <sheetData sheetId="18"/>
      <sheetData sheetId="19"/>
      <sheetData sheetId="20"/>
      <sheetData sheetId="21">
        <row r="130">
          <cell r="B130" t="str">
            <v>Sml 2.5 Ton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J24"/>
  <sheetViews>
    <sheetView view="pageBreakPreview" zoomScale="55" zoomScaleNormal="55" zoomScaleSheetLayoutView="55" workbookViewId="0">
      <pane ySplit="4" topLeftCell="A5" activePane="bottomLeft" state="frozen"/>
      <selection pane="bottomLeft" activeCell="B15" sqref="B15"/>
    </sheetView>
  </sheetViews>
  <sheetFormatPr defaultColWidth="9.109375" defaultRowHeight="15" x14ac:dyDescent="0.25"/>
  <cols>
    <col min="1" max="1" width="10.109375" style="1" bestFit="1" customWidth="1"/>
    <col min="2" max="2" width="48.5546875" style="51" customWidth="1"/>
    <col min="3" max="3" width="11.5546875" style="1" bestFit="1" customWidth="1"/>
    <col min="4" max="4" width="12.6640625" style="1" bestFit="1" customWidth="1"/>
    <col min="5" max="5" width="7.6640625" style="1" bestFit="1" customWidth="1"/>
    <col min="6" max="6" width="7" style="1" bestFit="1" customWidth="1"/>
    <col min="7" max="7" width="5.5546875" style="1" bestFit="1" customWidth="1"/>
    <col min="8" max="8" width="9.109375" style="1" customWidth="1"/>
    <col min="9" max="9" width="7.5546875" style="1" customWidth="1"/>
    <col min="10" max="10" width="63.109375" style="5" customWidth="1"/>
    <col min="11" max="16384" width="9.109375" style="1"/>
  </cols>
  <sheetData>
    <row r="1" spans="1:10" ht="34.5" customHeight="1" x14ac:dyDescent="0.3">
      <c r="A1" s="150" t="s">
        <v>22</v>
      </c>
      <c r="B1" s="150"/>
      <c r="C1" s="150"/>
      <c r="D1" s="150"/>
      <c r="E1" s="150"/>
      <c r="F1" s="150"/>
      <c r="G1" s="150"/>
      <c r="H1" s="150"/>
      <c r="I1" s="150"/>
      <c r="J1" s="150"/>
    </row>
    <row r="2" spans="1:10" s="2" customFormat="1" ht="21" customHeight="1" x14ac:dyDescent="0.3">
      <c r="A2" s="153" t="s">
        <v>3</v>
      </c>
      <c r="B2" s="45" t="s">
        <v>24</v>
      </c>
      <c r="C2" s="155" t="s">
        <v>13</v>
      </c>
      <c r="D2" s="155" t="s">
        <v>14</v>
      </c>
      <c r="E2" s="151" t="s">
        <v>17</v>
      </c>
      <c r="F2" s="151"/>
      <c r="G2" s="151"/>
      <c r="H2" s="152"/>
      <c r="I2" s="157" t="s">
        <v>4</v>
      </c>
      <c r="J2" s="147" t="s">
        <v>12</v>
      </c>
    </row>
    <row r="3" spans="1:10" s="2" customFormat="1" ht="21" customHeight="1" x14ac:dyDescent="0.3">
      <c r="A3" s="154"/>
      <c r="B3" s="46"/>
      <c r="C3" s="156"/>
      <c r="D3" s="156"/>
      <c r="E3" s="19" t="s">
        <v>0</v>
      </c>
      <c r="F3" s="19" t="s">
        <v>1</v>
      </c>
      <c r="G3" s="19" t="s">
        <v>2</v>
      </c>
      <c r="H3" s="14" t="s">
        <v>15</v>
      </c>
      <c r="I3" s="158"/>
      <c r="J3" s="147"/>
    </row>
    <row r="4" spans="1:10" s="3" customFormat="1" ht="21" customHeight="1" x14ac:dyDescent="0.3">
      <c r="A4" s="17" t="s">
        <v>5</v>
      </c>
      <c r="B4" s="15" t="s">
        <v>6</v>
      </c>
      <c r="C4" s="17" t="s">
        <v>7</v>
      </c>
      <c r="D4" s="17" t="s">
        <v>8</v>
      </c>
      <c r="E4" s="17" t="s">
        <v>18</v>
      </c>
      <c r="F4" s="17" t="s">
        <v>9</v>
      </c>
      <c r="G4" s="17" t="s">
        <v>19</v>
      </c>
      <c r="H4" s="17" t="s">
        <v>10</v>
      </c>
      <c r="I4" s="17" t="s">
        <v>11</v>
      </c>
      <c r="J4" s="18" t="s">
        <v>20</v>
      </c>
    </row>
    <row r="5" spans="1:10" s="4" customFormat="1" ht="21" customHeight="1" x14ac:dyDescent="0.3">
      <c r="A5" s="144" t="s">
        <v>16</v>
      </c>
      <c r="B5" s="145"/>
      <c r="C5" s="145"/>
      <c r="D5" s="145"/>
      <c r="E5" s="145"/>
      <c r="F5" s="145"/>
      <c r="G5" s="145"/>
      <c r="H5" s="145"/>
      <c r="I5" s="145"/>
      <c r="J5" s="146"/>
    </row>
    <row r="6" spans="1:10" s="4" customFormat="1" ht="35.25" customHeight="1" x14ac:dyDescent="0.3">
      <c r="A6" s="11">
        <v>1</v>
      </c>
      <c r="B6" s="47" t="s">
        <v>25</v>
      </c>
      <c r="C6" s="23">
        <v>28</v>
      </c>
      <c r="D6" s="39">
        <v>22</v>
      </c>
      <c r="E6" s="40" t="s">
        <v>21</v>
      </c>
      <c r="F6" s="40" t="s">
        <v>21</v>
      </c>
      <c r="G6" s="40" t="s">
        <v>21</v>
      </c>
      <c r="H6" s="40" t="s">
        <v>21</v>
      </c>
      <c r="I6" s="39">
        <v>22</v>
      </c>
      <c r="J6" s="42"/>
    </row>
    <row r="7" spans="1:10" s="4" customFormat="1" ht="15.6" x14ac:dyDescent="0.3">
      <c r="A7" s="11">
        <v>2</v>
      </c>
      <c r="B7" s="47" t="s">
        <v>26</v>
      </c>
      <c r="C7" s="24">
        <v>38</v>
      </c>
      <c r="D7" s="25">
        <v>37</v>
      </c>
      <c r="E7" s="20" t="s">
        <v>21</v>
      </c>
      <c r="F7" s="20" t="s">
        <v>21</v>
      </c>
      <c r="G7" s="20" t="s">
        <v>21</v>
      </c>
      <c r="H7" s="20" t="s">
        <v>21</v>
      </c>
      <c r="I7" s="26">
        <v>37</v>
      </c>
      <c r="J7" s="33"/>
    </row>
    <row r="8" spans="1:10" s="4" customFormat="1" ht="15.6" x14ac:dyDescent="0.3">
      <c r="A8" s="35">
        <v>3</v>
      </c>
      <c r="B8" s="47" t="s">
        <v>27</v>
      </c>
      <c r="C8" s="36">
        <v>50</v>
      </c>
      <c r="D8" s="29">
        <v>34</v>
      </c>
      <c r="E8" s="20" t="s">
        <v>21</v>
      </c>
      <c r="F8" s="20" t="s">
        <v>21</v>
      </c>
      <c r="G8" s="20" t="s">
        <v>21</v>
      </c>
      <c r="H8" s="20" t="s">
        <v>21</v>
      </c>
      <c r="I8" s="29">
        <v>34</v>
      </c>
      <c r="J8" s="9"/>
    </row>
    <row r="9" spans="1:10" s="4" customFormat="1" ht="179.25" customHeight="1" x14ac:dyDescent="0.3">
      <c r="A9" s="11">
        <v>4</v>
      </c>
      <c r="B9" s="48" t="s">
        <v>28</v>
      </c>
      <c r="C9" s="44">
        <v>81</v>
      </c>
      <c r="D9" s="44">
        <v>64</v>
      </c>
      <c r="E9" s="39">
        <v>6</v>
      </c>
      <c r="F9" s="39" t="s">
        <v>21</v>
      </c>
      <c r="G9" s="39" t="s">
        <v>21</v>
      </c>
      <c r="H9" s="39" t="s">
        <v>21</v>
      </c>
      <c r="I9" s="44">
        <v>58</v>
      </c>
      <c r="J9" s="43" t="s">
        <v>23</v>
      </c>
    </row>
    <row r="10" spans="1:10" s="4" customFormat="1" ht="32.25" customHeight="1" x14ac:dyDescent="0.3">
      <c r="A10" s="11">
        <v>5</v>
      </c>
      <c r="B10" s="50" t="s">
        <v>29</v>
      </c>
      <c r="C10" s="24">
        <v>2</v>
      </c>
      <c r="D10" s="38">
        <v>1</v>
      </c>
      <c r="E10" s="20" t="s">
        <v>21</v>
      </c>
      <c r="F10" s="20" t="s">
        <v>21</v>
      </c>
      <c r="G10" s="20" t="s">
        <v>21</v>
      </c>
      <c r="H10" s="20" t="s">
        <v>21</v>
      </c>
      <c r="I10" s="25">
        <v>1</v>
      </c>
    </row>
    <row r="11" spans="1:10" s="4" customFormat="1" ht="21" customHeight="1" x14ac:dyDescent="0.3">
      <c r="A11" s="35">
        <v>6</v>
      </c>
      <c r="B11" s="50" t="s">
        <v>30</v>
      </c>
      <c r="C11" s="20" t="s">
        <v>21</v>
      </c>
      <c r="D11" s="41">
        <v>1</v>
      </c>
      <c r="E11" s="20" t="s">
        <v>21</v>
      </c>
      <c r="F11" s="20" t="s">
        <v>21</v>
      </c>
      <c r="G11" s="20" t="s">
        <v>21</v>
      </c>
      <c r="H11" s="20" t="s">
        <v>21</v>
      </c>
      <c r="I11" s="41">
        <v>1</v>
      </c>
      <c r="J11" s="7"/>
    </row>
    <row r="12" spans="1:10" s="13" customFormat="1" ht="21" customHeight="1" x14ac:dyDescent="0.3">
      <c r="A12" s="11">
        <v>7</v>
      </c>
      <c r="B12" s="50" t="s">
        <v>31</v>
      </c>
      <c r="C12" s="24">
        <v>1</v>
      </c>
      <c r="D12" s="25" t="s">
        <v>21</v>
      </c>
      <c r="E12" s="20" t="s">
        <v>21</v>
      </c>
      <c r="F12" s="20" t="s">
        <v>21</v>
      </c>
      <c r="G12" s="20" t="s">
        <v>21</v>
      </c>
      <c r="H12" s="20" t="s">
        <v>21</v>
      </c>
      <c r="I12" s="20" t="s">
        <v>21</v>
      </c>
      <c r="J12" s="7"/>
    </row>
    <row r="13" spans="1:10" s="13" customFormat="1" ht="21" customHeight="1" x14ac:dyDescent="0.3">
      <c r="A13" s="11">
        <v>8</v>
      </c>
      <c r="B13" s="50" t="s">
        <v>32</v>
      </c>
      <c r="C13" s="24">
        <v>1</v>
      </c>
      <c r="D13" s="25">
        <v>1</v>
      </c>
      <c r="E13" s="20" t="s">
        <v>21</v>
      </c>
      <c r="F13" s="20" t="s">
        <v>21</v>
      </c>
      <c r="G13" s="20" t="s">
        <v>21</v>
      </c>
      <c r="H13" s="20" t="s">
        <v>21</v>
      </c>
      <c r="I13" s="25">
        <v>1</v>
      </c>
      <c r="J13" s="6"/>
    </row>
    <row r="14" spans="1:10" s="13" customFormat="1" ht="21" customHeight="1" x14ac:dyDescent="0.3">
      <c r="A14" s="35">
        <v>9</v>
      </c>
      <c r="B14" s="48" t="s">
        <v>43</v>
      </c>
      <c r="C14" s="24">
        <v>7</v>
      </c>
      <c r="D14" s="25">
        <v>5</v>
      </c>
      <c r="E14" s="20" t="s">
        <v>21</v>
      </c>
      <c r="F14" s="20" t="s">
        <v>21</v>
      </c>
      <c r="G14" s="20" t="s">
        <v>21</v>
      </c>
      <c r="H14" s="20" t="s">
        <v>21</v>
      </c>
      <c r="I14" s="25">
        <v>5</v>
      </c>
      <c r="J14" s="16"/>
    </row>
    <row r="15" spans="1:10" s="13" customFormat="1" ht="21" customHeight="1" x14ac:dyDescent="0.3">
      <c r="A15" s="11">
        <v>10</v>
      </c>
      <c r="B15" s="49" t="s">
        <v>33</v>
      </c>
      <c r="C15" s="24">
        <v>2</v>
      </c>
      <c r="D15" s="25">
        <v>3</v>
      </c>
      <c r="E15" s="20" t="s">
        <v>21</v>
      </c>
      <c r="F15" s="20" t="s">
        <v>21</v>
      </c>
      <c r="G15" s="20" t="s">
        <v>21</v>
      </c>
      <c r="H15" s="20" t="s">
        <v>21</v>
      </c>
      <c r="I15" s="25">
        <v>3</v>
      </c>
      <c r="J15" s="16"/>
    </row>
    <row r="16" spans="1:10" s="4" customFormat="1" ht="21" customHeight="1" x14ac:dyDescent="0.3">
      <c r="A16" s="11">
        <v>11</v>
      </c>
      <c r="B16" s="50" t="s">
        <v>34</v>
      </c>
      <c r="C16" s="148">
        <v>12</v>
      </c>
      <c r="D16" s="25">
        <v>4</v>
      </c>
      <c r="E16" s="10" t="s">
        <v>21</v>
      </c>
      <c r="F16" s="10" t="s">
        <v>21</v>
      </c>
      <c r="G16" s="10" t="s">
        <v>21</v>
      </c>
      <c r="H16" s="10" t="s">
        <v>21</v>
      </c>
      <c r="I16" s="25">
        <v>4</v>
      </c>
      <c r="J16" s="16"/>
    </row>
    <row r="17" spans="1:10" s="13" customFormat="1" ht="21" customHeight="1" x14ac:dyDescent="0.3">
      <c r="A17" s="35">
        <v>12</v>
      </c>
      <c r="B17" s="50" t="s">
        <v>35</v>
      </c>
      <c r="C17" s="149"/>
      <c r="D17" s="25">
        <v>7</v>
      </c>
      <c r="E17" s="20" t="s">
        <v>21</v>
      </c>
      <c r="F17" s="20" t="s">
        <v>21</v>
      </c>
      <c r="G17" s="20" t="s">
        <v>21</v>
      </c>
      <c r="H17" s="20" t="s">
        <v>21</v>
      </c>
      <c r="I17" s="25">
        <v>7</v>
      </c>
      <c r="J17" s="37"/>
    </row>
    <row r="18" spans="1:10" s="13" customFormat="1" ht="21" customHeight="1" x14ac:dyDescent="0.3">
      <c r="A18" s="11">
        <v>13</v>
      </c>
      <c r="B18" s="50" t="s">
        <v>36</v>
      </c>
      <c r="C18" s="27">
        <v>1</v>
      </c>
      <c r="D18" s="27">
        <v>1</v>
      </c>
      <c r="E18" s="20" t="s">
        <v>21</v>
      </c>
      <c r="F18" s="20" t="s">
        <v>21</v>
      </c>
      <c r="G18" s="20" t="s">
        <v>21</v>
      </c>
      <c r="H18" s="20" t="s">
        <v>21</v>
      </c>
      <c r="I18" s="25">
        <v>1</v>
      </c>
      <c r="J18" s="12"/>
    </row>
    <row r="19" spans="1:10" s="13" customFormat="1" ht="21" customHeight="1" x14ac:dyDescent="0.3">
      <c r="A19" s="11">
        <v>14</v>
      </c>
      <c r="B19" s="50" t="s">
        <v>37</v>
      </c>
      <c r="C19" s="20" t="s">
        <v>21</v>
      </c>
      <c r="D19" s="20" t="s">
        <v>21</v>
      </c>
      <c r="E19" s="20" t="s">
        <v>21</v>
      </c>
      <c r="F19" s="20" t="s">
        <v>21</v>
      </c>
      <c r="G19" s="20" t="s">
        <v>21</v>
      </c>
      <c r="H19" s="20" t="s">
        <v>21</v>
      </c>
      <c r="I19" s="20" t="s">
        <v>21</v>
      </c>
      <c r="J19" s="12"/>
    </row>
    <row r="20" spans="1:10" s="13" customFormat="1" ht="19.5" customHeight="1" x14ac:dyDescent="0.3">
      <c r="A20" s="35">
        <v>15</v>
      </c>
      <c r="B20" s="50" t="s">
        <v>38</v>
      </c>
      <c r="C20" s="20" t="s">
        <v>21</v>
      </c>
      <c r="D20" s="25">
        <v>3</v>
      </c>
      <c r="E20" s="20" t="s">
        <v>21</v>
      </c>
      <c r="F20" s="20" t="s">
        <v>21</v>
      </c>
      <c r="G20" s="20" t="s">
        <v>21</v>
      </c>
      <c r="H20" s="20" t="s">
        <v>21</v>
      </c>
      <c r="I20" s="25">
        <v>3</v>
      </c>
      <c r="J20" s="37"/>
    </row>
    <row r="21" spans="1:10" s="4" customFormat="1" ht="30.75" customHeight="1" x14ac:dyDescent="0.3">
      <c r="A21" s="11">
        <v>16</v>
      </c>
      <c r="B21" s="50" t="s">
        <v>39</v>
      </c>
      <c r="C21" s="28" t="s">
        <v>21</v>
      </c>
      <c r="D21" s="29">
        <v>4</v>
      </c>
      <c r="E21" s="20" t="s">
        <v>21</v>
      </c>
      <c r="F21" s="20" t="s">
        <v>21</v>
      </c>
      <c r="G21" s="20" t="s">
        <v>21</v>
      </c>
      <c r="H21" s="20" t="s">
        <v>21</v>
      </c>
      <c r="I21" s="30">
        <v>4</v>
      </c>
      <c r="J21" s="34"/>
    </row>
    <row r="22" spans="1:10" s="13" customFormat="1" ht="21" customHeight="1" x14ac:dyDescent="0.3">
      <c r="A22" s="11">
        <v>17</v>
      </c>
      <c r="B22" s="50" t="s">
        <v>40</v>
      </c>
      <c r="C22" s="31">
        <v>1</v>
      </c>
      <c r="D22" s="20" t="s">
        <v>21</v>
      </c>
      <c r="E22" s="20" t="s">
        <v>21</v>
      </c>
      <c r="F22" s="20" t="s">
        <v>21</v>
      </c>
      <c r="G22" s="20" t="s">
        <v>21</v>
      </c>
      <c r="H22" s="20" t="s">
        <v>21</v>
      </c>
      <c r="I22" s="20" t="s">
        <v>21</v>
      </c>
      <c r="J22" s="12"/>
    </row>
    <row r="23" spans="1:10" s="4" customFormat="1" ht="21" customHeight="1" x14ac:dyDescent="0.3">
      <c r="A23" s="35">
        <v>18</v>
      </c>
      <c r="B23" s="50" t="s">
        <v>41</v>
      </c>
      <c r="C23" s="28">
        <v>1</v>
      </c>
      <c r="D23" s="29" t="s">
        <v>21</v>
      </c>
      <c r="E23" s="20" t="s">
        <v>21</v>
      </c>
      <c r="F23" s="20" t="s">
        <v>21</v>
      </c>
      <c r="G23" s="20" t="s">
        <v>21</v>
      </c>
      <c r="H23" s="20" t="s">
        <v>21</v>
      </c>
      <c r="I23" s="20" t="s">
        <v>21</v>
      </c>
      <c r="J23" s="8"/>
    </row>
    <row r="24" spans="1:10" s="21" customFormat="1" ht="22.8" x14ac:dyDescent="0.4">
      <c r="A24" s="11">
        <v>19</v>
      </c>
      <c r="B24" s="50" t="s">
        <v>42</v>
      </c>
      <c r="C24" s="32">
        <v>2</v>
      </c>
      <c r="D24" s="32" t="s">
        <v>21</v>
      </c>
      <c r="E24" s="20" t="s">
        <v>21</v>
      </c>
      <c r="F24" s="20" t="s">
        <v>21</v>
      </c>
      <c r="G24" s="20" t="s">
        <v>21</v>
      </c>
      <c r="H24" s="20" t="s">
        <v>21</v>
      </c>
      <c r="I24" s="20" t="s">
        <v>21</v>
      </c>
      <c r="J24" s="22"/>
    </row>
  </sheetData>
  <mergeCells count="9">
    <mergeCell ref="A5:J5"/>
    <mergeCell ref="J2:J3"/>
    <mergeCell ref="C16:C17"/>
    <mergeCell ref="A1:J1"/>
    <mergeCell ref="E2:H2"/>
    <mergeCell ref="A2:A3"/>
    <mergeCell ref="C2:C3"/>
    <mergeCell ref="D2:D3"/>
    <mergeCell ref="I2:I3"/>
  </mergeCells>
  <printOptions horizontalCentered="1"/>
  <pageMargins left="0.196850393700787" right="0.196850393700787" top="0.29527559055118102" bottom="0.196850393700787" header="0.39370078740157499" footer="0.31496062992126"/>
  <pageSetup paperSize="9" scale="5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D79C2-A8B1-444F-A4A9-B9D91C522438}">
  <dimension ref="A1:J25"/>
  <sheetViews>
    <sheetView view="pageBreakPreview" zoomScale="60" zoomScaleNormal="100" workbookViewId="0">
      <selection activeCell="D57" sqref="D57"/>
    </sheetView>
  </sheetViews>
  <sheetFormatPr defaultColWidth="9.109375" defaultRowHeight="15" x14ac:dyDescent="0.25"/>
  <cols>
    <col min="1" max="1" width="10.6640625" style="73" customWidth="1"/>
    <col min="2" max="2" width="53" style="74" customWidth="1"/>
    <col min="3" max="3" width="12.109375" style="52" customWidth="1"/>
    <col min="4" max="4" width="15.5546875" style="52" customWidth="1"/>
    <col min="5" max="5" width="14.109375" style="52" customWidth="1"/>
    <col min="6" max="6" width="14.88671875" style="52" customWidth="1"/>
    <col min="7" max="7" width="11.6640625" style="52" customWidth="1"/>
    <col min="8" max="8" width="19.5546875" style="52" customWidth="1"/>
    <col min="9" max="9" width="15.33203125" style="52" customWidth="1"/>
    <col min="10" max="10" width="76.5546875" style="52" customWidth="1"/>
    <col min="11" max="16384" width="9.109375" style="52"/>
  </cols>
  <sheetData>
    <row r="1" spans="1:10" ht="15.6" x14ac:dyDescent="0.25">
      <c r="A1" s="160" t="s">
        <v>44</v>
      </c>
      <c r="B1" s="160"/>
      <c r="C1" s="160"/>
      <c r="D1" s="160"/>
      <c r="E1" s="160"/>
      <c r="F1" s="160"/>
      <c r="G1" s="160"/>
      <c r="H1" s="160"/>
      <c r="I1" s="160"/>
      <c r="J1" s="160"/>
    </row>
    <row r="2" spans="1:10" ht="15.6" x14ac:dyDescent="0.25">
      <c r="A2" s="161" t="s">
        <v>45</v>
      </c>
      <c r="B2" s="46" t="s">
        <v>24</v>
      </c>
      <c r="C2" s="162" t="s">
        <v>46</v>
      </c>
      <c r="D2" s="161"/>
      <c r="E2" s="161" t="s">
        <v>47</v>
      </c>
      <c r="F2" s="161"/>
      <c r="G2" s="161"/>
      <c r="H2" s="163"/>
      <c r="I2" s="164" t="s">
        <v>48</v>
      </c>
      <c r="J2" s="161" t="s">
        <v>49</v>
      </c>
    </row>
    <row r="3" spans="1:10" ht="15.6" x14ac:dyDescent="0.25">
      <c r="A3" s="161"/>
      <c r="B3" s="46"/>
      <c r="C3" s="53" t="s">
        <v>50</v>
      </c>
      <c r="D3" s="45" t="s">
        <v>51</v>
      </c>
      <c r="E3" s="24" t="s">
        <v>52</v>
      </c>
      <c r="F3" s="24" t="s">
        <v>1</v>
      </c>
      <c r="G3" s="24" t="s">
        <v>2</v>
      </c>
      <c r="H3" s="54" t="s">
        <v>53</v>
      </c>
      <c r="I3" s="165"/>
      <c r="J3" s="161"/>
    </row>
    <row r="4" spans="1:10" ht="15.6" x14ac:dyDescent="0.25">
      <c r="A4" s="24" t="s">
        <v>5</v>
      </c>
      <c r="B4" s="15" t="s">
        <v>6</v>
      </c>
      <c r="C4" s="53" t="s">
        <v>7</v>
      </c>
      <c r="D4" s="45" t="s">
        <v>8</v>
      </c>
      <c r="E4" s="24" t="s">
        <v>18</v>
      </c>
      <c r="F4" s="24" t="s">
        <v>9</v>
      </c>
      <c r="G4" s="24" t="s">
        <v>19</v>
      </c>
      <c r="H4" s="55" t="s">
        <v>10</v>
      </c>
      <c r="I4" s="24" t="s">
        <v>11</v>
      </c>
      <c r="J4" s="24" t="s">
        <v>20</v>
      </c>
    </row>
    <row r="5" spans="1:10" ht="15.6" x14ac:dyDescent="0.25">
      <c r="A5" s="159" t="s">
        <v>54</v>
      </c>
      <c r="B5" s="159"/>
      <c r="C5" s="159"/>
      <c r="D5" s="159"/>
      <c r="E5" s="159"/>
      <c r="F5" s="159"/>
      <c r="G5" s="159"/>
      <c r="H5" s="159"/>
      <c r="I5" s="159"/>
      <c r="J5" s="159"/>
    </row>
    <row r="6" spans="1:10" s="60" customFormat="1" ht="15.6" x14ac:dyDescent="0.3">
      <c r="A6" s="56">
        <v>1</v>
      </c>
      <c r="B6" s="48" t="s">
        <v>55</v>
      </c>
      <c r="C6" s="57">
        <v>1</v>
      </c>
      <c r="D6" s="58" t="s">
        <v>21</v>
      </c>
      <c r="E6" s="56" t="s">
        <v>21</v>
      </c>
      <c r="F6" s="56" t="s">
        <v>21</v>
      </c>
      <c r="G6" s="56" t="s">
        <v>21</v>
      </c>
      <c r="H6" s="56" t="s">
        <v>21</v>
      </c>
      <c r="I6" s="58" t="s">
        <v>21</v>
      </c>
      <c r="J6" s="59"/>
    </row>
    <row r="7" spans="1:10" s="65" customFormat="1" ht="15.6" x14ac:dyDescent="0.3">
      <c r="A7" s="57">
        <v>2</v>
      </c>
      <c r="B7" s="61" t="s">
        <v>56</v>
      </c>
      <c r="C7" s="57">
        <v>12</v>
      </c>
      <c r="D7" s="62">
        <v>12</v>
      </c>
      <c r="E7" s="63" t="s">
        <v>21</v>
      </c>
      <c r="F7" s="63" t="s">
        <v>21</v>
      </c>
      <c r="G7" s="63" t="s">
        <v>21</v>
      </c>
      <c r="H7" s="63" t="s">
        <v>21</v>
      </c>
      <c r="I7" s="62">
        <v>12</v>
      </c>
      <c r="J7" s="64"/>
    </row>
    <row r="8" spans="1:10" s="60" customFormat="1" ht="15.6" x14ac:dyDescent="0.3">
      <c r="A8" s="56">
        <v>3</v>
      </c>
      <c r="B8" s="61" t="s">
        <v>57</v>
      </c>
      <c r="C8" s="58" t="s">
        <v>21</v>
      </c>
      <c r="D8" s="63" t="s">
        <v>21</v>
      </c>
      <c r="E8" s="63" t="s">
        <v>21</v>
      </c>
      <c r="F8" s="63" t="s">
        <v>21</v>
      </c>
      <c r="G8" s="63" t="s">
        <v>21</v>
      </c>
      <c r="H8" s="63" t="s">
        <v>21</v>
      </c>
      <c r="I8" s="63" t="s">
        <v>21</v>
      </c>
      <c r="J8" s="64"/>
    </row>
    <row r="9" spans="1:10" s="65" customFormat="1" ht="15.6" x14ac:dyDescent="0.3">
      <c r="A9" s="56">
        <v>4</v>
      </c>
      <c r="B9" s="49"/>
      <c r="C9" s="57">
        <v>12</v>
      </c>
      <c r="D9" s="62">
        <v>12</v>
      </c>
      <c r="E9" s="63" t="s">
        <v>21</v>
      </c>
      <c r="F9" s="63" t="s">
        <v>21</v>
      </c>
      <c r="G9" s="63" t="s">
        <v>21</v>
      </c>
      <c r="H9" s="63" t="s">
        <v>21</v>
      </c>
      <c r="I9" s="62">
        <v>12</v>
      </c>
      <c r="J9" s="64"/>
    </row>
    <row r="10" spans="1:10" s="68" customFormat="1" ht="15.6" x14ac:dyDescent="0.3">
      <c r="A10" s="57">
        <v>5</v>
      </c>
      <c r="B10" s="16" t="s">
        <v>58</v>
      </c>
      <c r="C10" s="57">
        <v>26</v>
      </c>
      <c r="D10" s="66">
        <v>26</v>
      </c>
      <c r="E10" s="58" t="s">
        <v>21</v>
      </c>
      <c r="F10" s="58" t="s">
        <v>21</v>
      </c>
      <c r="G10" s="58" t="s">
        <v>21</v>
      </c>
      <c r="H10" s="58" t="s">
        <v>21</v>
      </c>
      <c r="I10" s="66">
        <v>26</v>
      </c>
      <c r="J10" s="67"/>
    </row>
    <row r="11" spans="1:10" s="65" customFormat="1" ht="15.6" x14ac:dyDescent="0.3">
      <c r="A11" s="56">
        <v>6</v>
      </c>
      <c r="B11" s="16" t="s">
        <v>59</v>
      </c>
      <c r="C11" s="57">
        <v>12</v>
      </c>
      <c r="D11" s="62">
        <v>12</v>
      </c>
      <c r="E11" s="63" t="s">
        <v>21</v>
      </c>
      <c r="F11" s="63" t="s">
        <v>21</v>
      </c>
      <c r="G11" s="63" t="s">
        <v>21</v>
      </c>
      <c r="H11" s="63" t="s">
        <v>21</v>
      </c>
      <c r="I11" s="62">
        <v>12</v>
      </c>
      <c r="J11" s="64"/>
    </row>
    <row r="12" spans="1:10" s="71" customFormat="1" ht="15.6" x14ac:dyDescent="0.3">
      <c r="A12" s="56">
        <v>7</v>
      </c>
      <c r="B12" s="16" t="s">
        <v>60</v>
      </c>
      <c r="C12" s="69" t="s">
        <v>21</v>
      </c>
      <c r="D12" s="69" t="s">
        <v>21</v>
      </c>
      <c r="E12" s="58" t="s">
        <v>21</v>
      </c>
      <c r="F12" s="58" t="s">
        <v>21</v>
      </c>
      <c r="G12" s="58" t="s">
        <v>21</v>
      </c>
      <c r="H12" s="58" t="s">
        <v>21</v>
      </c>
      <c r="I12" s="69" t="s">
        <v>21</v>
      </c>
      <c r="J12" s="70"/>
    </row>
    <row r="13" spans="1:10" s="71" customFormat="1" ht="15.6" x14ac:dyDescent="0.3">
      <c r="A13" s="57">
        <v>8</v>
      </c>
      <c r="B13" s="16" t="s">
        <v>61</v>
      </c>
      <c r="C13" s="32">
        <v>18</v>
      </c>
      <c r="D13" s="32">
        <v>18</v>
      </c>
      <c r="E13" s="58" t="s">
        <v>21</v>
      </c>
      <c r="F13" s="58" t="s">
        <v>21</v>
      </c>
      <c r="G13" s="58" t="s">
        <v>21</v>
      </c>
      <c r="H13" s="58" t="s">
        <v>21</v>
      </c>
      <c r="I13" s="32">
        <v>18</v>
      </c>
      <c r="J13" s="70"/>
    </row>
    <row r="14" spans="1:10" s="71" customFormat="1" ht="15.6" x14ac:dyDescent="0.3">
      <c r="A14" s="56">
        <v>9</v>
      </c>
      <c r="B14" s="16" t="s">
        <v>62</v>
      </c>
      <c r="C14" s="32">
        <v>1</v>
      </c>
      <c r="D14" s="32" t="s">
        <v>21</v>
      </c>
      <c r="E14" s="58" t="s">
        <v>21</v>
      </c>
      <c r="F14" s="58" t="s">
        <v>21</v>
      </c>
      <c r="G14" s="58" t="s">
        <v>21</v>
      </c>
      <c r="H14" s="58" t="s">
        <v>21</v>
      </c>
      <c r="I14" s="58" t="s">
        <v>21</v>
      </c>
      <c r="J14" s="70"/>
    </row>
    <row r="15" spans="1:10" s="71" customFormat="1" ht="15.6" x14ac:dyDescent="0.3">
      <c r="A15" s="56">
        <v>10</v>
      </c>
      <c r="B15" s="16" t="s">
        <v>63</v>
      </c>
      <c r="C15" s="32">
        <v>1</v>
      </c>
      <c r="D15" s="32">
        <v>1</v>
      </c>
      <c r="E15" s="58" t="s">
        <v>21</v>
      </c>
      <c r="F15" s="58" t="s">
        <v>21</v>
      </c>
      <c r="G15" s="58" t="s">
        <v>21</v>
      </c>
      <c r="H15" s="58" t="s">
        <v>21</v>
      </c>
      <c r="I15" s="72">
        <v>1</v>
      </c>
      <c r="J15" s="70"/>
    </row>
    <row r="16" spans="1:10" s="71" customFormat="1" ht="15.6" x14ac:dyDescent="0.3">
      <c r="A16" s="57">
        <v>11</v>
      </c>
      <c r="B16" s="16" t="s">
        <v>64</v>
      </c>
      <c r="C16" s="32" t="s">
        <v>21</v>
      </c>
      <c r="D16" s="32" t="s">
        <v>21</v>
      </c>
      <c r="E16" s="58" t="s">
        <v>21</v>
      </c>
      <c r="F16" s="58" t="s">
        <v>21</v>
      </c>
      <c r="G16" s="58" t="s">
        <v>21</v>
      </c>
      <c r="H16" s="58" t="s">
        <v>21</v>
      </c>
      <c r="I16" s="58" t="s">
        <v>21</v>
      </c>
      <c r="J16" s="70"/>
    </row>
    <row r="17" spans="1:10" s="71" customFormat="1" ht="15.6" x14ac:dyDescent="0.3">
      <c r="A17" s="56">
        <v>12</v>
      </c>
      <c r="B17" s="16" t="s">
        <v>65</v>
      </c>
      <c r="C17" s="32">
        <v>2</v>
      </c>
      <c r="D17" s="32">
        <v>1</v>
      </c>
      <c r="E17" s="58" t="s">
        <v>21</v>
      </c>
      <c r="F17" s="58" t="s">
        <v>21</v>
      </c>
      <c r="G17" s="58" t="s">
        <v>21</v>
      </c>
      <c r="H17" s="58" t="s">
        <v>21</v>
      </c>
      <c r="I17" s="32">
        <v>1</v>
      </c>
      <c r="J17" s="70"/>
    </row>
    <row r="18" spans="1:10" s="71" customFormat="1" ht="15.6" x14ac:dyDescent="0.3">
      <c r="A18" s="56">
        <v>13</v>
      </c>
      <c r="B18" s="16" t="s">
        <v>66</v>
      </c>
      <c r="C18" s="32">
        <v>2</v>
      </c>
      <c r="D18" s="32">
        <v>2</v>
      </c>
      <c r="E18" s="58" t="s">
        <v>21</v>
      </c>
      <c r="F18" s="58" t="s">
        <v>21</v>
      </c>
      <c r="G18" s="58" t="s">
        <v>21</v>
      </c>
      <c r="H18" s="58" t="s">
        <v>21</v>
      </c>
      <c r="I18" s="32">
        <v>2</v>
      </c>
      <c r="J18" s="70"/>
    </row>
    <row r="19" spans="1:10" s="71" customFormat="1" ht="15.6" x14ac:dyDescent="0.3">
      <c r="A19" s="57">
        <v>14</v>
      </c>
      <c r="B19" s="16" t="s">
        <v>67</v>
      </c>
      <c r="C19" s="32">
        <v>2</v>
      </c>
      <c r="D19" s="58" t="s">
        <v>21</v>
      </c>
      <c r="E19" s="58" t="s">
        <v>21</v>
      </c>
      <c r="F19" s="58" t="s">
        <v>21</v>
      </c>
      <c r="G19" s="58" t="s">
        <v>21</v>
      </c>
      <c r="H19" s="58" t="s">
        <v>21</v>
      </c>
      <c r="I19" s="32" t="s">
        <v>21</v>
      </c>
      <c r="J19" s="70"/>
    </row>
    <row r="20" spans="1:10" s="71" customFormat="1" ht="15.6" x14ac:dyDescent="0.3">
      <c r="A20" s="56">
        <v>15</v>
      </c>
      <c r="B20" s="16" t="s">
        <v>68</v>
      </c>
      <c r="C20" s="32">
        <v>7</v>
      </c>
      <c r="D20" s="32">
        <v>8</v>
      </c>
      <c r="E20" s="58" t="s">
        <v>21</v>
      </c>
      <c r="F20" s="58" t="s">
        <v>21</v>
      </c>
      <c r="G20" s="58" t="s">
        <v>21</v>
      </c>
      <c r="H20" s="58" t="s">
        <v>21</v>
      </c>
      <c r="I20" s="32">
        <v>8</v>
      </c>
      <c r="J20" s="70"/>
    </row>
    <row r="21" spans="1:10" s="71" customFormat="1" ht="15.6" x14ac:dyDescent="0.3">
      <c r="A21" s="56">
        <v>16</v>
      </c>
      <c r="B21" s="16" t="s">
        <v>69</v>
      </c>
      <c r="C21" s="32">
        <v>4</v>
      </c>
      <c r="D21" s="32">
        <v>2</v>
      </c>
      <c r="E21" s="58" t="s">
        <v>21</v>
      </c>
      <c r="F21" s="58" t="s">
        <v>21</v>
      </c>
      <c r="G21" s="58" t="s">
        <v>21</v>
      </c>
      <c r="H21" s="58" t="s">
        <v>21</v>
      </c>
      <c r="I21" s="32">
        <v>2</v>
      </c>
      <c r="J21" s="70"/>
    </row>
    <row r="22" spans="1:10" s="71" customFormat="1" ht="15.6" x14ac:dyDescent="0.3">
      <c r="A22" s="57">
        <v>17</v>
      </c>
      <c r="B22" s="16" t="s">
        <v>70</v>
      </c>
      <c r="C22" s="32">
        <v>8</v>
      </c>
      <c r="D22" s="32">
        <v>7</v>
      </c>
      <c r="E22" s="58" t="s">
        <v>21</v>
      </c>
      <c r="F22" s="58" t="s">
        <v>21</v>
      </c>
      <c r="G22" s="58" t="s">
        <v>21</v>
      </c>
      <c r="H22" s="58" t="s">
        <v>21</v>
      </c>
      <c r="I22" s="32">
        <v>7</v>
      </c>
      <c r="J22" s="70"/>
    </row>
    <row r="23" spans="1:10" s="71" customFormat="1" ht="15.6" x14ac:dyDescent="0.3">
      <c r="A23" s="56">
        <v>18</v>
      </c>
      <c r="B23" s="16" t="s">
        <v>71</v>
      </c>
      <c r="C23" s="32">
        <v>1</v>
      </c>
      <c r="D23" s="32" t="s">
        <v>21</v>
      </c>
      <c r="E23" s="58" t="s">
        <v>21</v>
      </c>
      <c r="F23" s="58" t="s">
        <v>21</v>
      </c>
      <c r="G23" s="58" t="s">
        <v>21</v>
      </c>
      <c r="H23" s="58" t="s">
        <v>21</v>
      </c>
      <c r="I23" s="32" t="s">
        <v>21</v>
      </c>
      <c r="J23" s="70"/>
    </row>
    <row r="24" spans="1:10" s="71" customFormat="1" ht="15.6" x14ac:dyDescent="0.3">
      <c r="A24" s="56">
        <v>19</v>
      </c>
      <c r="B24" s="16" t="s">
        <v>72</v>
      </c>
      <c r="C24" s="32">
        <v>1</v>
      </c>
      <c r="D24" s="32" t="s">
        <v>21</v>
      </c>
      <c r="E24" s="58" t="s">
        <v>21</v>
      </c>
      <c r="F24" s="58" t="s">
        <v>21</v>
      </c>
      <c r="G24" s="58" t="s">
        <v>21</v>
      </c>
      <c r="H24" s="58" t="s">
        <v>21</v>
      </c>
      <c r="I24" s="58" t="s">
        <v>21</v>
      </c>
      <c r="J24" s="70"/>
    </row>
    <row r="25" spans="1:10" s="71" customFormat="1" ht="15.6" x14ac:dyDescent="0.3">
      <c r="A25" s="57">
        <v>20</v>
      </c>
      <c r="B25" s="16" t="s">
        <v>73</v>
      </c>
      <c r="C25" s="32">
        <v>3</v>
      </c>
      <c r="D25" s="32" t="s">
        <v>21</v>
      </c>
      <c r="E25" s="58" t="s">
        <v>21</v>
      </c>
      <c r="F25" s="58" t="s">
        <v>21</v>
      </c>
      <c r="G25" s="58" t="s">
        <v>21</v>
      </c>
      <c r="H25" s="58" t="s">
        <v>21</v>
      </c>
      <c r="I25" s="58" t="s">
        <v>21</v>
      </c>
      <c r="J25" s="70"/>
    </row>
  </sheetData>
  <mergeCells count="7">
    <mergeCell ref="A5:J5"/>
    <mergeCell ref="A1:J1"/>
    <mergeCell ref="A2:A3"/>
    <mergeCell ref="C2:D2"/>
    <mergeCell ref="E2:H2"/>
    <mergeCell ref="I2:I3"/>
    <mergeCell ref="J2:J3"/>
  </mergeCells>
  <pageMargins left="0.7" right="0.7" top="0.75" bottom="0.75" header="0.3" footer="0.3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684D-4205-4A61-8D0A-5337727C9A57}">
  <dimension ref="A1:J11"/>
  <sheetViews>
    <sheetView workbookViewId="0">
      <selection activeCell="B13" sqref="B13"/>
    </sheetView>
  </sheetViews>
  <sheetFormatPr defaultColWidth="9.109375" defaultRowHeight="13.8" x14ac:dyDescent="0.25"/>
  <cols>
    <col min="1" max="1" width="7.44140625" style="97" customWidth="1"/>
    <col min="2" max="2" width="47.44140625" style="77" customWidth="1"/>
    <col min="3" max="3" width="10.44140625" style="76" customWidth="1"/>
    <col min="4" max="4" width="12.88671875" style="76" customWidth="1"/>
    <col min="5" max="5" width="12" style="76" customWidth="1"/>
    <col min="6" max="6" width="14.109375" style="76" customWidth="1"/>
    <col min="7" max="7" width="10.33203125" style="76" customWidth="1"/>
    <col min="8" max="8" width="11.6640625" style="76" customWidth="1"/>
    <col min="9" max="9" width="15" style="75" bestFit="1" customWidth="1"/>
    <col min="10" max="10" width="35.109375" style="75" customWidth="1"/>
    <col min="11" max="16384" width="9.109375" style="75"/>
  </cols>
  <sheetData>
    <row r="1" spans="1:10" ht="22.8" x14ac:dyDescent="0.25">
      <c r="A1" s="169" t="s">
        <v>74</v>
      </c>
      <c r="B1" s="169"/>
      <c r="C1" s="169"/>
      <c r="D1" s="169"/>
      <c r="E1" s="169"/>
      <c r="F1" s="169"/>
      <c r="G1" s="169"/>
      <c r="H1" s="169"/>
      <c r="I1" s="169"/>
      <c r="J1" s="169"/>
    </row>
    <row r="2" spans="1:10" ht="15.6" x14ac:dyDescent="0.25">
      <c r="A2" s="76"/>
      <c r="J2" s="78"/>
    </row>
    <row r="3" spans="1:10" s="81" customFormat="1" x14ac:dyDescent="0.25">
      <c r="A3" s="170" t="s">
        <v>45</v>
      </c>
      <c r="B3" s="171" t="s">
        <v>75</v>
      </c>
      <c r="C3" s="172" t="s">
        <v>46</v>
      </c>
      <c r="D3" s="173"/>
      <c r="E3" s="171" t="s">
        <v>76</v>
      </c>
      <c r="F3" s="171"/>
      <c r="G3" s="171"/>
      <c r="H3" s="174" t="s">
        <v>53</v>
      </c>
      <c r="I3" s="174" t="s">
        <v>77</v>
      </c>
      <c r="J3" s="171" t="s">
        <v>49</v>
      </c>
    </row>
    <row r="4" spans="1:10" s="81" customFormat="1" x14ac:dyDescent="0.25">
      <c r="A4" s="170"/>
      <c r="B4" s="171"/>
      <c r="C4" s="82" t="s">
        <v>50</v>
      </c>
      <c r="D4" s="82" t="s">
        <v>51</v>
      </c>
      <c r="E4" s="83" t="s">
        <v>0</v>
      </c>
      <c r="F4" s="84" t="s">
        <v>78</v>
      </c>
      <c r="G4" s="83" t="s">
        <v>2</v>
      </c>
      <c r="H4" s="175"/>
      <c r="I4" s="175"/>
      <c r="J4" s="170"/>
    </row>
    <row r="5" spans="1:10" s="81" customFormat="1" x14ac:dyDescent="0.25">
      <c r="A5" s="79" t="s">
        <v>5</v>
      </c>
      <c r="B5" s="80" t="s">
        <v>6</v>
      </c>
      <c r="C5" s="79" t="s">
        <v>7</v>
      </c>
      <c r="D5" s="79" t="s">
        <v>8</v>
      </c>
      <c r="E5" s="79" t="s">
        <v>18</v>
      </c>
      <c r="F5" s="79" t="s">
        <v>9</v>
      </c>
      <c r="G5" s="79" t="s">
        <v>19</v>
      </c>
      <c r="H5" s="79" t="s">
        <v>10</v>
      </c>
      <c r="I5" s="79" t="s">
        <v>11</v>
      </c>
      <c r="J5" s="79" t="s">
        <v>20</v>
      </c>
    </row>
    <row r="6" spans="1:10" s="81" customFormat="1" x14ac:dyDescent="0.25">
      <c r="A6" s="166" t="s">
        <v>79</v>
      </c>
      <c r="B6" s="167"/>
      <c r="C6" s="167"/>
      <c r="D6" s="167"/>
      <c r="E6" s="167"/>
      <c r="F6" s="167"/>
      <c r="G6" s="167"/>
      <c r="H6" s="167"/>
      <c r="I6" s="167"/>
      <c r="J6" s="168"/>
    </row>
    <row r="7" spans="1:10" ht="15.6" x14ac:dyDescent="0.25">
      <c r="A7" s="79">
        <v>1</v>
      </c>
      <c r="B7" s="85" t="s">
        <v>80</v>
      </c>
      <c r="C7" s="27">
        <v>134</v>
      </c>
      <c r="D7" s="27">
        <v>132</v>
      </c>
      <c r="E7" s="27"/>
      <c r="F7" s="27"/>
      <c r="G7" s="27"/>
      <c r="H7" s="86"/>
      <c r="I7" s="87">
        <v>132</v>
      </c>
      <c r="J7" s="88"/>
    </row>
    <row r="8" spans="1:10" ht="15.6" x14ac:dyDescent="0.25">
      <c r="A8" s="89">
        <v>2</v>
      </c>
      <c r="B8" s="85" t="s">
        <v>81</v>
      </c>
      <c r="C8" s="27">
        <v>439</v>
      </c>
      <c r="D8" s="90">
        <v>679</v>
      </c>
      <c r="E8" s="90"/>
      <c r="F8" s="90"/>
      <c r="G8" s="90"/>
      <c r="H8" s="91"/>
      <c r="I8" s="92">
        <v>679</v>
      </c>
      <c r="J8" s="93"/>
    </row>
    <row r="9" spans="1:10" s="95" customFormat="1" ht="15.6" x14ac:dyDescent="0.25">
      <c r="A9" s="89">
        <v>3</v>
      </c>
      <c r="B9" s="85" t="s">
        <v>82</v>
      </c>
      <c r="C9" s="27">
        <v>472</v>
      </c>
      <c r="D9" s="27">
        <v>43</v>
      </c>
      <c r="E9" s="27"/>
      <c r="F9" s="27"/>
      <c r="G9" s="27"/>
      <c r="H9" s="86"/>
      <c r="I9" s="87">
        <v>43</v>
      </c>
      <c r="J9" s="94"/>
    </row>
    <row r="10" spans="1:10" s="95" customFormat="1" ht="15.6" x14ac:dyDescent="0.25">
      <c r="A10" s="79">
        <v>4</v>
      </c>
      <c r="B10" s="85" t="s">
        <v>83</v>
      </c>
      <c r="C10" s="27">
        <v>45</v>
      </c>
      <c r="D10" s="27">
        <v>23</v>
      </c>
      <c r="E10" s="27"/>
      <c r="F10" s="27"/>
      <c r="G10" s="27"/>
      <c r="H10" s="86"/>
      <c r="I10" s="87">
        <v>23</v>
      </c>
      <c r="J10" s="96"/>
    </row>
    <row r="11" spans="1:10" x14ac:dyDescent="0.25">
      <c r="I11" s="98"/>
    </row>
  </sheetData>
  <mergeCells count="9">
    <mergeCell ref="A6:J6"/>
    <mergeCell ref="A1:J1"/>
    <mergeCell ref="A3:A4"/>
    <mergeCell ref="B3:B4"/>
    <mergeCell ref="C3:D3"/>
    <mergeCell ref="E3:G3"/>
    <mergeCell ref="H3:H4"/>
    <mergeCell ref="I3:I4"/>
    <mergeCell ref="J3:J4"/>
  </mergeCells>
  <dataValidations count="3">
    <dataValidation type="whole" allowBlank="1" showInputMessage="1" showErrorMessage="1" sqref="C7:G10" xr:uid="{1056FAB4-E6E9-447F-9985-03C6319ABEA2}">
      <formula1>0</formula1>
      <formula2>50000</formula2>
    </dataValidation>
    <dataValidation allowBlank="1" showInputMessage="1" showErrorMessage="1" promptTitle="FORMULA USED" prompt="Don't Ammend Here" sqref="B7:B10" xr:uid="{8F7E75F7-3BBD-46BA-A437-367138FCD24F}"/>
    <dataValidation type="whole" allowBlank="1" showInputMessage="1" showErrorMessage="1" errorTitle="Value Between 0 to 200000" sqref="I7:I10" xr:uid="{FD920C79-3032-4C85-9F7E-F4BE68732252}">
      <formula1>0</formula1>
      <formula2>200000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F9B3-69F3-49F4-9FF9-656C004C1DD3}">
  <dimension ref="A1:P14"/>
  <sheetViews>
    <sheetView tabSelected="1" view="pageBreakPreview" zoomScale="60" zoomScaleNormal="100" workbookViewId="0">
      <selection activeCell="J32" sqref="J32"/>
    </sheetView>
  </sheetViews>
  <sheetFormatPr defaultColWidth="9.109375" defaultRowHeight="15" x14ac:dyDescent="0.25"/>
  <cols>
    <col min="1" max="1" width="7" style="99" customWidth="1"/>
    <col min="2" max="2" width="9.109375" style="99"/>
    <col min="3" max="3" width="38.88671875" style="99" customWidth="1"/>
    <col min="4" max="4" width="9.109375" style="99"/>
    <col min="5" max="5" width="9.5546875" style="99" customWidth="1"/>
    <col min="6" max="6" width="6.6640625" style="99" customWidth="1"/>
    <col min="7" max="7" width="11.33203125" style="99" customWidth="1"/>
    <col min="8" max="8" width="6.5546875" style="99" customWidth="1"/>
    <col min="9" max="9" width="14.33203125" style="99" customWidth="1"/>
    <col min="10" max="10" width="8.88671875" style="99" customWidth="1"/>
    <col min="11" max="11" width="10" style="99" customWidth="1"/>
    <col min="12" max="12" width="11.88671875" style="99" customWidth="1"/>
    <col min="13" max="13" width="11.6640625" style="99" customWidth="1"/>
    <col min="14" max="14" width="13.33203125" style="99" bestFit="1" customWidth="1"/>
    <col min="15" max="15" width="13" style="99" customWidth="1"/>
    <col min="16" max="16" width="35" style="99" customWidth="1"/>
    <col min="17" max="16384" width="9.109375" style="99"/>
  </cols>
  <sheetData>
    <row r="1" spans="1:16" ht="21" x14ac:dyDescent="0.25">
      <c r="A1" s="135" t="s">
        <v>84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1:16" ht="15.6" x14ac:dyDescent="0.25">
      <c r="A2" s="100"/>
      <c r="B2" s="100"/>
      <c r="C2" s="101"/>
      <c r="D2" s="100"/>
      <c r="E2" s="100"/>
      <c r="F2" s="100"/>
      <c r="G2" s="100"/>
      <c r="H2" s="100"/>
      <c r="I2" s="100"/>
      <c r="J2" s="100"/>
      <c r="K2" s="102"/>
      <c r="L2" s="102"/>
      <c r="M2" s="102"/>
      <c r="N2" s="136"/>
      <c r="O2" s="137"/>
      <c r="P2" s="137"/>
    </row>
    <row r="3" spans="1:16" ht="15.6" x14ac:dyDescent="0.25">
      <c r="A3" s="134" t="s">
        <v>45</v>
      </c>
      <c r="B3" s="138" t="s">
        <v>75</v>
      </c>
      <c r="C3" s="139"/>
      <c r="D3" s="142" t="s">
        <v>46</v>
      </c>
      <c r="E3" s="143"/>
      <c r="F3" s="134" t="s">
        <v>85</v>
      </c>
      <c r="G3" s="134"/>
      <c r="H3" s="134"/>
      <c r="I3" s="131" t="s">
        <v>86</v>
      </c>
      <c r="J3" s="131" t="s">
        <v>87</v>
      </c>
      <c r="K3" s="131" t="s">
        <v>88</v>
      </c>
      <c r="L3" s="133" t="s">
        <v>89</v>
      </c>
      <c r="M3" s="133" t="s">
        <v>90</v>
      </c>
      <c r="N3" s="133" t="s">
        <v>91</v>
      </c>
      <c r="O3" s="133" t="s">
        <v>92</v>
      </c>
      <c r="P3" s="133" t="s">
        <v>93</v>
      </c>
    </row>
    <row r="4" spans="1:16" ht="82.8" x14ac:dyDescent="0.25">
      <c r="A4" s="134"/>
      <c r="B4" s="140"/>
      <c r="C4" s="141"/>
      <c r="D4" s="104" t="s">
        <v>94</v>
      </c>
      <c r="E4" s="104" t="s">
        <v>51</v>
      </c>
      <c r="F4" s="105" t="s">
        <v>95</v>
      </c>
      <c r="G4" s="106" t="s">
        <v>96</v>
      </c>
      <c r="H4" s="105" t="s">
        <v>97</v>
      </c>
      <c r="I4" s="132"/>
      <c r="J4" s="132"/>
      <c r="K4" s="132"/>
      <c r="L4" s="133"/>
      <c r="M4" s="133"/>
      <c r="N4" s="133"/>
      <c r="O4" s="133"/>
      <c r="P4" s="134"/>
    </row>
    <row r="5" spans="1:16" ht="15.6" x14ac:dyDescent="0.25">
      <c r="A5" s="103" t="s">
        <v>5</v>
      </c>
      <c r="B5" s="125" t="s">
        <v>6</v>
      </c>
      <c r="C5" s="126"/>
      <c r="D5" s="103" t="s">
        <v>7</v>
      </c>
      <c r="E5" s="103" t="s">
        <v>8</v>
      </c>
      <c r="F5" s="103" t="s">
        <v>18</v>
      </c>
      <c r="G5" s="107" t="s">
        <v>9</v>
      </c>
      <c r="H5" s="103" t="s">
        <v>19</v>
      </c>
      <c r="I5" s="103" t="s">
        <v>10</v>
      </c>
      <c r="J5" s="103" t="s">
        <v>11</v>
      </c>
      <c r="K5" s="103" t="s">
        <v>20</v>
      </c>
      <c r="L5" s="103" t="s">
        <v>98</v>
      </c>
      <c r="M5" s="103" t="s">
        <v>99</v>
      </c>
      <c r="N5" s="103" t="s">
        <v>100</v>
      </c>
      <c r="O5" s="103" t="s">
        <v>101</v>
      </c>
      <c r="P5" s="103" t="s">
        <v>102</v>
      </c>
    </row>
    <row r="6" spans="1:16" s="112" customFormat="1" ht="15.6" x14ac:dyDescent="0.3">
      <c r="A6" s="36">
        <v>1</v>
      </c>
      <c r="B6" s="127" t="s">
        <v>103</v>
      </c>
      <c r="C6" s="127"/>
      <c r="D6" s="108">
        <v>2</v>
      </c>
      <c r="E6" s="108">
        <v>1</v>
      </c>
      <c r="F6" s="108"/>
      <c r="G6" s="108"/>
      <c r="H6" s="108"/>
      <c r="I6" s="108"/>
      <c r="J6" s="108"/>
      <c r="K6" s="109">
        <v>1</v>
      </c>
      <c r="L6" s="110">
        <f t="shared" ref="L6:M14" si="0">IF(D6=0,"-",(I6/D6))</f>
        <v>0</v>
      </c>
      <c r="M6" s="110">
        <f t="shared" si="0"/>
        <v>0</v>
      </c>
      <c r="N6" s="110">
        <f t="shared" ref="N6:N11" si="1">IF(E6=0,"-",(K6/E6))</f>
        <v>1</v>
      </c>
      <c r="O6" s="110">
        <f t="shared" ref="O6:O11" si="2">IF(E6=0,"-",(M6+N6))</f>
        <v>1</v>
      </c>
      <c r="P6" s="111"/>
    </row>
    <row r="7" spans="1:16" s="112" customFormat="1" ht="15.6" x14ac:dyDescent="0.25">
      <c r="A7" s="36">
        <v>2</v>
      </c>
      <c r="B7" s="128" t="s">
        <v>104</v>
      </c>
      <c r="C7" s="129"/>
      <c r="D7" s="113">
        <v>166</v>
      </c>
      <c r="E7" s="113">
        <v>166</v>
      </c>
      <c r="F7" s="113"/>
      <c r="G7" s="113"/>
      <c r="H7" s="113"/>
      <c r="I7" s="113"/>
      <c r="J7" s="113"/>
      <c r="K7" s="114">
        <v>166</v>
      </c>
      <c r="L7" s="110">
        <f t="shared" si="0"/>
        <v>0</v>
      </c>
      <c r="M7" s="110">
        <f t="shared" si="0"/>
        <v>0</v>
      </c>
      <c r="N7" s="110">
        <f t="shared" si="1"/>
        <v>1</v>
      </c>
      <c r="O7" s="110">
        <f t="shared" si="2"/>
        <v>1</v>
      </c>
      <c r="P7" s="115"/>
    </row>
    <row r="8" spans="1:16" s="116" customFormat="1" ht="15.6" x14ac:dyDescent="0.3">
      <c r="A8" s="103">
        <v>3</v>
      </c>
      <c r="B8" s="122" t="s">
        <v>105</v>
      </c>
      <c r="C8" s="122"/>
      <c r="D8" s="108">
        <v>24</v>
      </c>
      <c r="E8" s="108">
        <v>10</v>
      </c>
      <c r="F8" s="108"/>
      <c r="G8" s="108"/>
      <c r="H8" s="108"/>
      <c r="I8" s="108"/>
      <c r="J8" s="108"/>
      <c r="K8" s="109">
        <v>10</v>
      </c>
      <c r="L8" s="110">
        <f t="shared" si="0"/>
        <v>0</v>
      </c>
      <c r="M8" s="110">
        <f t="shared" si="0"/>
        <v>0</v>
      </c>
      <c r="N8" s="110">
        <f t="shared" si="1"/>
        <v>1</v>
      </c>
      <c r="O8" s="110">
        <f t="shared" si="2"/>
        <v>1</v>
      </c>
      <c r="P8" s="111"/>
    </row>
    <row r="9" spans="1:16" s="118" customFormat="1" ht="15.6" x14ac:dyDescent="0.3">
      <c r="A9" s="36">
        <v>4</v>
      </c>
      <c r="B9" s="130" t="s">
        <v>106</v>
      </c>
      <c r="C9" s="130"/>
      <c r="D9" s="108">
        <v>182</v>
      </c>
      <c r="E9" s="108">
        <v>59</v>
      </c>
      <c r="F9" s="108"/>
      <c r="G9" s="108"/>
      <c r="H9" s="108"/>
      <c r="I9" s="108"/>
      <c r="J9" s="108"/>
      <c r="K9" s="109">
        <v>59</v>
      </c>
      <c r="L9" s="117">
        <f t="shared" si="0"/>
        <v>0</v>
      </c>
      <c r="M9" s="117">
        <f t="shared" si="0"/>
        <v>0</v>
      </c>
      <c r="N9" s="117">
        <f t="shared" si="1"/>
        <v>1</v>
      </c>
      <c r="O9" s="117">
        <f t="shared" si="2"/>
        <v>1</v>
      </c>
      <c r="P9" s="9"/>
    </row>
    <row r="10" spans="1:16" s="112" customFormat="1" ht="15.6" x14ac:dyDescent="0.3">
      <c r="A10" s="36">
        <v>5</v>
      </c>
      <c r="B10" s="122" t="s">
        <v>107</v>
      </c>
      <c r="C10" s="122"/>
      <c r="D10" s="108">
        <v>2</v>
      </c>
      <c r="E10" s="108">
        <v>4</v>
      </c>
      <c r="F10" s="108"/>
      <c r="G10" s="108"/>
      <c r="H10" s="108"/>
      <c r="I10" s="108"/>
      <c r="J10" s="108"/>
      <c r="K10" s="109">
        <v>4</v>
      </c>
      <c r="L10" s="110">
        <f t="shared" si="0"/>
        <v>0</v>
      </c>
      <c r="M10" s="110">
        <f t="shared" si="0"/>
        <v>0</v>
      </c>
      <c r="N10" s="110">
        <f t="shared" si="1"/>
        <v>1</v>
      </c>
      <c r="O10" s="110">
        <f t="shared" si="2"/>
        <v>1</v>
      </c>
      <c r="P10" s="111"/>
    </row>
    <row r="11" spans="1:16" s="119" customFormat="1" ht="15.6" x14ac:dyDescent="0.3">
      <c r="A11" s="103">
        <v>6</v>
      </c>
      <c r="B11" s="122" t="s">
        <v>108</v>
      </c>
      <c r="C11" s="122"/>
      <c r="D11" s="113">
        <v>102</v>
      </c>
      <c r="E11" s="113">
        <v>76</v>
      </c>
      <c r="F11" s="113"/>
      <c r="G11" s="113"/>
      <c r="H11" s="113"/>
      <c r="I11" s="113"/>
      <c r="J11" s="113"/>
      <c r="K11" s="114">
        <v>76</v>
      </c>
      <c r="L11" s="110">
        <f t="shared" si="0"/>
        <v>0</v>
      </c>
      <c r="M11" s="110">
        <f t="shared" si="0"/>
        <v>0</v>
      </c>
      <c r="N11" s="110">
        <f t="shared" si="1"/>
        <v>1</v>
      </c>
      <c r="O11" s="110">
        <f t="shared" si="2"/>
        <v>1</v>
      </c>
      <c r="P11" s="85"/>
    </row>
    <row r="12" spans="1:16" s="121" customFormat="1" ht="15.6" x14ac:dyDescent="0.3">
      <c r="A12" s="36">
        <v>7</v>
      </c>
      <c r="B12" s="123" t="s">
        <v>109</v>
      </c>
      <c r="C12" s="124"/>
      <c r="D12" s="108">
        <v>8</v>
      </c>
      <c r="E12" s="108">
        <v>8</v>
      </c>
      <c r="F12" s="108"/>
      <c r="G12" s="108"/>
      <c r="H12" s="108"/>
      <c r="I12" s="108"/>
      <c r="J12" s="108"/>
      <c r="K12" s="108">
        <v>8</v>
      </c>
      <c r="L12" s="117">
        <f t="shared" si="0"/>
        <v>0</v>
      </c>
      <c r="M12" s="117">
        <f t="shared" si="0"/>
        <v>0</v>
      </c>
      <c r="N12" s="117">
        <f>IF(E12=0,"-",(K12/E12))</f>
        <v>1</v>
      </c>
      <c r="O12" s="117">
        <f>IF(E12=0,"-",(M12+N12))</f>
        <v>1</v>
      </c>
      <c r="P12" s="120"/>
    </row>
    <row r="13" spans="1:16" s="112" customFormat="1" ht="15.6" x14ac:dyDescent="0.3">
      <c r="A13" s="36">
        <v>8</v>
      </c>
      <c r="B13" s="123" t="s">
        <v>110</v>
      </c>
      <c r="C13" s="124"/>
      <c r="D13" s="108">
        <v>10</v>
      </c>
      <c r="E13" s="108">
        <v>9</v>
      </c>
      <c r="F13" s="108"/>
      <c r="G13" s="108"/>
      <c r="H13" s="108"/>
      <c r="I13" s="108"/>
      <c r="J13" s="108"/>
      <c r="K13" s="108">
        <v>9</v>
      </c>
      <c r="L13" s="110">
        <f t="shared" si="0"/>
        <v>0</v>
      </c>
      <c r="M13" s="110">
        <f t="shared" si="0"/>
        <v>0</v>
      </c>
      <c r="N13" s="110">
        <f>IF(E13=0,"-",(K13/E13))</f>
        <v>1</v>
      </c>
      <c r="O13" s="110">
        <f>IF(E13=0,"-",(M13+N13))</f>
        <v>1</v>
      </c>
      <c r="P13" s="120"/>
    </row>
    <row r="14" spans="1:16" s="112" customFormat="1" ht="15.6" x14ac:dyDescent="0.3">
      <c r="A14" s="103">
        <v>9</v>
      </c>
      <c r="B14" s="123" t="s">
        <v>111</v>
      </c>
      <c r="C14" s="124"/>
      <c r="D14" s="108">
        <v>8</v>
      </c>
      <c r="E14" s="108">
        <v>8</v>
      </c>
      <c r="F14" s="108"/>
      <c r="G14" s="108"/>
      <c r="H14" s="108"/>
      <c r="I14" s="108"/>
      <c r="J14" s="108"/>
      <c r="K14" s="108">
        <v>8</v>
      </c>
      <c r="L14" s="110">
        <f t="shared" si="0"/>
        <v>0</v>
      </c>
      <c r="M14" s="110">
        <f t="shared" si="0"/>
        <v>0</v>
      </c>
      <c r="N14" s="110">
        <f>IF(E14=0,"-",(K14/E14))</f>
        <v>1</v>
      </c>
      <c r="O14" s="110">
        <f>IF(E14=0,"-",(M14+N14))</f>
        <v>1</v>
      </c>
      <c r="P14" s="120"/>
    </row>
  </sheetData>
  <mergeCells count="24">
    <mergeCell ref="P3:P4"/>
    <mergeCell ref="A1:P1"/>
    <mergeCell ref="N2:P2"/>
    <mergeCell ref="A3:A4"/>
    <mergeCell ref="B3:C4"/>
    <mergeCell ref="D3:E3"/>
    <mergeCell ref="F3:H3"/>
    <mergeCell ref="I3:I4"/>
    <mergeCell ref="J3:J4"/>
    <mergeCell ref="K3:K4"/>
    <mergeCell ref="L3:L4"/>
    <mergeCell ref="M3:M4"/>
    <mergeCell ref="N3:N4"/>
    <mergeCell ref="O3:O4"/>
    <mergeCell ref="B11:C11"/>
    <mergeCell ref="B12:C12"/>
    <mergeCell ref="B13:C13"/>
    <mergeCell ref="B14:C14"/>
    <mergeCell ref="B5:C5"/>
    <mergeCell ref="B6:C6"/>
    <mergeCell ref="B7:C7"/>
    <mergeCell ref="B8:C8"/>
    <mergeCell ref="B9:C9"/>
    <mergeCell ref="B10:C10"/>
  </mergeCells>
  <dataValidations count="2">
    <dataValidation type="whole" allowBlank="1" showInputMessage="1" showErrorMessage="1" errorTitle="Value Between 0 to 200000" sqref="K6:K11" xr:uid="{65291FAA-618A-4FDB-9B36-CC27C3674CAE}">
      <formula1>0</formula1>
      <formula2>200000</formula2>
    </dataValidation>
    <dataValidation type="whole" allowBlank="1" showInputMessage="1" showErrorMessage="1" sqref="H6:J11 D6:F11" xr:uid="{19001CE6-3D50-46A6-985D-26D1B781C589}">
      <formula1>0</formula1>
      <formula2>50000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B Vehicle</vt:lpstr>
      <vt:lpstr>C Vehicle</vt:lpstr>
      <vt:lpstr>SA</vt:lpstr>
      <vt:lpstr>INSTS</vt:lpstr>
      <vt:lpstr>'B Vehicle'!Print_Area</vt:lpstr>
      <vt:lpstr>INSTS!Print_Area</vt:lpstr>
      <vt:lpstr>'B Vehicle'!Print_Titles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2026-03-23T06:47:41Z</dcterms:modified>
</cp:coreProperties>
</file>
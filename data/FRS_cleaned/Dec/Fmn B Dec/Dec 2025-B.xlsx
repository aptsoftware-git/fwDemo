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nju\INTERNSHIP-APT\ftWilliam\FRS\Dec\Fmn B Dec\"/>
    </mc:Choice>
  </mc:AlternateContent>
  <xr:revisionPtr revIDLastSave="0" documentId="13_ncr:1_{483619FF-2214-4AC5-87A9-55B65C601B10}" xr6:coauthVersionLast="47" xr6:coauthVersionMax="47" xr10:uidLastSave="{00000000-0000-0000-0000-000000000000}"/>
  <bookViews>
    <workbookView xWindow="-108" yWindow="-108" windowWidth="23256" windowHeight="12456" tabRatio="959" activeTab="5" xr2:uid="{00000000-000D-0000-FFFF-FFFF00000000}"/>
  </bookViews>
  <sheets>
    <sheet name="B Vehicle" sheetId="2" r:id="rId1"/>
    <sheet name="C Vehicle" sheetId="3" r:id="rId2"/>
    <sheet name="ARMT" sheetId="10" r:id="rId3"/>
    <sheet name="SA" sheetId="11" r:id="rId4"/>
    <sheet name="CBRN" sheetId="8" r:id="rId5"/>
    <sheet name="INSTS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a">'[1]FRS Units held amdt'!#REF!</definedName>
    <definedName name="aaa">'[1]FRS Units held amdt'!#REF!</definedName>
    <definedName name="aaaaaaaaa">'[2]FRS Units held amdt'!#REF!</definedName>
    <definedName name="ad">'[3]FRS Units held amdt'!#REF!</definedName>
    <definedName name="AS">'[3]FRS Units held amdt'!#REF!</definedName>
    <definedName name="ASD">'[4]FRS Units held amdt'!#REF!</definedName>
    <definedName name="Bot_rece_3man_2A">'[2]FRS Units held amdt'!#REF!</definedName>
    <definedName name="Engr_Eqpt_List_1">'[5]Engr eqpt'!$B$5:$B$72</definedName>
    <definedName name="MOTOR_CYCLE">#REF!</definedName>
    <definedName name="_xlnm.Print_Area" localSheetId="2">ARMT!$A$1:$T$24</definedName>
    <definedName name="_xlnm.Print_Area" localSheetId="3">SA!$A$2:$V$76</definedName>
    <definedName name="Sample_format">'[2]FRS Units held amdt'!#REF!</definedName>
    <definedName name="sh">#REF!</definedName>
    <definedName name="Spare">'[1]FRS Units held amdt'!#REF!</definedName>
    <definedName name="Unit_List_606">'[5]Dependent User Unit'!$C$6:$C$35</definedName>
    <definedName name="VOR">'[3]FRS Units held amdt'!#REF!</definedName>
    <definedName name="VORr">'[4]FRS Units held amdt'!#REF!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0" i="3" l="1"/>
  <c r="I80" i="3" s="1"/>
  <c r="M6" i="11"/>
  <c r="O6" i="11"/>
  <c r="P6" i="11"/>
  <c r="M7" i="11"/>
  <c r="O7" i="11"/>
  <c r="P7" i="11"/>
  <c r="M8" i="11"/>
  <c r="O8" i="11"/>
  <c r="P8" i="11"/>
  <c r="M9" i="11"/>
  <c r="O9" i="11"/>
  <c r="P9" i="11"/>
  <c r="M10" i="11"/>
  <c r="O10" i="11"/>
  <c r="M11" i="11"/>
  <c r="O11" i="11"/>
  <c r="P11" i="11" s="1"/>
  <c r="M12" i="11"/>
  <c r="O12" i="11"/>
  <c r="P12" i="11"/>
  <c r="M13" i="11"/>
  <c r="O13" i="11"/>
  <c r="P13" i="11"/>
  <c r="M14" i="11"/>
  <c r="O14" i="11"/>
  <c r="P14" i="11"/>
  <c r="M15" i="11"/>
  <c r="O15" i="11"/>
  <c r="P15" i="11"/>
  <c r="M16" i="11"/>
  <c r="O16" i="11"/>
  <c r="P16" i="11"/>
  <c r="M17" i="11"/>
  <c r="O17" i="11"/>
  <c r="P17" i="11"/>
  <c r="M18" i="11"/>
  <c r="N18" i="11"/>
  <c r="O18" i="11"/>
  <c r="P18" i="11"/>
  <c r="M19" i="11"/>
  <c r="N19" i="11"/>
  <c r="O19" i="11"/>
  <c r="M20" i="11"/>
  <c r="O20" i="11"/>
  <c r="P20" i="11"/>
  <c r="M21" i="11"/>
  <c r="O21" i="11"/>
  <c r="P21" i="11"/>
  <c r="M24" i="11"/>
  <c r="N24" i="11"/>
  <c r="O24" i="11"/>
  <c r="P24" i="11"/>
  <c r="M25" i="11"/>
  <c r="N25" i="11"/>
  <c r="P25" i="11" s="1"/>
  <c r="O25" i="11"/>
  <c r="M26" i="11"/>
  <c r="N26" i="11"/>
  <c r="O26" i="11"/>
  <c r="P26" i="11"/>
  <c r="M27" i="11"/>
  <c r="O27" i="11"/>
  <c r="P27" i="11"/>
  <c r="M29" i="11"/>
  <c r="O29" i="11"/>
  <c r="P29" i="11"/>
  <c r="M30" i="11"/>
  <c r="O30" i="11"/>
  <c r="P30" i="11"/>
  <c r="M31" i="11"/>
  <c r="O31" i="11"/>
  <c r="P31" i="11"/>
  <c r="M32" i="11"/>
  <c r="O32" i="11"/>
  <c r="P32" i="11"/>
  <c r="M33" i="11"/>
  <c r="N33" i="11"/>
  <c r="O33" i="11"/>
  <c r="P33" i="11"/>
  <c r="M34" i="11"/>
  <c r="N34" i="11"/>
  <c r="P34" i="11" s="1"/>
  <c r="O34" i="11"/>
  <c r="M35" i="11"/>
  <c r="N35" i="11"/>
  <c r="O35" i="11"/>
  <c r="P35" i="11"/>
  <c r="M36" i="11"/>
  <c r="N36" i="11"/>
  <c r="O36" i="11"/>
  <c r="P36" i="11"/>
  <c r="M37" i="11"/>
  <c r="N37" i="11"/>
  <c r="O37" i="11"/>
  <c r="P37" i="11"/>
  <c r="M38" i="11"/>
  <c r="N38" i="11"/>
  <c r="O38" i="11"/>
  <c r="P38" i="11"/>
  <c r="M39" i="11"/>
  <c r="O39" i="11"/>
  <c r="P39" i="11"/>
  <c r="M40" i="11"/>
  <c r="O40" i="11"/>
  <c r="P40" i="11"/>
  <c r="M41" i="11"/>
  <c r="N41" i="11"/>
  <c r="O41" i="11"/>
  <c r="P41" i="11"/>
  <c r="M42" i="11"/>
  <c r="N42" i="11"/>
  <c r="P42" i="11" s="1"/>
  <c r="O42" i="11"/>
  <c r="M43" i="11"/>
  <c r="O43" i="11"/>
  <c r="P43" i="11"/>
  <c r="M44" i="11"/>
  <c r="O44" i="11"/>
  <c r="P44" i="11" s="1"/>
  <c r="M45" i="11"/>
  <c r="O45" i="11"/>
  <c r="P45" i="11"/>
  <c r="M46" i="11"/>
  <c r="O46" i="11"/>
  <c r="P46" i="11"/>
  <c r="M47" i="11"/>
  <c r="O47" i="11"/>
  <c r="P47" i="11"/>
  <c r="M48" i="11"/>
  <c r="N48" i="11"/>
  <c r="O48" i="11"/>
  <c r="M49" i="11"/>
  <c r="N49" i="11"/>
  <c r="O49" i="11"/>
  <c r="M50" i="11"/>
  <c r="N50" i="11"/>
  <c r="O50" i="11"/>
  <c r="P50" i="11"/>
  <c r="M51" i="11"/>
  <c r="N51" i="11"/>
  <c r="O51" i="11"/>
  <c r="P51" i="11"/>
  <c r="M52" i="11"/>
  <c r="O52" i="11"/>
  <c r="P52" i="11" s="1"/>
  <c r="M53" i="11"/>
  <c r="O53" i="11"/>
  <c r="P53" i="11" s="1"/>
  <c r="M54" i="11"/>
  <c r="O54" i="11"/>
  <c r="P54" i="11" s="1"/>
  <c r="M55" i="11"/>
  <c r="N55" i="11"/>
  <c r="P55" i="11" s="1"/>
  <c r="O55" i="11"/>
  <c r="M56" i="11"/>
  <c r="N56" i="11"/>
  <c r="O56" i="11"/>
  <c r="M57" i="11"/>
  <c r="M58" i="11"/>
  <c r="N58" i="11"/>
  <c r="O58" i="11"/>
  <c r="P58" i="11" s="1"/>
  <c r="M59" i="11"/>
  <c r="O59" i="11"/>
  <c r="P59" i="11" s="1"/>
  <c r="M60" i="11"/>
  <c r="O60" i="11"/>
  <c r="P60" i="11" s="1"/>
  <c r="M61" i="11"/>
  <c r="N61" i="11"/>
  <c r="O61" i="11"/>
  <c r="P61" i="11"/>
  <c r="M62" i="11"/>
  <c r="O62" i="11"/>
  <c r="P62" i="11"/>
  <c r="M64" i="11"/>
  <c r="O64" i="11"/>
  <c r="P64" i="11" s="1"/>
  <c r="M67" i="11"/>
  <c r="O67" i="11"/>
  <c r="P67" i="11"/>
  <c r="M70" i="11"/>
  <c r="M71" i="11"/>
  <c r="M72" i="11"/>
  <c r="L74" i="11"/>
  <c r="O74" i="11" s="1"/>
  <c r="P74" i="11" s="1"/>
  <c r="L75" i="11"/>
  <c r="O75" i="11" s="1"/>
  <c r="P75" i="11" s="1"/>
  <c r="L76" i="11"/>
  <c r="O76" i="11" s="1"/>
  <c r="P76" i="11" s="1"/>
  <c r="P6" i="10" l="1"/>
  <c r="Q6" i="10"/>
  <c r="R6" i="10"/>
  <c r="S6" i="10" s="1"/>
  <c r="P7" i="10"/>
  <c r="Q7" i="10"/>
  <c r="S7" i="10" s="1"/>
  <c r="R7" i="10"/>
  <c r="P8" i="10"/>
  <c r="Q8" i="10"/>
  <c r="R8" i="10"/>
  <c r="S8" i="10"/>
  <c r="P9" i="10"/>
  <c r="Q9" i="10"/>
  <c r="R9" i="10"/>
  <c r="S9" i="10"/>
  <c r="P10" i="10"/>
  <c r="Q10" i="10"/>
  <c r="R10" i="10"/>
  <c r="S10" i="10"/>
  <c r="P11" i="10"/>
  <c r="Q11" i="10"/>
  <c r="R11" i="10"/>
  <c r="S11" i="10"/>
  <c r="P12" i="10"/>
  <c r="Q12" i="10"/>
  <c r="R12" i="10"/>
  <c r="S12" i="10"/>
  <c r="P13" i="10"/>
  <c r="Q13" i="10"/>
  <c r="R13" i="10"/>
  <c r="S13" i="10"/>
  <c r="P14" i="10"/>
  <c r="Q14" i="10"/>
  <c r="R14" i="10"/>
  <c r="S14" i="10"/>
  <c r="P15" i="10"/>
  <c r="Q15" i="10"/>
  <c r="R15" i="10"/>
  <c r="S15" i="10"/>
  <c r="P16" i="10"/>
  <c r="Q16" i="10"/>
  <c r="R16" i="10"/>
  <c r="S16" i="10"/>
  <c r="P17" i="10"/>
  <c r="Q17" i="10"/>
  <c r="R17" i="10"/>
  <c r="S17" i="10"/>
  <c r="P18" i="10"/>
  <c r="Q18" i="10"/>
  <c r="R18" i="10"/>
  <c r="S18" i="10"/>
  <c r="P19" i="10"/>
  <c r="Q19" i="10"/>
  <c r="R19" i="10"/>
  <c r="S19" i="10"/>
  <c r="P20" i="10"/>
  <c r="Q20" i="10"/>
  <c r="R20" i="10"/>
  <c r="S20" i="10"/>
  <c r="P21" i="10"/>
  <c r="Q21" i="10"/>
  <c r="R21" i="10"/>
  <c r="S21" i="10"/>
  <c r="P22" i="10"/>
  <c r="Q22" i="10"/>
  <c r="S22" i="10" s="1"/>
  <c r="R22" i="10"/>
  <c r="P23" i="10"/>
  <c r="Q23" i="10"/>
  <c r="R23" i="10"/>
  <c r="S23" i="10"/>
  <c r="I69" i="6" l="1"/>
  <c r="K69" i="6"/>
  <c r="L69" i="6"/>
  <c r="N69" i="6"/>
  <c r="O69" i="6" s="1"/>
  <c r="I70" i="6"/>
  <c r="K70" i="6"/>
  <c r="L70" i="6"/>
  <c r="N70" i="6"/>
  <c r="O70" i="6"/>
  <c r="I71" i="6"/>
  <c r="L71" i="6" s="1"/>
  <c r="I72" i="6"/>
  <c r="L72" i="6" s="1"/>
  <c r="K72" i="6"/>
  <c r="N72" i="6" s="1"/>
  <c r="O72" i="6" s="1"/>
  <c r="I73" i="6"/>
  <c r="K73" i="6"/>
  <c r="N73" i="6" s="1"/>
  <c r="O73" i="6" s="1"/>
  <c r="L73" i="6"/>
  <c r="I74" i="6"/>
  <c r="K74" i="6"/>
  <c r="L74" i="6"/>
  <c r="N74" i="6"/>
  <c r="O74" i="6" s="1"/>
  <c r="I75" i="6"/>
  <c r="K75" i="6"/>
  <c r="L75" i="6"/>
  <c r="N75" i="6"/>
  <c r="O75" i="6"/>
  <c r="I76" i="6"/>
  <c r="K76" i="6"/>
  <c r="L76" i="6"/>
  <c r="N76" i="6"/>
  <c r="O76" i="6"/>
  <c r="I77" i="6"/>
  <c r="K77" i="6" s="1"/>
  <c r="L77" i="6"/>
  <c r="N77" i="6"/>
  <c r="O77" i="6"/>
  <c r="I78" i="6"/>
  <c r="L78" i="6" s="1"/>
  <c r="K78" i="6"/>
  <c r="N78" i="6" s="1"/>
  <c r="O78" i="6" s="1"/>
  <c r="I79" i="6"/>
  <c r="K79" i="6"/>
  <c r="N79" i="6" s="1"/>
  <c r="O79" i="6" s="1"/>
  <c r="L79" i="6"/>
  <c r="I80" i="6"/>
  <c r="K80" i="6"/>
  <c r="L80" i="6"/>
  <c r="N80" i="6"/>
  <c r="O80" i="6" s="1"/>
  <c r="I82" i="6"/>
  <c r="K82" i="6"/>
  <c r="L82" i="6"/>
  <c r="N82" i="6"/>
  <c r="O82" i="6"/>
  <c r="I83" i="6"/>
  <c r="K83" i="6"/>
  <c r="L83" i="6"/>
  <c r="N83" i="6"/>
  <c r="O83" i="6"/>
  <c r="I84" i="6"/>
  <c r="L84" i="6" s="1"/>
  <c r="I85" i="6"/>
  <c r="L85" i="6" s="1"/>
  <c r="K85" i="6"/>
  <c r="N85" i="6" s="1"/>
  <c r="O85" i="6" s="1"/>
  <c r="I86" i="6"/>
  <c r="K86" i="6"/>
  <c r="N86" i="6" s="1"/>
  <c r="O86" i="6" s="1"/>
  <c r="L86" i="6"/>
  <c r="I87" i="6"/>
  <c r="K87" i="6"/>
  <c r="L87" i="6"/>
  <c r="N87" i="6"/>
  <c r="O87" i="6" s="1"/>
  <c r="I89" i="6"/>
  <c r="K89" i="6"/>
  <c r="L89" i="6"/>
  <c r="N89" i="6"/>
  <c r="O89" i="6"/>
  <c r="I90" i="6"/>
  <c r="K90" i="6"/>
  <c r="L90" i="6"/>
  <c r="N90" i="6"/>
  <c r="O90" i="6"/>
  <c r="I91" i="6"/>
  <c r="L91" i="6" s="1"/>
  <c r="I92" i="6"/>
  <c r="L92" i="6" s="1"/>
  <c r="K92" i="6"/>
  <c r="N92" i="6" s="1"/>
  <c r="O92" i="6" s="1"/>
  <c r="I93" i="6"/>
  <c r="K93" i="6"/>
  <c r="N93" i="6" s="1"/>
  <c r="O93" i="6" s="1"/>
  <c r="L93" i="6"/>
  <c r="I94" i="6"/>
  <c r="K94" i="6"/>
  <c r="L94" i="6"/>
  <c r="N94" i="6"/>
  <c r="O94" i="6"/>
  <c r="I95" i="6"/>
  <c r="K95" i="6"/>
  <c r="L95" i="6"/>
  <c r="N95" i="6"/>
  <c r="O95" i="6"/>
  <c r="I96" i="6"/>
  <c r="K96" i="6"/>
  <c r="L96" i="6"/>
  <c r="N96" i="6"/>
  <c r="O96" i="6"/>
  <c r="I97" i="6"/>
  <c r="L97" i="6" s="1"/>
  <c r="I98" i="6"/>
  <c r="L98" i="6" s="1"/>
  <c r="K98" i="6"/>
  <c r="N98" i="6" s="1"/>
  <c r="O98" i="6" s="1"/>
  <c r="I99" i="6"/>
  <c r="K99" i="6"/>
  <c r="N99" i="6" s="1"/>
  <c r="O99" i="6" s="1"/>
  <c r="L99" i="6"/>
  <c r="I100" i="6"/>
  <c r="K100" i="6"/>
  <c r="L100" i="6"/>
  <c r="N100" i="6"/>
  <c r="O100" i="6" s="1"/>
  <c r="I101" i="6"/>
  <c r="K101" i="6"/>
  <c r="L101" i="6"/>
  <c r="N101" i="6"/>
  <c r="O101" i="6"/>
  <c r="I102" i="6"/>
  <c r="K102" i="6"/>
  <c r="L102" i="6"/>
  <c r="N102" i="6"/>
  <c r="O102" i="6"/>
  <c r="I103" i="6"/>
  <c r="L103" i="6" s="1"/>
  <c r="I104" i="6"/>
  <c r="K104" i="6"/>
  <c r="L104" i="6"/>
  <c r="N104" i="6"/>
  <c r="O104" i="6"/>
  <c r="I105" i="6"/>
  <c r="K105" i="6"/>
  <c r="N105" i="6" s="1"/>
  <c r="O105" i="6" s="1"/>
  <c r="L105" i="6"/>
  <c r="I106" i="6"/>
  <c r="K106" i="6"/>
  <c r="L106" i="6"/>
  <c r="N106" i="6"/>
  <c r="O106" i="6" s="1"/>
  <c r="I107" i="6"/>
  <c r="K107" i="6"/>
  <c r="L107" i="6"/>
  <c r="N107" i="6"/>
  <c r="O107" i="6"/>
  <c r="K108" i="6"/>
  <c r="L108" i="6"/>
  <c r="N108" i="6"/>
  <c r="O108" i="6"/>
  <c r="I109" i="6"/>
  <c r="L109" i="6" s="1"/>
  <c r="K109" i="6"/>
  <c r="N109" i="6" s="1"/>
  <c r="O109" i="6" s="1"/>
  <c r="I110" i="6"/>
  <c r="K110" i="6"/>
  <c r="N110" i="6" s="1"/>
  <c r="O110" i="6" s="1"/>
  <c r="L110" i="6"/>
  <c r="I111" i="6"/>
  <c r="K111" i="6"/>
  <c r="L111" i="6"/>
  <c r="N111" i="6"/>
  <c r="O111" i="6" s="1"/>
  <c r="I112" i="6"/>
  <c r="K112" i="6"/>
  <c r="L112" i="6"/>
  <c r="N112" i="6"/>
  <c r="O112" i="6"/>
  <c r="I113" i="6"/>
  <c r="K113" i="6"/>
  <c r="L113" i="6"/>
  <c r="N113" i="6"/>
  <c r="O113" i="6"/>
  <c r="I114" i="6"/>
  <c r="L114" i="6" s="1"/>
  <c r="I115" i="6"/>
  <c r="L115" i="6" s="1"/>
  <c r="K115" i="6"/>
  <c r="N115" i="6" s="1"/>
  <c r="O115" i="6" s="1"/>
  <c r="I116" i="6"/>
  <c r="K116" i="6"/>
  <c r="N116" i="6" s="1"/>
  <c r="O116" i="6" s="1"/>
  <c r="L116" i="6"/>
  <c r="I117" i="6"/>
  <c r="K117" i="6"/>
  <c r="L117" i="6"/>
  <c r="N117" i="6"/>
  <c r="O117" i="6" s="1"/>
  <c r="I118" i="6"/>
  <c r="K118" i="6"/>
  <c r="L118" i="6"/>
  <c r="N118" i="6"/>
  <c r="O118" i="6"/>
  <c r="I119" i="6"/>
  <c r="K119" i="6"/>
  <c r="L119" i="6"/>
  <c r="N119" i="6"/>
  <c r="O119" i="6"/>
  <c r="I120" i="6"/>
  <c r="L120" i="6" s="1"/>
  <c r="I121" i="6"/>
  <c r="L121" i="6" s="1"/>
  <c r="K121" i="6"/>
  <c r="N121" i="6" s="1"/>
  <c r="O121" i="6" s="1"/>
  <c r="I122" i="6"/>
  <c r="K122" i="6"/>
  <c r="N122" i="6" s="1"/>
  <c r="O122" i="6" s="1"/>
  <c r="L122" i="6"/>
  <c r="I123" i="6"/>
  <c r="K123" i="6"/>
  <c r="L123" i="6"/>
  <c r="N123" i="6"/>
  <c r="O123" i="6" s="1"/>
  <c r="I124" i="6"/>
  <c r="K124" i="6"/>
  <c r="L124" i="6"/>
  <c r="N124" i="6"/>
  <c r="O124" i="6"/>
  <c r="I125" i="6"/>
  <c r="K125" i="6"/>
  <c r="L125" i="6"/>
  <c r="N125" i="6"/>
  <c r="O125" i="6"/>
  <c r="I126" i="6"/>
  <c r="K126" i="6" s="1"/>
  <c r="L126" i="6"/>
  <c r="N126" i="6"/>
  <c r="O126" i="6"/>
  <c r="I127" i="6"/>
  <c r="L127" i="6" s="1"/>
  <c r="K127" i="6"/>
  <c r="N127" i="6" s="1"/>
  <c r="O127" i="6" s="1"/>
  <c r="I128" i="6"/>
  <c r="K128" i="6"/>
  <c r="N128" i="6" s="1"/>
  <c r="O128" i="6" s="1"/>
  <c r="L128" i="6"/>
  <c r="I129" i="6"/>
  <c r="K129" i="6"/>
  <c r="L129" i="6"/>
  <c r="N129" i="6"/>
  <c r="O129" i="6" s="1"/>
  <c r="I130" i="6"/>
  <c r="K130" i="6"/>
  <c r="L130" i="6"/>
  <c r="N130" i="6"/>
  <c r="O130" i="6"/>
  <c r="I131" i="6"/>
  <c r="K131" i="6"/>
  <c r="L131" i="6"/>
  <c r="N131" i="6"/>
  <c r="O131" i="6"/>
  <c r="I132" i="6"/>
  <c r="L132" i="6" s="1"/>
  <c r="I133" i="6"/>
  <c r="L133" i="6" s="1"/>
  <c r="K133" i="6"/>
  <c r="N133" i="6" s="1"/>
  <c r="O133" i="6" s="1"/>
  <c r="I134" i="6"/>
  <c r="K134" i="6"/>
  <c r="L134" i="6"/>
  <c r="N134" i="6"/>
  <c r="O134" i="6"/>
  <c r="I135" i="6"/>
  <c r="K135" i="6"/>
  <c r="L135" i="6"/>
  <c r="N135" i="6"/>
  <c r="O135" i="6"/>
  <c r="I136" i="6"/>
  <c r="K136" i="6"/>
  <c r="L136" i="6"/>
  <c r="N136" i="6"/>
  <c r="O136" i="6"/>
  <c r="I137" i="6"/>
  <c r="K137" i="6"/>
  <c r="L137" i="6"/>
  <c r="N137" i="6"/>
  <c r="O137" i="6"/>
  <c r="I138" i="6"/>
  <c r="L138" i="6" s="1"/>
  <c r="I139" i="6"/>
  <c r="L139" i="6" s="1"/>
  <c r="K139" i="6"/>
  <c r="N139" i="6" s="1"/>
  <c r="O139" i="6" s="1"/>
  <c r="I140" i="6"/>
  <c r="K140" i="6"/>
  <c r="N140" i="6" s="1"/>
  <c r="O140" i="6" s="1"/>
  <c r="L140" i="6"/>
  <c r="I141" i="6"/>
  <c r="K141" i="6"/>
  <c r="L141" i="6"/>
  <c r="N141" i="6"/>
  <c r="O141" i="6"/>
  <c r="I142" i="6"/>
  <c r="K142" i="6"/>
  <c r="L142" i="6"/>
  <c r="N142" i="6"/>
  <c r="O142" i="6"/>
  <c r="I143" i="6"/>
  <c r="K143" i="6"/>
  <c r="L143" i="6"/>
  <c r="N143" i="6"/>
  <c r="O143" i="6"/>
  <c r="I144" i="6"/>
  <c r="L144" i="6" s="1"/>
  <c r="I145" i="6"/>
  <c r="K145" i="6"/>
  <c r="L145" i="6"/>
  <c r="N145" i="6"/>
  <c r="O145" i="6"/>
  <c r="I146" i="6"/>
  <c r="K146" i="6"/>
  <c r="L146" i="6"/>
  <c r="N146" i="6"/>
  <c r="O146" i="6"/>
  <c r="I147" i="6"/>
  <c r="K147" i="6"/>
  <c r="L147" i="6"/>
  <c r="N147" i="6"/>
  <c r="O147" i="6"/>
  <c r="I148" i="6"/>
  <c r="K148" i="6"/>
  <c r="L148" i="6"/>
  <c r="N148" i="6"/>
  <c r="O148" i="6"/>
  <c r="I149" i="6"/>
  <c r="K149" i="6"/>
  <c r="L149" i="6"/>
  <c r="N149" i="6"/>
  <c r="O149" i="6"/>
  <c r="I150" i="6"/>
  <c r="K150" i="6" s="1"/>
  <c r="L150" i="6"/>
  <c r="N150" i="6"/>
  <c r="O150" i="6"/>
  <c r="I151" i="6"/>
  <c r="K151" i="6"/>
  <c r="L151" i="6"/>
  <c r="N151" i="6"/>
  <c r="O151" i="6"/>
  <c r="I152" i="6"/>
  <c r="K152" i="6"/>
  <c r="N152" i="6" s="1"/>
  <c r="O152" i="6" s="1"/>
  <c r="L152" i="6"/>
  <c r="I153" i="6"/>
  <c r="K153" i="6"/>
  <c r="L153" i="6"/>
  <c r="N153" i="6"/>
  <c r="O153" i="6"/>
  <c r="I154" i="6"/>
  <c r="K154" i="6"/>
  <c r="L154" i="6"/>
  <c r="N154" i="6"/>
  <c r="O154" i="6"/>
  <c r="I155" i="6"/>
  <c r="K155" i="6"/>
  <c r="L155" i="6"/>
  <c r="N155" i="6"/>
  <c r="O155" i="6"/>
  <c r="I156" i="6"/>
  <c r="L156" i="6" s="1"/>
  <c r="I157" i="6"/>
  <c r="L157" i="6" s="1"/>
  <c r="K157" i="6"/>
  <c r="N157" i="6" s="1"/>
  <c r="O157" i="6" s="1"/>
  <c r="I158" i="6"/>
  <c r="K158" i="6"/>
  <c r="N158" i="6" s="1"/>
  <c r="O158" i="6" s="1"/>
  <c r="L158" i="6"/>
  <c r="I159" i="6"/>
  <c r="K159" i="6"/>
  <c r="L159" i="6"/>
  <c r="N159" i="6"/>
  <c r="O159" i="6" s="1"/>
  <c r="I160" i="6"/>
  <c r="K160" i="6"/>
  <c r="L160" i="6"/>
  <c r="N160" i="6"/>
  <c r="O160" i="6"/>
  <c r="I161" i="6"/>
  <c r="K161" i="6"/>
  <c r="L161" i="6"/>
  <c r="N161" i="6"/>
  <c r="O161" i="6"/>
  <c r="I162" i="6"/>
  <c r="L162" i="6" s="1"/>
  <c r="I163" i="6"/>
  <c r="K163" i="6"/>
  <c r="L163" i="6"/>
  <c r="N163" i="6"/>
  <c r="O163" i="6"/>
  <c r="I164" i="6"/>
  <c r="K164" i="6"/>
  <c r="N164" i="6" s="1"/>
  <c r="O164" i="6" s="1"/>
  <c r="L164" i="6"/>
  <c r="I165" i="6"/>
  <c r="K165" i="6"/>
  <c r="L165" i="6"/>
  <c r="N165" i="6"/>
  <c r="O165" i="6" s="1"/>
  <c r="I166" i="6"/>
  <c r="K166" i="6"/>
  <c r="L166" i="6"/>
  <c r="N166" i="6"/>
  <c r="O166" i="6"/>
  <c r="I167" i="6"/>
  <c r="K167" i="6"/>
  <c r="L167" i="6"/>
  <c r="N167" i="6"/>
  <c r="O167" i="6"/>
  <c r="I168" i="6"/>
  <c r="L168" i="6" s="1"/>
  <c r="I169" i="6"/>
  <c r="K169" i="6"/>
  <c r="L169" i="6"/>
  <c r="N169" i="6"/>
  <c r="O169" i="6"/>
  <c r="I170" i="6"/>
  <c r="K170" i="6"/>
  <c r="L170" i="6"/>
  <c r="N170" i="6"/>
  <c r="O170" i="6"/>
  <c r="D171" i="6"/>
  <c r="E171" i="6"/>
  <c r="F171" i="6"/>
  <c r="G171" i="6"/>
  <c r="H171" i="6"/>
  <c r="J171" i="6"/>
  <c r="H126" i="3"/>
  <c r="I126" i="3" s="1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I119" i="3"/>
  <c r="H119" i="3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I107" i="3"/>
  <c r="H107" i="3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I96" i="3"/>
  <c r="H96" i="3"/>
  <c r="I95" i="3"/>
  <c r="H95" i="3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I81" i="3"/>
  <c r="H81" i="3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I72" i="3"/>
  <c r="H72" i="3"/>
  <c r="H71" i="3"/>
  <c r="I71" i="3" s="1"/>
  <c r="H70" i="3"/>
  <c r="I70" i="3" s="1"/>
  <c r="I69" i="3"/>
  <c r="H69" i="3"/>
  <c r="I68" i="3"/>
  <c r="H68" i="3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I60" i="3"/>
  <c r="H60" i="3"/>
  <c r="H59" i="3"/>
  <c r="I59" i="3" s="1"/>
  <c r="H58" i="3"/>
  <c r="I58" i="3" s="1"/>
  <c r="I57" i="3"/>
  <c r="H57" i="3"/>
  <c r="I56" i="3"/>
  <c r="H56" i="3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I48" i="3"/>
  <c r="H48" i="3"/>
  <c r="H47" i="3"/>
  <c r="I47" i="3" s="1"/>
  <c r="H46" i="3"/>
  <c r="I46" i="3" s="1"/>
  <c r="I45" i="3"/>
  <c r="H45" i="3"/>
  <c r="I44" i="3"/>
  <c r="H44" i="3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I36" i="3"/>
  <c r="H36" i="3"/>
  <c r="H35" i="3"/>
  <c r="I35" i="3" s="1"/>
  <c r="H34" i="3"/>
  <c r="I34" i="3" s="1"/>
  <c r="I33" i="3"/>
  <c r="H33" i="3"/>
  <c r="I32" i="3"/>
  <c r="H32" i="3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I24" i="3"/>
  <c r="H24" i="3"/>
  <c r="H23" i="3"/>
  <c r="I23" i="3" s="1"/>
  <c r="H22" i="3"/>
  <c r="I22" i="3" s="1"/>
  <c r="I21" i="3"/>
  <c r="H21" i="3"/>
  <c r="I20" i="3"/>
  <c r="H20" i="3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I12" i="3"/>
  <c r="H12" i="3"/>
  <c r="H11" i="3"/>
  <c r="I11" i="3" s="1"/>
  <c r="H10" i="3"/>
  <c r="I10" i="3" s="1"/>
  <c r="I9" i="3"/>
  <c r="H9" i="3"/>
  <c r="I8" i="3"/>
  <c r="H8" i="3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L171" i="6" l="1"/>
  <c r="K168" i="6"/>
  <c r="N168" i="6" s="1"/>
  <c r="O168" i="6" s="1"/>
  <c r="K162" i="6"/>
  <c r="N162" i="6" s="1"/>
  <c r="O162" i="6" s="1"/>
  <c r="K156" i="6"/>
  <c r="N156" i="6" s="1"/>
  <c r="O156" i="6" s="1"/>
  <c r="K144" i="6"/>
  <c r="N144" i="6" s="1"/>
  <c r="O144" i="6" s="1"/>
  <c r="K138" i="6"/>
  <c r="N138" i="6" s="1"/>
  <c r="O138" i="6" s="1"/>
  <c r="K132" i="6"/>
  <c r="N132" i="6" s="1"/>
  <c r="O132" i="6" s="1"/>
  <c r="K120" i="6"/>
  <c r="N120" i="6" s="1"/>
  <c r="O120" i="6" s="1"/>
  <c r="K114" i="6"/>
  <c r="N114" i="6" s="1"/>
  <c r="O114" i="6" s="1"/>
  <c r="K103" i="6"/>
  <c r="N103" i="6" s="1"/>
  <c r="O103" i="6" s="1"/>
  <c r="K97" i="6"/>
  <c r="N97" i="6" s="1"/>
  <c r="O97" i="6" s="1"/>
  <c r="K91" i="6"/>
  <c r="N91" i="6" s="1"/>
  <c r="O91" i="6" s="1"/>
  <c r="K84" i="6"/>
  <c r="N84" i="6" s="1"/>
  <c r="O84" i="6" s="1"/>
  <c r="K71" i="6"/>
  <c r="I171" i="6"/>
  <c r="K171" i="6" l="1"/>
  <c r="N71" i="6"/>
  <c r="O71" i="6" s="1"/>
</calcChain>
</file>

<file path=xl/sharedStrings.xml><?xml version="1.0" encoding="utf-8"?>
<sst xmlns="http://schemas.openxmlformats.org/spreadsheetml/2006/main" count="1080" uniqueCount="630">
  <si>
    <t>Ser No</t>
  </si>
  <si>
    <t>Category 
(Make &amp; Type)</t>
  </si>
  <si>
    <t>Dependency</t>
  </si>
  <si>
    <t>NMC Due to</t>
  </si>
  <si>
    <t>FMC</t>
  </si>
  <si>
    <t xml:space="preserve">Remarks
</t>
  </si>
  <si>
    <t>Auth 
(UE)</t>
  </si>
  <si>
    <t>Held
(UH)</t>
  </si>
  <si>
    <t>MUA</t>
  </si>
  <si>
    <t>OH</t>
  </si>
  <si>
    <t>R4</t>
  </si>
  <si>
    <t xml:space="preserve">Total 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</si>
  <si>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</si>
  <si>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</si>
  <si>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</si>
  <si>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</si>
  <si>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</si>
  <si>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</si>
  <si>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</si>
  <si>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</si>
  <si>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</si>
  <si>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</si>
  <si>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GS Vehicle</t>
  </si>
  <si>
    <t xml:space="preserve">07 x Vehs eng demanded 
01 x Vehs put on rd after fitment of eng assy  
01 x Veh Air Compressor demanded     
02 x CL-V Vehs deposited
10 x Vehs decl CL-V      
01 x Veh Vane pump &amp; Stg Gear Box demanded     
02 x Vehs decl CL-VI
02 x CL-V Vehs deposited                                                                                           </t>
  </si>
  <si>
    <t>04 x Veh eng demanded
01 x Vehs put on rd after fitment of eng assy  
01 x Veh Stg Gear Box demanded
01 x Veh DR raised due to half shaft bkn
17 x Vehs decl CL-V
01 x  Veh Cabin assy collected and fitment under prog</t>
  </si>
  <si>
    <t>03 x Veh decl CL-V</t>
  </si>
  <si>
    <t>Special Vehicle</t>
  </si>
  <si>
    <t>02 x Vehs under BOH
01 x Self starter demanded</t>
  </si>
  <si>
    <t>02 x Veh eng demanded
02 x Veh decl CL-V
01 x FAT of 81 Fd Regt eng demanded with demand No 241000117 dt 08 Aug 2024 &amp; Cont No 241028338 dt 03 Dec 2024 (Eng no longer being manufactured, Veh to be decl CL-V).</t>
  </si>
  <si>
    <t>Ambulance Vehs</t>
  </si>
  <si>
    <t>04 x Vehs DR raised, OEM team was to arrived for repair in the month of Dec 2025 however, still awaited for repair. 
10 x Vehs Defect report raised</t>
  </si>
  <si>
    <t>01 x Veh decl CL-V</t>
  </si>
  <si>
    <t>Recovery Vehs</t>
  </si>
  <si>
    <t>Water Bowser</t>
  </si>
  <si>
    <t>NIV / CIV Pattern Vehs</t>
  </si>
  <si>
    <t>02 x Vehs decl CL-V
01 x CL-V Veh depostion under prog</t>
  </si>
  <si>
    <t>02 x Vehs newly collected
02 x Vehs decl CL-V</t>
  </si>
  <si>
    <t>07 x Vehs decl CL-V
01 x CL-V Veh deposited</t>
  </si>
  <si>
    <t>01 x CL-V Veh deposition under prog</t>
  </si>
  <si>
    <t>01 x Veh decl Cl-V</t>
  </si>
  <si>
    <t>Trailer</t>
  </si>
  <si>
    <t>Misc Vehicles</t>
  </si>
  <si>
    <t>01 x Veh (DR raised) repaired by OEM
01 x accident Veh
01 x off rd due Rpm not maintain</t>
  </si>
  <si>
    <t>02 x Vehs newly collected
01 x Veh eng demanded</t>
  </si>
  <si>
    <t>01 x CL-V Veh depostion under prog</t>
  </si>
  <si>
    <t>Appx 'A' (C Veh)</t>
  </si>
  <si>
    <t>Ser</t>
  </si>
  <si>
    <t>Category (Make &amp; Type)</t>
  </si>
  <si>
    <t xml:space="preserve">Nos of Eqpt EOA Due to </t>
  </si>
  <si>
    <t xml:space="preserve">FMC </t>
  </si>
  <si>
    <t xml:space="preserve">Remarks </t>
  </si>
  <si>
    <t>Auth (UE)</t>
  </si>
  <si>
    <t>Held (UH)</t>
  </si>
  <si>
    <t>MUAs</t>
  </si>
  <si>
    <t xml:space="preserve">PLANT AND MACHY EQPT </t>
  </si>
  <si>
    <t>Tracked Dozer</t>
  </si>
  <si>
    <t>01 x Eqpt decl BER</t>
  </si>
  <si>
    <t>02 x Eqpt decl BER</t>
  </si>
  <si>
    <t>01 x Eqpt Stg Clutch assy demanded</t>
  </si>
  <si>
    <t>Wheel Dozer</t>
  </si>
  <si>
    <t>01 x Eqpt decl CL-VI</t>
  </si>
  <si>
    <t>Excavator Loader</t>
  </si>
  <si>
    <t>01 x Eqpt eng assy demanded
01 x Eqpt decl BER</t>
  </si>
  <si>
    <t>01 x Eqpt eng assy demanded
01 x Accident Eqpt</t>
  </si>
  <si>
    <t>01 x Eqpt engine assy  repaired &amp;  made SER.</t>
  </si>
  <si>
    <t>01 x Eqpt EOA for rear wheel hub (60 Engr Regt) demanded</t>
  </si>
  <si>
    <t>Constructional Eqpt</t>
  </si>
  <si>
    <t>Cranes/Lifting Trucks</t>
  </si>
  <si>
    <t xml:space="preserve">Air Compressor </t>
  </si>
  <si>
    <t>Out Board Motor</t>
  </si>
  <si>
    <t>Mining Eqpt</t>
  </si>
  <si>
    <t>Misc Eqpt</t>
  </si>
  <si>
    <t>14 x Eqqpt decl BER</t>
  </si>
  <si>
    <t xml:space="preserve">BRIDGING  EQPT AND MOBILE MASTS </t>
  </si>
  <si>
    <t>Mobile Mast</t>
  </si>
  <si>
    <t xml:space="preserve">Bridging Eqpt </t>
  </si>
  <si>
    <t xml:space="preserve">GENR SET AND CHG SET </t>
  </si>
  <si>
    <t>01 x Eqpt Armature worn out</t>
  </si>
  <si>
    <t>Total NMC (Nos)</t>
  </si>
  <si>
    <t>NMC %</t>
  </si>
  <si>
    <t>PMC%</t>
  </si>
  <si>
    <t>FMC %</t>
  </si>
  <si>
    <t>Avl %</t>
  </si>
  <si>
    <t>Eng</t>
  </si>
  <si>
    <t>Spares</t>
  </si>
  <si>
    <t>MR</t>
  </si>
  <si>
    <t>FR</t>
  </si>
  <si>
    <t>OBE</t>
  </si>
  <si>
    <t>(xi)</t>
  </si>
  <si>
    <t>(xii)</t>
  </si>
  <si>
    <t>(xiii)</t>
  </si>
  <si>
    <t>(xiv)</t>
  </si>
  <si>
    <t>(xv)</t>
  </si>
  <si>
    <t>(xvi)</t>
  </si>
  <si>
    <t>(xvii)</t>
  </si>
  <si>
    <t>(xviii)</t>
  </si>
  <si>
    <t>(xix)</t>
  </si>
  <si>
    <t>(xx)</t>
  </si>
  <si>
    <t>TOTAL</t>
  </si>
  <si>
    <t>01 x Eqpt u/r art TASL Bangaluru
02 x Eqpt fwd to OEM repair at New Delhi. Eqpt is under wty.</t>
  </si>
  <si>
    <t xml:space="preserve">
02 x Eqpt under wty. DR raised on 13 Oct 2025. </t>
  </si>
  <si>
    <t>Optical Insts</t>
  </si>
  <si>
    <t>02 x Eqpt BER and awaiting for deposition</t>
  </si>
  <si>
    <t>PASSIVE NIGHT VISION DEVICES (PNVD)</t>
  </si>
  <si>
    <t>LASER BASED INSTS</t>
  </si>
  <si>
    <t>SVL / OBSN / SIGHTING EQPTS (THERMAL IMAGING)</t>
  </si>
  <si>
    <t xml:space="preserve"> Under OH /R4/FR/  Base Repair</t>
  </si>
  <si>
    <t>Remarks (To incl present loc of eqpt EOA)</t>
  </si>
  <si>
    <t>FMC (Nos)</t>
  </si>
  <si>
    <t xml:space="preserve">PMC (Nos) 
</t>
  </si>
  <si>
    <t xml:space="preserve">NMC due to </t>
  </si>
  <si>
    <t xml:space="preserve">Make &amp; Eqpt </t>
  </si>
  <si>
    <t>FMN READINESS STATE  : INSTS</t>
  </si>
  <si>
    <t>PMC (Nos) 
(Due to OH)</t>
  </si>
  <si>
    <t>Item already decl UNSV in ASTB 21-22</t>
  </si>
  <si>
    <t>-</t>
  </si>
  <si>
    <t>DR raised
h</t>
  </si>
  <si>
    <t>FR
g</t>
  </si>
  <si>
    <t>DRWO
f</t>
  </si>
  <si>
    <t>Spares
e</t>
  </si>
  <si>
    <t>MUA
d</t>
  </si>
  <si>
    <t>Held
c</t>
  </si>
  <si>
    <t>Auth
b</t>
  </si>
  <si>
    <t>Remarks</t>
  </si>
  <si>
    <t>S'
k</t>
  </si>
  <si>
    <t>UNSV
j</t>
  </si>
  <si>
    <t>UNSV</t>
  </si>
  <si>
    <t>Make &amp; Type
a</t>
  </si>
  <si>
    <t>S No</t>
  </si>
  <si>
    <t>STATUS OF DEFECT REPORTS OF CBRN EQPT TO BE SUSTAINED BY EME</t>
  </si>
  <si>
    <t>WE Eqpt</t>
  </si>
  <si>
    <t>Addl Eqpt</t>
  </si>
  <si>
    <t>Spares demanded</t>
  </si>
  <si>
    <t>01 x Barrel under demand</t>
  </si>
  <si>
    <t>02 x Soket Rotating Assy demanded</t>
  </si>
  <si>
    <t>100 x given to Arunachal Scouts on loan</t>
  </si>
  <si>
    <t>01x 9mm Pistol  decl R4 during EMEA (SA) Insp for the year 2024-25
01 x Lever slide locking demanded on 12 Jun 2025.</t>
  </si>
  <si>
    <t>01 x EOA of 2 DOGRA (Shoulder Pad Bkn demand placed by 2 DOGRA vide Demand No Cont/01/Q/23 dt 25 May 23).</t>
  </si>
  <si>
    <t>02 x Guide spring under demand (18 SIKH Li)</t>
  </si>
  <si>
    <t xml:space="preserve"> Under OH /MR/R4/
FR/ Base Repair</t>
  </si>
  <si>
    <t>Eng/
 Brl</t>
  </si>
  <si>
    <t xml:space="preserve">FMN READINESS STATE : 'C' VEHS </t>
  </si>
  <si>
    <t xml:space="preserve">FMN READINESS STATE  : ARMT </t>
  </si>
  <si>
    <t xml:space="preserve">FMN READINESS STATE  : SMALL ARMS </t>
  </si>
  <si>
    <t xml:space="preserve">FMN READINESS STATE : 'B' VEHS 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</si>
  <si>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</si>
  <si>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</si>
  <si>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</si>
  <si>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</si>
  <si>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</si>
  <si>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</si>
  <si>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</si>
  <si>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</si>
  <si>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</si>
  <si>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</si>
  <si>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</si>
  <si>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</si>
  <si>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</si>
  <si>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</si>
  <si>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</si>
  <si>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</si>
  <si>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</si>
  <si>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</si>
  <si>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</si>
  <si>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</si>
  <si>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</si>
  <si>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</si>
  <si>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</si>
  <si>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</si>
  <si>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</si>
  <si>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</si>
  <si>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</si>
  <si>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</si>
  <si>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</si>
  <si>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</si>
  <si>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</si>
  <si>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</si>
  <si>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</si>
  <si>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</si>
  <si>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</si>
  <si>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</si>
  <si>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</si>
  <si>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</si>
  <si>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</si>
  <si>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</si>
  <si>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</si>
  <si>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</si>
  <si>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</si>
  <si>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</si>
  <si>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</si>
  <si>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</si>
  <si>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</si>
  <si>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</si>
  <si>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</si>
  <si>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</si>
  <si>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</si>
  <si>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</si>
  <si>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</si>
  <si>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</si>
  <si>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</si>
  <si>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</si>
  <si>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</si>
  <si>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</si>
  <si>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</si>
  <si>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</si>
  <si>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</si>
  <si>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</si>
  <si>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</si>
  <si>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</si>
  <si>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</si>
  <si>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</si>
  <si>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</si>
  <si>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</si>
  <si>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</si>
  <si>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</si>
  <si>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</si>
  <si>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</si>
  <si>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</si>
  <si>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</si>
  <si>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</si>
  <si>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</si>
  <si>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</si>
  <si>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</si>
  <si>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</si>
  <si>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</si>
  <si>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</si>
  <si>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</si>
  <si>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</si>
  <si>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</si>
  <si>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</si>
  <si>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</si>
  <si>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</si>
  <si>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</si>
  <si>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</si>
  <si>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</si>
  <si>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</si>
  <si>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</si>
  <si>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</si>
  <si>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</si>
  <si>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</si>
  <si>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</si>
  <si>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</si>
  <si>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</si>
  <si>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</si>
  <si>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</si>
  <si>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</si>
  <si>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</si>
  <si>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</si>
  <si>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</si>
  <si>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</si>
  <si>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</si>
  <si>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</si>
  <si>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</si>
  <si>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</si>
  <si>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</si>
  <si>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</si>
  <si>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</si>
  <si>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</si>
  <si>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</si>
  <si>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</si>
  <si>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</si>
  <si>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</si>
  <si>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</si>
  <si>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</si>
  <si>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</si>
  <si>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</si>
  <si>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</si>
  <si>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</si>
  <si>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</si>
  <si>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</si>
  <si>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01 x Veh off rd due to AC not working (U40)</t>
  </si>
  <si>
    <t>01 x Veh turbocharger oil leaking repair at agency (U11)</t>
  </si>
  <si>
    <t>01 x ATV MRZR NMC due to engine faulty, under repair at 245 FWC (U12) 
01 x ATV RZR NMC due to wheel wobbling &amp; brake sys faulty, spares under proc (U18)</t>
  </si>
  <si>
    <t>01 x TATA Safari repaired at Tata agency (U18)
01 x Veh decl CL-V</t>
  </si>
  <si>
    <t>01 x Cl-V Veh deposited
01 x Veh DR was raised due to chassis bkn. New Chassis assy fitted at by Tata Agency and veh put on rd
01 x Vehs newly issued to HQ S2 (MT) from 41 Veh Coy.</t>
  </si>
  <si>
    <t>01 x Veh newly issued (U65) - winch rope bkn, info OEM for under wty replacement
02 x Vehs decl Cl-V (U40 Engr Regt ) 
01x Decl CL-V        
01x Veh decl Cl -V
01 x Veh of 857 FWC decl CL V and veh under deposition.</t>
  </si>
  <si>
    <t>03 x  Gear Box under OH (02 x W5 &amp; 01 x 17 CZW)
01 x Scania off rd for eng, to be fwd to W5 (CIN recd, reporting dt 01 Feb 2026)
01 x Veh under BOH
03 x Vehs decl CL-V</t>
  </si>
  <si>
    <t>*01 x LSpV of U11 / U17 off rd due to stg pipe leaking since 27 Aug 25.
*01 x LSpV of U11 / U17 is PMC due to AC sys faulty since 30 Aug 25.
*01 x LSpV of U18 / U17 is off rd due to pulling power weak since 11 Sep 25.
*01 x LSpV of U12 / U17 is off rd due to Parking brake not work since  28 Sep 2025. Intimated to OEM for repair.
*01 x LSpV of U19 /U20 is off rd due to Pulling power weak &amp; Steering hard since 13 Oct 2025. Intimated to OEM for repair.
*01 x LSpV of U18 / U17 is off rd due to Windshield cracked since 13 Oct 2025. Intimated to OEM for repair.
*01 x LSpV U20 is off rd due to starting trouble since 28 Oct 2025. Intimated to OEM for repair.
*01 x LSpV of U19 /U20 is off rd due to Pulling Power Weak &amp; Stg Hard since 28 Oct 2025. Intimated to OEM for repair.
*01 x LSpV of U18 / U17 is off rd due to Starting trouble since 15 Dec 2025. Intimated to OEM for repair.</t>
  </si>
  <si>
    <t>08 x Vehs eng demand
01 x M/Gypsy transfer case assy under demand 
01 x Veh Cyl head assy demanded 
10 x Vehs decl CL-V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</si>
  <si>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</si>
  <si>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</si>
  <si>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</si>
  <si>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</si>
  <si>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</si>
  <si>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</si>
  <si>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</si>
  <si>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</si>
  <si>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</si>
  <si>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</si>
  <si>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</si>
  <si>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</si>
  <si>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</si>
  <si>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</si>
  <si>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</si>
  <si>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</si>
  <si>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</si>
  <si>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</si>
  <si>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</si>
  <si>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</si>
  <si>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</si>
  <si>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</si>
  <si>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</si>
  <si>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</si>
  <si>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</si>
  <si>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</si>
  <si>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</si>
  <si>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</si>
  <si>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</si>
  <si>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</si>
  <si>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</si>
  <si>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</si>
  <si>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</si>
  <si>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</si>
  <si>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</si>
  <si>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</si>
  <si>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</si>
  <si>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</si>
  <si>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</si>
  <si>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</si>
  <si>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</si>
  <si>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</si>
  <si>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</si>
  <si>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</si>
  <si>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</si>
  <si>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</si>
  <si>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</si>
  <si>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</si>
  <si>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</si>
  <si>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</si>
  <si>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</si>
  <si>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</si>
  <si>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</si>
  <si>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</si>
  <si>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</si>
  <si>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</si>
  <si>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</si>
  <si>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</si>
  <si>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</si>
  <si>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</si>
  <si>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</si>
  <si>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</si>
  <si>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</si>
  <si>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</si>
  <si>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</si>
  <si>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</si>
  <si>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</si>
  <si>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</si>
  <si>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</si>
  <si>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</si>
  <si>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</si>
  <si>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</si>
  <si>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</si>
  <si>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</si>
  <si>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</si>
  <si>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</si>
  <si>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</si>
  <si>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</si>
  <si>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</si>
  <si>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</si>
  <si>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</si>
  <si>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</si>
  <si>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</si>
  <si>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</si>
  <si>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</si>
  <si>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</si>
  <si>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</si>
  <si>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</si>
  <si>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</si>
  <si>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</si>
  <si>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</si>
  <si>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</si>
  <si>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</si>
  <si>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</si>
  <si>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</si>
  <si>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</si>
  <si>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</si>
  <si>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</si>
  <si>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</si>
  <si>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</si>
  <si>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</si>
  <si>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</si>
  <si>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</si>
  <si>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</si>
  <si>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</si>
  <si>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</si>
  <si>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</si>
  <si>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Outriger cyl assy recd from H3 and under fitment.</t>
  </si>
  <si>
    <t>01 x SSL stopper switch faulty, spare under LP (U18)
01 x off rd due to Tyre tube demand</t>
  </si>
  <si>
    <t>02 x Eqpt under MLOH at W5
01 x Eqpt decl BER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</si>
  <si>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</si>
  <si>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</si>
  <si>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</si>
  <si>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</si>
  <si>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</si>
  <si>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</si>
  <si>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</si>
  <si>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</si>
  <si>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</si>
  <si>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</si>
  <si>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</si>
  <si>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</si>
  <si>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</si>
  <si>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</si>
  <si>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</si>
  <si>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</si>
  <si>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</si>
  <si>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</si>
  <si>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</si>
  <si>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1) 03 x IFG Regd No L-0794, L-0750 &amp; L-0760 of U48 under BOH since 06 Nov 25.</t>
  </si>
  <si>
    <t>1) 02 x LFG Regd No L/0685 &amp; L/0695 in r/o U60 under BOH at W7 since 04 Oct 2025.
2) 02 x LFG Regd No L/0681 &amp; L/0692 in r/o U57 fwd to W7 on 08 Nov 25 for BOH.</t>
  </si>
  <si>
    <t>1) 01 x BOFORS Regd No 849 in r/o U65  BOH Completed at W7 &amp; reched at unit Loc as on 24 Dec 2025.
2) 01 x BOFORS Regd No 846 in r/o U65 under BOH at W7 since 26 Aug 2025. 
3) 02 x  BOFORS Regd No 601 &amp; 646 of 51 MR BOH Completed at W7 &amp; reched at unit Loc as on 03 Dec 2025.
4) 02 x Bofors Regd No-518 and 521 in r/o U94 Under BOH at W7 since  30 Jun 25.
5) 02 x BOFORS Regd No 524 &amp; 656 of 51 MR reached at W7 on 10 Sep 25 for 2nd BOH. BOH Under prog.                                                      6) 01 x BOFORS Regd No 514 under BOH at W7 since 24 Oct 25.</t>
  </si>
  <si>
    <t xml:space="preserve">1) 02x Spares not avbl                                                                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</si>
  <si>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</si>
  <si>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</si>
  <si>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</si>
  <si>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</si>
  <si>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</si>
  <si>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</si>
  <si>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</si>
  <si>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</si>
  <si>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</si>
  <si>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</si>
  <si>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</si>
  <si>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</si>
  <si>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</si>
  <si>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</si>
  <si>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</si>
  <si>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</si>
  <si>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</si>
  <si>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</si>
  <si>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</si>
  <si>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</si>
  <si>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</si>
  <si>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</si>
  <si>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</si>
  <si>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</si>
  <si>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</si>
  <si>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</si>
  <si>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</si>
  <si>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</si>
  <si>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</si>
  <si>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</si>
  <si>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</si>
  <si>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</si>
  <si>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</si>
  <si>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</si>
  <si>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</si>
  <si>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</si>
  <si>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</si>
  <si>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</si>
  <si>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</si>
  <si>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</si>
  <si>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</si>
  <si>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</si>
  <si>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</si>
  <si>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</si>
  <si>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</si>
  <si>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</si>
  <si>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</si>
  <si>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</si>
  <si>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</si>
  <si>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</si>
  <si>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</si>
  <si>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</si>
  <si>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</si>
  <si>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</si>
  <si>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</si>
  <si>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</si>
  <si>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</si>
  <si>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</si>
  <si>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</si>
  <si>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</si>
  <si>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</si>
  <si>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</si>
  <si>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</si>
  <si>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</si>
  <si>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</si>
  <si>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</si>
  <si>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</si>
  <si>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</si>
  <si>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</si>
  <si>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</si>
  <si>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 xml:space="preserve">10 x Bracket M3 under demand  U72                          01 x Venturi demaded 
01 x Bracket M3 demanded                                                01 x  84mm RL EOA due to Rear Sight Base M3  &amp; Rear Sight Assy with illu broken  </t>
  </si>
  <si>
    <t>13 x R4 Wpn                                                               01 x INSAS Rif accident report raised.                           10 x Rif decl R4.</t>
  </si>
  <si>
    <t xml:space="preserve">57 x Incr in held state due to 5 Kumaon ORBAT IN.  29 x R4 INSAS. </t>
  </si>
  <si>
    <t xml:space="preserve">20 x R4 disposal order Received being deposited  of U87.                                                                         </t>
  </si>
  <si>
    <t>14 x R4 Wpn                                                                          05 x R4 CM 
07 x decl UNSV 
147 x R4 disposal order Received being deposited  of U86.
177 x R4 disposal order Received being deposited  of U87.                                                                               01 x Decl R4 on 01 Jul 2025.</t>
  </si>
  <si>
    <t>01 x  R4 deposited at O1.
02 x R4 deposited of U87 at O1.
01x R4  deposited at O1.
02 x decl R4                                                                    01 x GM INSAS LMG accident report raised.</t>
  </si>
  <si>
    <t xml:space="preserve">02 x MMG spares under demand (U80 &amp; U72)                                                                                    01 x decl R4  </t>
  </si>
  <si>
    <t xml:space="preserve">02 x 30mm AGL (AGS-17) for repair on 02 Oct 2025. (U11)                                    
03 x Hyd Buffer Faulty deposited by user unit  for further repair. </t>
  </si>
  <si>
    <t xml:space="preserve">22 x Dec OBE                                 </t>
  </si>
  <si>
    <t>09 x Front Flip Up Sight bkn
16 x Rear Flip Up sight bkn demanded from H2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</si>
  <si>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</si>
  <si>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</si>
  <si>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</si>
  <si>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</si>
  <si>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</si>
  <si>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</si>
  <si>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</si>
  <si>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</si>
  <si>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</si>
  <si>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</si>
  <si>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</si>
  <si>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</si>
  <si>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</si>
  <si>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</si>
  <si>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</si>
  <si>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</si>
  <si>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</si>
  <si>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</si>
  <si>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</si>
  <si>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</si>
  <si>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</si>
  <si>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</si>
  <si>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</si>
  <si>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</si>
  <si>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</si>
  <si>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</si>
  <si>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</si>
  <si>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</si>
  <si>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</si>
  <si>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</si>
  <si>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S1.1</t>
  </si>
  <si>
    <t>S1.2</t>
  </si>
  <si>
    <t>S1.3</t>
  </si>
  <si>
    <t>S1.4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</si>
  <si>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</si>
  <si>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</si>
  <si>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</si>
  <si>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</si>
  <si>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</si>
  <si>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</si>
  <si>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</si>
  <si>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</si>
  <si>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</si>
  <si>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</si>
  <si>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>S4.2</t>
  </si>
  <si>
    <t>S4.3</t>
  </si>
  <si>
    <t>S4.4</t>
  </si>
  <si>
    <t>S5.1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</si>
  <si>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</si>
  <si>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</si>
  <si>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</si>
  <si>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</si>
  <si>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</si>
  <si>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</si>
  <si>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</si>
  <si>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</si>
  <si>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</si>
  <si>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</si>
  <si>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</si>
  <si>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</si>
  <si>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</si>
  <si>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</si>
  <si>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</si>
  <si>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</si>
  <si>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</si>
  <si>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</si>
  <si>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</si>
  <si>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</si>
  <si>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</si>
  <si>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</si>
  <si>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</si>
  <si>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</si>
  <si>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</si>
  <si>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</si>
  <si>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</si>
  <si>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</si>
  <si>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</si>
  <si>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</si>
  <si>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</si>
  <si>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</si>
  <si>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</si>
  <si>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</si>
  <si>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</si>
  <si>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</si>
  <si>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</si>
  <si>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</si>
  <si>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</si>
  <si>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</si>
  <si>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</si>
  <si>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</si>
  <si>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</si>
  <si>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</si>
  <si>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</si>
  <si>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</si>
  <si>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</si>
  <si>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</si>
  <si>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</si>
  <si>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</si>
  <si>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</si>
  <si>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</si>
  <si>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</si>
  <si>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</si>
  <si>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</si>
  <si>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</si>
  <si>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</si>
  <si>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</si>
  <si>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</si>
  <si>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</si>
  <si>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</si>
  <si>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</si>
  <si>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</si>
  <si>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</si>
  <si>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</si>
  <si>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</si>
  <si>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</si>
  <si>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</si>
  <si>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</si>
  <si>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</si>
  <si>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</si>
  <si>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</si>
  <si>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04 x Eqpts spare demand from U17
(a) Hz drum under dmd at U17
(b) 01 x Glass bkn dmd (collimeter 102B)
(c) 02 x bubble leakage (Fd clinometer)</t>
  </si>
  <si>
    <t xml:space="preserve">01 x Eqpt items under dmd to O1
02 x Eqpts items under dmd to H3
02 x Spares demanded </t>
  </si>
  <si>
    <t xml:space="preserve">02 x Eqpt u/r at Z4 since 11 Oct 2025
</t>
  </si>
  <si>
    <t>02 x Eqpt u/r at Z4.</t>
  </si>
  <si>
    <t xml:space="preserve">02 x Eqpt u/r at Z4
</t>
  </si>
  <si>
    <t>02 x II Tube decl BER, deposited at O1 on 07 Mar 25, RV not recd from O1.
01 x Eqpt fwd to BEL Pune by Z4</t>
  </si>
  <si>
    <t xml:space="preserve">12 x Eqpt u/r at Z4
</t>
  </si>
  <si>
    <t xml:space="preserve">05 x Eqpt u/r at Z4
</t>
  </si>
  <si>
    <t xml:space="preserve">01 x Eqpt u/r at W2 </t>
  </si>
  <si>
    <t>01 x Eqpt u/r  at W2</t>
  </si>
  <si>
    <t>03 x Eqpt fwd to W2 by Z4, Awaiting for collection by user rep for deposition at W2.
02 x Eqpt fwd to Z4 &amp; further fwd to W2.</t>
  </si>
  <si>
    <t>01 x Eqpt u/r at W2</t>
  </si>
  <si>
    <t>02 x Eqpt u/r at Z2</t>
  </si>
  <si>
    <t>01 x Eqpt u/r at Z2</t>
  </si>
  <si>
    <t xml:space="preserve">01 x RCU (Lorros Ser No-1318) Under repair at Z2
</t>
  </si>
  <si>
    <t>01 x Eqpt fwd to Z4 on 29 Nov 25. Eqpt further fwd to Z2 by Z4.
01 x Eqpt u/r at Z4
01 x eqpt u/r at Z2</t>
  </si>
  <si>
    <t xml:space="preserve">11 x Eqpt u/r at Z4
01 x Eqpt u/r at Z2
02 x Bubble assy of 02 x eqpt under dmd at 71 Inf DOU
</t>
  </si>
  <si>
    <t xml:space="preserve">LORROS Mk- IV Regd No – L-2018 Power supply faulty. Eqpt fwd to 4 Corps Zone Wksp as on 19 May 2025 and 4 Corps Zone Wksp fwd to Z2 for further repair on 29 May 2025. Presently eqpt at Z2.This wksp approached Z2 for early repair vide DO letter No 24501/DO/Est   dt 29 Aug 2025. It has been info that  AC surge protector, comn card, video surge protector &amp; KVM module faulty and not scaled in MS of Z2. Case taken for including of these items in their MS.NMC                                                                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</si>
</sst>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u/>
      <sz val="12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249">
    <xf numFmtId="0" fontId="0" fillId="0" borderId="0" xfId="0"/>
    <xf numFmtId="0" fontId="4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4" fillId="2" borderId="1" xfId="2" applyFont="1" applyFill="1" applyBorder="1" applyAlignment="1">
      <alignment vertical="center" wrapText="1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8" fillId="2" borderId="2" xfId="2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0" fontId="4" fillId="2" borderId="0" xfId="0" applyFont="1" applyFill="1"/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4" fillId="2" borderId="6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vertical="top" wrapText="1"/>
    </xf>
    <xf numFmtId="0" fontId="4" fillId="2" borderId="6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4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wrapText="1"/>
    </xf>
    <xf numFmtId="10" fontId="3" fillId="2" borderId="1" xfId="4" applyNumberFormat="1" applyFont="1" applyFill="1" applyBorder="1" applyAlignment="1" applyProtection="1">
      <alignment horizontal="center" vertical="center"/>
    </xf>
    <xf numFmtId="10" fontId="7" fillId="2" borderId="1" xfId="4" applyNumberFormat="1" applyFont="1" applyFill="1" applyBorder="1" applyAlignment="1" applyProtection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>
      <alignment horizontal="center" vertical="center"/>
    </xf>
    <xf numFmtId="0" fontId="13" fillId="2" borderId="0" xfId="0" applyFont="1" applyFill="1"/>
    <xf numFmtId="10" fontId="5" fillId="2" borderId="1" xfId="4" applyNumberFormat="1" applyFont="1" applyFill="1" applyBorder="1" applyAlignment="1" applyProtection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1" fontId="7" fillId="2" borderId="2" xfId="0" applyNumberFormat="1" applyFont="1" applyFill="1" applyBorder="1" applyAlignment="1">
      <alignment vertical="top" wrapText="1"/>
    </xf>
    <xf numFmtId="1" fontId="7" fillId="2" borderId="2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1" fontId="7" fillId="2" borderId="1" xfId="0" applyNumberFormat="1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>
      <alignment horizontal="left" wrapText="1" indent="2"/>
    </xf>
    <xf numFmtId="0" fontId="7" fillId="2" borderId="1" xfId="0" applyFont="1" applyFill="1" applyBorder="1" applyAlignment="1">
      <alignment horizontal="left" indent="2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vertical="top" wrapText="1"/>
      <protection locked="0"/>
    </xf>
    <xf numFmtId="0" fontId="7" fillId="2" borderId="1" xfId="0" applyFont="1" applyFill="1" applyBorder="1" applyAlignment="1" applyProtection="1">
      <alignment horizontal="center" vertical="top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7" fillId="2" borderId="1" xfId="0" applyFont="1" applyFill="1" applyBorder="1" applyAlignment="1">
      <alignment horizontal="center" vertical="top"/>
    </xf>
    <xf numFmtId="0" fontId="12" fillId="2" borderId="0" xfId="0" applyFont="1" applyFill="1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14" fillId="2" borderId="0" xfId="0" applyFont="1" applyFill="1"/>
    <xf numFmtId="0" fontId="4" fillId="2" borderId="1" xfId="0" applyFont="1" applyFill="1" applyBorder="1" applyAlignment="1">
      <alignment wrapText="1"/>
    </xf>
    <xf numFmtId="10" fontId="4" fillId="2" borderId="1" xfId="4" applyNumberFormat="1" applyFont="1" applyFill="1" applyBorder="1" applyAlignment="1" applyProtection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15" fillId="2" borderId="1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justify" vertical="top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 applyProtection="1">
      <alignment horizontal="left" vertical="top" wrapText="1"/>
      <protection locked="0"/>
    </xf>
    <xf numFmtId="0" fontId="6" fillId="2" borderId="2" xfId="0" applyFont="1" applyFill="1" applyBorder="1" applyAlignment="1">
      <alignment vertical="top" wrapText="1"/>
    </xf>
    <xf numFmtId="0" fontId="6" fillId="2" borderId="4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6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2" borderId="12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10" fontId="4" fillId="2" borderId="1" xfId="4" applyNumberFormat="1" applyFont="1" applyFill="1" applyBorder="1" applyAlignment="1" applyProtection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6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left" vertical="center" wrapText="1"/>
    </xf>
    <xf numFmtId="0" fontId="4" fillId="2" borderId="3" xfId="5" applyFont="1" applyFill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/>
    <xf numFmtId="0" fontId="8" fillId="2" borderId="1" xfId="0" applyFont="1" applyFill="1" applyBorder="1" applyAlignment="1" applyProtection="1">
      <alignment vertical="center" wrapText="1"/>
      <protection locked="0"/>
    </xf>
    <xf numFmtId="9" fontId="4" fillId="2" borderId="1" xfId="4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left" vertical="center" wrapText="1"/>
      <protection locked="0"/>
    </xf>
    <xf numFmtId="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10" fontId="5" fillId="0" borderId="1" xfId="4" applyNumberFormat="1" applyFont="1" applyFill="1" applyBorder="1" applyAlignment="1" applyProtection="1">
      <alignment vertical="top" wrapText="1"/>
    </xf>
    <xf numFmtId="0" fontId="5" fillId="2" borderId="1" xfId="0" applyFont="1" applyFill="1" applyBorder="1" applyAlignment="1" applyProtection="1">
      <alignment vertical="center" wrapText="1"/>
      <protection locked="0"/>
    </xf>
    <xf numFmtId="10" fontId="4" fillId="0" borderId="1" xfId="4" applyNumberFormat="1" applyFont="1" applyFill="1" applyBorder="1" applyAlignment="1" applyProtection="1">
      <alignment vertical="top" wrapText="1"/>
    </xf>
    <xf numFmtId="10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13" fillId="0" borderId="1" xfId="0" applyFont="1" applyBorder="1"/>
    <xf numFmtId="10" fontId="5" fillId="0" borderId="1" xfId="4" applyNumberFormat="1" applyFont="1" applyFill="1" applyBorder="1" applyAlignment="1" applyProtection="1">
      <alignment vertical="center" wrapText="1"/>
    </xf>
    <xf numFmtId="10" fontId="4" fillId="0" borderId="1" xfId="4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18" fillId="0" borderId="1" xfId="0" applyFont="1" applyBorder="1"/>
    <xf numFmtId="0" fontId="5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6" fillId="2" borderId="1" xfId="3" applyFont="1" applyFill="1" applyBorder="1" applyAlignment="1">
      <alignment vertical="center"/>
    </xf>
    <xf numFmtId="0" fontId="6" fillId="2" borderId="0" xfId="3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6" fillId="2" borderId="4" xfId="2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4" xfId="3" xr:uid="{00000000-0005-0000-0000-000002000000}"/>
    <cellStyle name="Normal 4 2" xfId="5" xr:uid="{00000000-0005-0000-0000-000003000000}"/>
    <cellStyle name="Normal 55 2" xfId="2" xr:uid="{00000000-0005-0000-0000-000004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emebrtechfrs.STRIKEONE\Desktop\FRS%20May%2020\FRS%20UPDATED%20WITH%20NEW%20FORMAT\Secure%20Disk\G%20DRIVE\FRS%20FOLDER\ALL%20EQPT%20AUTH%20HELD%202019\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cure%20Disk/G%20DRIVE/FRS%20FOLDER/ALL%20EQPT%20AUTH%20HELD%202019/ALL%20EQPT%20AUTH%20HELD%20Mar%20%20%202019.xlsx" TargetMode="External"/><Relationship Id="rId1" Type="http://schemas.openxmlformats.org/officeDocument/2006/relationships/externalLinkPath" Target="/Secure%20Disk/G%20DRIVE/FRS%20FOLDER/ALL%20EQPT%20AUTH%20HELD%202019/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FInal%20%20FRS%20month%20of%20Nov%2020%20-%20Copy\Secure%20Disk\G%20DRIVE\FRS%20FOLDER\ALL%20EQPT%20AUTH%20HELD%202019\ALL%20EQPT%20AUTH%20HELD%20Mar%20%20%202019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mebrtechfrs.STRIKEONE/Desktop/FRS%20May%2020/FRS%20UPDATED%20WITH%20NEW%20FORMAT/Secure%20Disk/G%20DRIVE/FRS%20FOLDER/ALL%20EQPT%20AUTH%20HELD%202019/ALL%20EQPT%20AUTH%20HELD%20Mar%20%20%202019.xlsx" TargetMode="External"/><Relationship Id="rId1" Type="http://schemas.openxmlformats.org/officeDocument/2006/relationships/externalLinkPath" Target="/Users/emebrtechfrs.STRIKEONE/Desktop/FRS%20May%2020/FRS%20UPDATED%20WITH%20NEW%20FORMAT/Secure%20Disk/G%20DRIVE/FRS%20FOLDER/ALL%20EQPT%20AUTH%20HELD%202019/ALL%20EQPT%20AUTH%20HELD%20Mar%20%20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User%2004/Application%20Data/Microsoft/Excel/MESR/FRS%20Nov%2010/Central%20Comd.xls" TargetMode="External"/><Relationship Id="rId1" Type="http://schemas.openxmlformats.org/officeDocument/2006/relationships/externalLinkPath" Target="/Documents%20and%20Settings/User%2004/Application%20Data/Microsoft/Excel/MESR/FRS%20Nov%2010/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hclkemebr_4c/Desktop/Appx.xlsx" TargetMode="External"/><Relationship Id="rId7" Type="http://schemas.openxmlformats.org/officeDocument/2006/relationships/externalLinkPath" Target="/Users/hclkemebr_4c/Desktop/Appx.xlsx" TargetMode="External"/><Relationship Id="rId2" Type="http://schemas.openxmlformats.org/officeDocument/2006/relationships/externalLinkPath" Target="/Users/hclkemebr_4c/Desktop/Appx.xlsx" TargetMode="External"/><Relationship Id="rId1" Type="http://schemas.openxmlformats.org/officeDocument/2006/relationships/externalLinkPath" Target="/Users/hclkemebr_4c/Desktop/Appx.xlsx" TargetMode="External"/><Relationship Id="rId6" Type="http://schemas.openxmlformats.org/officeDocument/2006/relationships/externalLinkPath" Target="/Users/hclkemebr_4c/Desktop/Appx.xlsx" TargetMode="External"/><Relationship Id="rId5" Type="http://schemas.openxmlformats.org/officeDocument/2006/relationships/externalLinkPath" Target="/Users/hclkemebr_4c/Desktop/Appx.xlsx" TargetMode="External"/><Relationship Id="rId4" Type="http://schemas.openxmlformats.org/officeDocument/2006/relationships/externalLinkPath" Target="/Users/hclkemebr_4c/Desktop/Appx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externalLinkPath" Target="/Users/hclkemebr_4c/Desktop/Appx.xlsx" TargetMode="External"/><Relationship Id="rId7" Type="http://schemas.openxmlformats.org/officeDocument/2006/relationships/externalLinkPath" Target="/Users/hclkemebr_4c/Desktop/Appx.xlsx" TargetMode="External"/><Relationship Id="rId2" Type="http://schemas.openxmlformats.org/officeDocument/2006/relationships/externalLinkPath" Target="/Users/hclkemebr_4c/Desktop/Appx.xlsx" TargetMode="External"/><Relationship Id="rId1" Type="http://schemas.openxmlformats.org/officeDocument/2006/relationships/externalLinkPath" Target="/Users/hclkemebr_4c/Desktop/Appx.xlsx" TargetMode="External"/><Relationship Id="rId6" Type="http://schemas.openxmlformats.org/officeDocument/2006/relationships/externalLinkPath" Target="/Users/hclkemebr_4c/Desktop/Appx.xlsx" TargetMode="External"/><Relationship Id="rId5" Type="http://schemas.openxmlformats.org/officeDocument/2006/relationships/externalLinkPath" Target="/Users/hclkemebr_4c/Desktop/Appx.xlsx" TargetMode="External"/><Relationship Id="rId4" Type="http://schemas.openxmlformats.org/officeDocument/2006/relationships/externalLinkPath" Target="/Users/hclkemebr_4c/Desktop/Appx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hclkemebr_4c/AppData/Local/Temp/95836804-24c6-4429-b87d-ac5c43754ead_Untitled_Message%20(1).zip.ead/Armt.xlsx" TargetMode="External"/><Relationship Id="rId2" Type="http://schemas.openxmlformats.org/officeDocument/2006/relationships/externalLinkPath" Target="/Users/hclkemebr_4c/AppData/Local/Temp/95836804-24c6-4429-b87d-ac5c43754ead_Untitled_Message%20(1).zip.ead/Armt.xlsx" TargetMode="External"/><Relationship Id="rId1" Type="http://schemas.openxmlformats.org/officeDocument/2006/relationships/externalLinkPath" Target="/Users/hclkemebr_4c/AppData/Local/Temp/95836804-24c6-4429-b87d-ac5c43754ead_Untitled_Message%20(1).zip.ead/Armt.xlsx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externalLinkPath" Target="/Users/hclkemebr_4c/AppData/Local/Temp/a4040f20-e964-4435-8d66-08d6658da8ed_Untitled_Message%20(1).zip.8ed/SA.xlsx" TargetMode="External"/><Relationship Id="rId7" Type="http://schemas.openxmlformats.org/officeDocument/2006/relationships/externalLinkPath" Target="/Users/hclkemebr_4c/AppData/Local/Temp/a4040f20-e964-4435-8d66-08d6658da8ed_Untitled_Message%20(1).zip.8ed/SA.xlsx" TargetMode="External"/><Relationship Id="rId2" Type="http://schemas.openxmlformats.org/officeDocument/2006/relationships/externalLinkPath" Target="/Users/hclkemebr_4c/AppData/Local/Temp/a4040f20-e964-4435-8d66-08d6658da8ed_Untitled_Message%20(1).zip.8ed/SA.xlsx" TargetMode="External"/><Relationship Id="rId1" Type="http://schemas.openxmlformats.org/officeDocument/2006/relationships/externalLinkPath" Target="/Users/hclkemebr_4c/AppData/Local/Temp/a4040f20-e964-4435-8d66-08d6658da8ed_Untitled_Message%20(1).zip.8ed/SA.xlsx" TargetMode="External"/><Relationship Id="rId6" Type="http://schemas.openxmlformats.org/officeDocument/2006/relationships/externalLinkPath" Target="/Users/hclkemebr_4c/AppData/Local/Temp/a4040f20-e964-4435-8d66-08d6658da8ed_Untitled_Message%20(1).zip.8ed/SA.xlsx" TargetMode="External"/><Relationship Id="rId5" Type="http://schemas.openxmlformats.org/officeDocument/2006/relationships/externalLinkPath" Target="/Users/hclkemebr_4c/AppData/Local/Temp/a4040f20-e964-4435-8d66-08d6658da8ed_Untitled_Message%20(1).zip.8ed/SA.xlsx" TargetMode="External"/><Relationship Id="rId4" Type="http://schemas.openxmlformats.org/officeDocument/2006/relationships/externalLinkPath" Target="/Users/hclkemebr_4c/AppData/Local/Temp/a4040f20-e964-4435-8d66-08d6658da8ed_Untitled_Message%20(1).zip.8ed/SA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39"/>
  <sheetViews>
    <sheetView zoomScale="70" zoomScaleNormal="70" workbookViewId="0">
      <selection activeCell="I8" sqref="I8"/>
    </sheetView>
  </sheetViews>
  <sheetFormatPr defaultColWidth="9.109375" defaultRowHeight="15" x14ac:dyDescent="0.3"/>
  <cols>
    <col min="1" max="1" width="8.6640625" style="1" customWidth="1"/>
    <col min="2" max="2" width="53.5546875" style="30" customWidth="1"/>
    <col min="3" max="3" width="8" style="1" customWidth="1"/>
    <col min="4" max="4" width="8.33203125" style="1" customWidth="1"/>
    <col min="5" max="5" width="7.6640625" style="1" bestFit="1" customWidth="1"/>
    <col min="6" max="6" width="7" style="1" bestFit="1" customWidth="1"/>
    <col min="7" max="7" width="5.5546875" style="1" bestFit="1" customWidth="1"/>
    <col min="8" max="9" width="7.5546875" style="1" customWidth="1"/>
    <col min="10" max="10" width="140.6640625" style="31" customWidth="1"/>
    <col min="11" max="16384" width="9.109375" style="1"/>
  </cols>
  <sheetData>
    <row r="2" spans="1:10" ht="21" customHeight="1" x14ac:dyDescent="0.3">
      <c r="A2" s="219"/>
      <c r="B2" s="219"/>
      <c r="C2" s="219"/>
      <c r="D2" s="219"/>
      <c r="E2" s="219"/>
      <c r="F2" s="219"/>
      <c r="G2" s="219"/>
      <c r="H2" s="219"/>
      <c r="I2" s="219"/>
      <c r="J2" s="219"/>
    </row>
    <row r="3" spans="1:10" ht="21" customHeight="1" x14ac:dyDescent="0.3">
      <c r="A3" s="218" t="s">
        <v>144</v>
      </c>
      <c r="B3" s="218"/>
      <c r="C3" s="218"/>
      <c r="D3" s="218"/>
      <c r="E3" s="218"/>
      <c r="F3" s="218"/>
      <c r="G3" s="218"/>
      <c r="H3" s="218"/>
      <c r="I3" s="218"/>
      <c r="J3" s="218"/>
    </row>
    <row r="4" spans="1:10" ht="31.2" x14ac:dyDescent="0.3">
      <c r="A4" s="2" t="s">
        <v>0</v>
      </c>
      <c r="B4" s="3" t="s">
        <v>1</v>
      </c>
      <c r="C4" s="4" t="s">
        <v>2</v>
      </c>
      <c r="D4" s="4"/>
      <c r="E4" s="2" t="s">
        <v>3</v>
      </c>
      <c r="F4" s="2"/>
      <c r="G4" s="2"/>
      <c r="H4" s="2"/>
      <c r="I4" s="2" t="s">
        <v>4</v>
      </c>
      <c r="J4" s="3" t="s">
        <v>5</v>
      </c>
    </row>
    <row r="5" spans="1:10" ht="30.75" customHeight="1" x14ac:dyDescent="0.3">
      <c r="A5" s="2"/>
      <c r="B5" s="3"/>
      <c r="C5" s="3" t="s">
        <v>6</v>
      </c>
      <c r="D5" s="3" t="s">
        <v>7</v>
      </c>
      <c r="E5" s="5" t="s">
        <v>8</v>
      </c>
      <c r="F5" s="5" t="s">
        <v>9</v>
      </c>
      <c r="G5" s="5" t="s">
        <v>10</v>
      </c>
      <c r="H5" s="6" t="s">
        <v>11</v>
      </c>
      <c r="I5" s="2"/>
      <c r="J5" s="3"/>
    </row>
    <row r="6" spans="1:10" s="7" customFormat="1" ht="21" customHeight="1" x14ac:dyDescent="0.3">
      <c r="A6" s="5" t="s">
        <v>12</v>
      </c>
      <c r="B6" s="6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6" t="s">
        <v>21</v>
      </c>
    </row>
    <row r="7" spans="1:10" s="8" customFormat="1" ht="21" customHeight="1" x14ac:dyDescent="0.3">
      <c r="A7" s="220" t="s">
        <v>22</v>
      </c>
      <c r="B7" s="220"/>
      <c r="C7" s="220"/>
      <c r="D7" s="220"/>
      <c r="E7" s="220"/>
      <c r="F7" s="220"/>
      <c r="G7" s="220"/>
      <c r="H7" s="220"/>
      <c r="I7" s="220"/>
      <c r="J7" s="220"/>
    </row>
    <row r="8" spans="1:10" s="8" customFormat="1" ht="60" x14ac:dyDescent="0.3">
      <c r="A8" s="9">
        <v>1</v>
      </c>
      <c r="B8" s="10" t="s">
        <v>145</v>
      </c>
      <c r="C8" s="11">
        <v>1387</v>
      </c>
      <c r="D8" s="12">
        <v>861</v>
      </c>
      <c r="E8" s="12">
        <v>10</v>
      </c>
      <c r="F8" s="12">
        <v>0</v>
      </c>
      <c r="G8" s="12">
        <v>10</v>
      </c>
      <c r="H8" s="12">
        <f>SUM(E8+F8+G8)</f>
        <v>20</v>
      </c>
      <c r="I8" s="12">
        <f>D8-H8</f>
        <v>841</v>
      </c>
      <c r="J8" s="13" t="s">
        <v>278</v>
      </c>
    </row>
    <row r="9" spans="1:10" s="8" customFormat="1" ht="108.75" customHeight="1" x14ac:dyDescent="0.3">
      <c r="A9" s="9">
        <v>2</v>
      </c>
      <c r="B9" s="10" t="s">
        <v>146</v>
      </c>
      <c r="C9" s="11">
        <v>1898</v>
      </c>
      <c r="D9" s="12">
        <v>1378</v>
      </c>
      <c r="E9" s="12">
        <v>9</v>
      </c>
      <c r="F9" s="12">
        <v>0</v>
      </c>
      <c r="G9" s="12">
        <v>12</v>
      </c>
      <c r="H9" s="12">
        <f t="shared" ref="H9:H72" si="0">SUM(E9+F9+G9)</f>
        <v>21</v>
      </c>
      <c r="I9" s="12">
        <f t="shared" ref="I9:I72" si="1">D9-H9</f>
        <v>1357</v>
      </c>
      <c r="J9" s="13" t="s">
        <v>23</v>
      </c>
    </row>
    <row r="10" spans="1:10" s="8" customFormat="1" ht="90" x14ac:dyDescent="0.3">
      <c r="A10" s="9">
        <v>3</v>
      </c>
      <c r="B10" s="10" t="s">
        <v>147</v>
      </c>
      <c r="C10" s="11">
        <v>2136</v>
      </c>
      <c r="D10" s="12">
        <v>1635</v>
      </c>
      <c r="E10" s="12">
        <v>6</v>
      </c>
      <c r="F10" s="12">
        <v>0</v>
      </c>
      <c r="G10" s="12">
        <v>17</v>
      </c>
      <c r="H10" s="12">
        <f t="shared" si="0"/>
        <v>23</v>
      </c>
      <c r="I10" s="12">
        <f t="shared" si="1"/>
        <v>1612</v>
      </c>
      <c r="J10" s="13" t="s">
        <v>24</v>
      </c>
    </row>
    <row r="11" spans="1:10" s="8" customFormat="1" ht="27.75" customHeight="1" x14ac:dyDescent="0.3">
      <c r="A11" s="9">
        <v>4</v>
      </c>
      <c r="B11" s="10" t="s">
        <v>148</v>
      </c>
      <c r="C11" s="11">
        <v>18</v>
      </c>
      <c r="D11" s="12">
        <v>22</v>
      </c>
      <c r="E11" s="12">
        <v>0</v>
      </c>
      <c r="F11" s="12">
        <v>0</v>
      </c>
      <c r="G11" s="12">
        <v>3</v>
      </c>
      <c r="H11" s="12">
        <f t="shared" si="0"/>
        <v>3</v>
      </c>
      <c r="I11" s="12">
        <f t="shared" si="1"/>
        <v>19</v>
      </c>
      <c r="J11" s="14" t="s">
        <v>25</v>
      </c>
    </row>
    <row r="12" spans="1:10" s="8" customFormat="1" ht="27.75" customHeight="1" x14ac:dyDescent="0.3">
      <c r="A12" s="9">
        <v>5</v>
      </c>
      <c r="B12" s="10" t="s">
        <v>149</v>
      </c>
      <c r="C12" s="11">
        <v>0</v>
      </c>
      <c r="D12" s="12">
        <v>0</v>
      </c>
      <c r="E12" s="12">
        <v>0</v>
      </c>
      <c r="F12" s="12">
        <v>0</v>
      </c>
      <c r="G12" s="12">
        <v>0</v>
      </c>
      <c r="H12" s="12">
        <f t="shared" si="0"/>
        <v>0</v>
      </c>
      <c r="I12" s="12">
        <f t="shared" si="1"/>
        <v>0</v>
      </c>
      <c r="J12" s="15"/>
    </row>
    <row r="13" spans="1:10" s="8" customFormat="1" ht="27.75" customHeight="1" x14ac:dyDescent="0.3">
      <c r="A13" s="9">
        <v>6</v>
      </c>
      <c r="B13" s="10" t="s">
        <v>150</v>
      </c>
      <c r="C13" s="11">
        <v>0</v>
      </c>
      <c r="D13" s="12">
        <v>0</v>
      </c>
      <c r="E13" s="12">
        <v>0</v>
      </c>
      <c r="F13" s="12">
        <v>0</v>
      </c>
      <c r="G13" s="12">
        <v>0</v>
      </c>
      <c r="H13" s="12">
        <f t="shared" si="0"/>
        <v>0</v>
      </c>
      <c r="I13" s="12">
        <f t="shared" si="1"/>
        <v>0</v>
      </c>
      <c r="J13" s="15"/>
    </row>
    <row r="14" spans="1:10" s="8" customFormat="1" ht="27.75" customHeight="1" x14ac:dyDescent="0.3">
      <c r="A14" s="9">
        <v>7</v>
      </c>
      <c r="B14" s="10" t="s">
        <v>151</v>
      </c>
      <c r="C14" s="11">
        <v>0</v>
      </c>
      <c r="D14" s="12">
        <v>0</v>
      </c>
      <c r="E14" s="12">
        <v>0</v>
      </c>
      <c r="F14" s="12">
        <v>0</v>
      </c>
      <c r="G14" s="12">
        <v>0</v>
      </c>
      <c r="H14" s="12">
        <f t="shared" si="0"/>
        <v>0</v>
      </c>
      <c r="I14" s="12">
        <f t="shared" si="1"/>
        <v>0</v>
      </c>
      <c r="J14" s="15"/>
    </row>
    <row r="15" spans="1:10" s="8" customFormat="1" ht="27.75" customHeight="1" x14ac:dyDescent="0.3">
      <c r="A15" s="9">
        <v>8</v>
      </c>
      <c r="B15" s="10" t="s">
        <v>152</v>
      </c>
      <c r="C15" s="11">
        <v>4</v>
      </c>
      <c r="D15" s="12">
        <v>4</v>
      </c>
      <c r="E15" s="12">
        <v>0</v>
      </c>
      <c r="F15" s="12">
        <v>0</v>
      </c>
      <c r="G15" s="12">
        <v>0</v>
      </c>
      <c r="H15" s="12">
        <f t="shared" si="0"/>
        <v>0</v>
      </c>
      <c r="I15" s="12">
        <f t="shared" si="1"/>
        <v>4</v>
      </c>
      <c r="J15" s="15"/>
    </row>
    <row r="16" spans="1:10" s="8" customFormat="1" ht="27.75" customHeight="1" x14ac:dyDescent="0.3">
      <c r="A16" s="9">
        <v>9</v>
      </c>
      <c r="B16" s="10" t="s">
        <v>153</v>
      </c>
      <c r="C16" s="11">
        <v>18</v>
      </c>
      <c r="D16" s="12">
        <v>17</v>
      </c>
      <c r="E16" s="12">
        <v>0</v>
      </c>
      <c r="F16" s="12">
        <v>0</v>
      </c>
      <c r="G16" s="12">
        <v>0</v>
      </c>
      <c r="H16" s="12">
        <f t="shared" si="0"/>
        <v>0</v>
      </c>
      <c r="I16" s="12">
        <f t="shared" si="1"/>
        <v>17</v>
      </c>
      <c r="J16" s="15"/>
    </row>
    <row r="17" spans="1:10" ht="135" x14ac:dyDescent="0.3">
      <c r="A17" s="9">
        <v>10</v>
      </c>
      <c r="B17" s="10" t="s">
        <v>154</v>
      </c>
      <c r="C17" s="17">
        <v>0</v>
      </c>
      <c r="D17" s="18">
        <v>28</v>
      </c>
      <c r="E17" s="18">
        <v>6</v>
      </c>
      <c r="F17" s="18">
        <v>0</v>
      </c>
      <c r="G17" s="18">
        <v>3</v>
      </c>
      <c r="H17" s="12">
        <f t="shared" si="0"/>
        <v>9</v>
      </c>
      <c r="I17" s="12">
        <f t="shared" si="1"/>
        <v>19</v>
      </c>
      <c r="J17" s="13" t="s">
        <v>277</v>
      </c>
    </row>
    <row r="18" spans="1:10" s="8" customFormat="1" ht="28.5" customHeight="1" x14ac:dyDescent="0.3">
      <c r="A18" s="194" t="s">
        <v>26</v>
      </c>
      <c r="B18" s="194"/>
      <c r="C18" s="195"/>
      <c r="D18" s="195"/>
      <c r="E18" s="195"/>
      <c r="F18" s="195"/>
      <c r="G18" s="195"/>
      <c r="H18" s="12">
        <f t="shared" si="0"/>
        <v>0</v>
      </c>
      <c r="I18" s="12">
        <f t="shared" si="1"/>
        <v>0</v>
      </c>
      <c r="J18" s="15"/>
    </row>
    <row r="19" spans="1:10" s="8" customFormat="1" ht="21" customHeight="1" x14ac:dyDescent="0.3">
      <c r="A19" s="19">
        <v>11</v>
      </c>
      <c r="B19" s="10" t="s">
        <v>155</v>
      </c>
      <c r="C19" s="11">
        <v>0</v>
      </c>
      <c r="D19" s="12">
        <v>0</v>
      </c>
      <c r="E19" s="12">
        <v>0</v>
      </c>
      <c r="F19" s="12">
        <v>0</v>
      </c>
      <c r="G19" s="12">
        <v>0</v>
      </c>
      <c r="H19" s="12">
        <f t="shared" si="0"/>
        <v>0</v>
      </c>
      <c r="I19" s="12">
        <f t="shared" si="1"/>
        <v>0</v>
      </c>
      <c r="J19" s="15"/>
    </row>
    <row r="20" spans="1:10" s="8" customFormat="1" ht="21" customHeight="1" x14ac:dyDescent="0.3">
      <c r="A20" s="19">
        <v>12</v>
      </c>
      <c r="B20" s="10" t="s">
        <v>156</v>
      </c>
      <c r="C20" s="11">
        <v>0</v>
      </c>
      <c r="D20" s="12">
        <v>0</v>
      </c>
      <c r="E20" s="12">
        <v>0</v>
      </c>
      <c r="F20" s="12">
        <v>0</v>
      </c>
      <c r="G20" s="12">
        <v>0</v>
      </c>
      <c r="H20" s="12">
        <f t="shared" si="0"/>
        <v>0</v>
      </c>
      <c r="I20" s="12">
        <f t="shared" si="1"/>
        <v>0</v>
      </c>
      <c r="J20" s="15"/>
    </row>
    <row r="21" spans="1:10" s="8" customFormat="1" ht="21" customHeight="1" x14ac:dyDescent="0.3">
      <c r="A21" s="19">
        <v>13</v>
      </c>
      <c r="B21" s="10" t="s">
        <v>157</v>
      </c>
      <c r="C21" s="11">
        <v>0</v>
      </c>
      <c r="D21" s="12">
        <v>0</v>
      </c>
      <c r="E21" s="12">
        <v>0</v>
      </c>
      <c r="F21" s="12">
        <v>0</v>
      </c>
      <c r="G21" s="12">
        <v>0</v>
      </c>
      <c r="H21" s="12">
        <f t="shared" si="0"/>
        <v>0</v>
      </c>
      <c r="I21" s="12">
        <f t="shared" si="1"/>
        <v>0</v>
      </c>
      <c r="J21" s="15"/>
    </row>
    <row r="22" spans="1:10" s="8" customFormat="1" ht="21" customHeight="1" x14ac:dyDescent="0.3">
      <c r="A22" s="19">
        <v>14</v>
      </c>
      <c r="B22" s="10" t="s">
        <v>158</v>
      </c>
      <c r="C22" s="11">
        <v>0</v>
      </c>
      <c r="D22" s="12">
        <v>0</v>
      </c>
      <c r="E22" s="12">
        <v>0</v>
      </c>
      <c r="F22" s="12">
        <v>0</v>
      </c>
      <c r="G22" s="12">
        <v>0</v>
      </c>
      <c r="H22" s="12">
        <f t="shared" si="0"/>
        <v>0</v>
      </c>
      <c r="I22" s="12">
        <f t="shared" si="1"/>
        <v>0</v>
      </c>
      <c r="J22" s="15"/>
    </row>
    <row r="23" spans="1:10" s="8" customFormat="1" ht="21" customHeight="1" x14ac:dyDescent="0.3">
      <c r="A23" s="19">
        <v>15</v>
      </c>
      <c r="B23" s="10" t="s">
        <v>159</v>
      </c>
      <c r="C23" s="11">
        <v>0</v>
      </c>
      <c r="D23" s="12">
        <v>0</v>
      </c>
      <c r="E23" s="12">
        <v>0</v>
      </c>
      <c r="F23" s="12">
        <v>0</v>
      </c>
      <c r="G23" s="12">
        <v>0</v>
      </c>
      <c r="H23" s="12">
        <f t="shared" si="0"/>
        <v>0</v>
      </c>
      <c r="I23" s="12">
        <f t="shared" si="1"/>
        <v>0</v>
      </c>
      <c r="J23" s="15"/>
    </row>
    <row r="24" spans="1:10" s="8" customFormat="1" ht="21" customHeight="1" x14ac:dyDescent="0.3">
      <c r="A24" s="19">
        <v>16</v>
      </c>
      <c r="B24" s="10" t="s">
        <v>160</v>
      </c>
      <c r="C24" s="11">
        <v>0</v>
      </c>
      <c r="D24" s="12">
        <v>0</v>
      </c>
      <c r="E24" s="12">
        <v>0</v>
      </c>
      <c r="F24" s="12">
        <v>0</v>
      </c>
      <c r="G24" s="12">
        <v>0</v>
      </c>
      <c r="H24" s="12">
        <f t="shared" si="0"/>
        <v>0</v>
      </c>
      <c r="I24" s="12">
        <f t="shared" si="1"/>
        <v>0</v>
      </c>
      <c r="J24" s="15"/>
    </row>
    <row r="25" spans="1:10" s="8" customFormat="1" ht="60" x14ac:dyDescent="0.3">
      <c r="A25" s="19">
        <v>17</v>
      </c>
      <c r="B25" s="10" t="s">
        <v>161</v>
      </c>
      <c r="C25" s="11">
        <v>90</v>
      </c>
      <c r="D25" s="12">
        <v>84</v>
      </c>
      <c r="E25" s="12">
        <v>1</v>
      </c>
      <c r="F25" s="12">
        <v>4</v>
      </c>
      <c r="G25" s="12">
        <v>3</v>
      </c>
      <c r="H25" s="12">
        <f t="shared" si="0"/>
        <v>8</v>
      </c>
      <c r="I25" s="12">
        <f t="shared" si="1"/>
        <v>76</v>
      </c>
      <c r="J25" s="20" t="s">
        <v>276</v>
      </c>
    </row>
    <row r="26" spans="1:10" s="8" customFormat="1" ht="21" customHeight="1" x14ac:dyDescent="0.3">
      <c r="A26" s="19">
        <v>18</v>
      </c>
      <c r="B26" s="10" t="s">
        <v>162</v>
      </c>
      <c r="C26" s="11">
        <v>0</v>
      </c>
      <c r="D26" s="12">
        <v>0</v>
      </c>
      <c r="E26" s="12">
        <v>0</v>
      </c>
      <c r="F26" s="12">
        <v>0</v>
      </c>
      <c r="G26" s="12">
        <v>0</v>
      </c>
      <c r="H26" s="12">
        <f t="shared" si="0"/>
        <v>0</v>
      </c>
      <c r="I26" s="12">
        <f t="shared" si="1"/>
        <v>0</v>
      </c>
      <c r="J26" s="15"/>
    </row>
    <row r="27" spans="1:10" s="8" customFormat="1" ht="21" customHeight="1" x14ac:dyDescent="0.3">
      <c r="A27" s="19">
        <v>19</v>
      </c>
      <c r="B27" s="10" t="s">
        <v>163</v>
      </c>
      <c r="C27" s="11">
        <v>0</v>
      </c>
      <c r="D27" s="12">
        <v>0</v>
      </c>
      <c r="E27" s="12">
        <v>0</v>
      </c>
      <c r="F27" s="12">
        <v>0</v>
      </c>
      <c r="G27" s="12">
        <v>0</v>
      </c>
      <c r="H27" s="12">
        <f t="shared" si="0"/>
        <v>0</v>
      </c>
      <c r="I27" s="12">
        <f t="shared" si="1"/>
        <v>0</v>
      </c>
      <c r="J27" s="15"/>
    </row>
    <row r="28" spans="1:10" s="8" customFormat="1" ht="21" customHeight="1" x14ac:dyDescent="0.3">
      <c r="A28" s="19">
        <v>20</v>
      </c>
      <c r="B28" s="10" t="s">
        <v>164</v>
      </c>
      <c r="C28" s="11">
        <v>0</v>
      </c>
      <c r="D28" s="12">
        <v>0</v>
      </c>
      <c r="E28" s="12">
        <v>0</v>
      </c>
      <c r="F28" s="12">
        <v>0</v>
      </c>
      <c r="G28" s="12">
        <v>0</v>
      </c>
      <c r="H28" s="12">
        <f t="shared" si="0"/>
        <v>0</v>
      </c>
      <c r="I28" s="12">
        <f t="shared" si="1"/>
        <v>0</v>
      </c>
      <c r="J28" s="15"/>
    </row>
    <row r="29" spans="1:10" s="8" customFormat="1" ht="30" x14ac:dyDescent="0.3">
      <c r="A29" s="19">
        <v>21</v>
      </c>
      <c r="B29" s="10" t="s">
        <v>165</v>
      </c>
      <c r="C29" s="11">
        <v>41</v>
      </c>
      <c r="D29" s="12">
        <v>25</v>
      </c>
      <c r="E29" s="12">
        <v>1</v>
      </c>
      <c r="F29" s="12">
        <v>2</v>
      </c>
      <c r="G29" s="12">
        <v>0</v>
      </c>
      <c r="H29" s="12">
        <f t="shared" si="0"/>
        <v>3</v>
      </c>
      <c r="I29" s="12">
        <f t="shared" si="1"/>
        <v>22</v>
      </c>
      <c r="J29" s="13" t="s">
        <v>27</v>
      </c>
    </row>
    <row r="30" spans="1:10" s="8" customFormat="1" ht="21" customHeight="1" x14ac:dyDescent="0.3">
      <c r="A30" s="19">
        <v>22</v>
      </c>
      <c r="B30" s="10" t="s">
        <v>166</v>
      </c>
      <c r="C30" s="11">
        <v>0</v>
      </c>
      <c r="D30" s="12">
        <v>0</v>
      </c>
      <c r="E30" s="12">
        <v>0</v>
      </c>
      <c r="F30" s="12">
        <v>0</v>
      </c>
      <c r="G30" s="12">
        <v>0</v>
      </c>
      <c r="H30" s="12">
        <f t="shared" si="0"/>
        <v>0</v>
      </c>
      <c r="I30" s="12">
        <f t="shared" si="1"/>
        <v>0</v>
      </c>
      <c r="J30" s="15"/>
    </row>
    <row r="31" spans="1:10" s="8" customFormat="1" ht="21" customHeight="1" x14ac:dyDescent="0.3">
      <c r="A31" s="19">
        <v>23</v>
      </c>
      <c r="B31" s="10" t="s">
        <v>167</v>
      </c>
      <c r="C31" s="11">
        <v>0</v>
      </c>
      <c r="D31" s="12">
        <v>0</v>
      </c>
      <c r="E31" s="12">
        <v>0</v>
      </c>
      <c r="F31" s="12">
        <v>0</v>
      </c>
      <c r="G31" s="12">
        <v>0</v>
      </c>
      <c r="H31" s="12">
        <f t="shared" si="0"/>
        <v>0</v>
      </c>
      <c r="I31" s="12">
        <f t="shared" si="1"/>
        <v>0</v>
      </c>
      <c r="J31" s="15"/>
    </row>
    <row r="32" spans="1:10" s="8" customFormat="1" ht="21" customHeight="1" x14ac:dyDescent="0.3">
      <c r="A32" s="19">
        <v>24</v>
      </c>
      <c r="B32" s="10" t="s">
        <v>168</v>
      </c>
      <c r="C32" s="11">
        <v>0</v>
      </c>
      <c r="D32" s="12">
        <v>0</v>
      </c>
      <c r="E32" s="12">
        <v>0</v>
      </c>
      <c r="F32" s="12">
        <v>0</v>
      </c>
      <c r="G32" s="12">
        <v>0</v>
      </c>
      <c r="H32" s="12">
        <f t="shared" si="0"/>
        <v>0</v>
      </c>
      <c r="I32" s="12">
        <f t="shared" si="1"/>
        <v>0</v>
      </c>
      <c r="J32" s="15"/>
    </row>
    <row r="33" spans="1:10" ht="21" customHeight="1" x14ac:dyDescent="0.3">
      <c r="A33" s="19">
        <v>25</v>
      </c>
      <c r="B33" s="10" t="s">
        <v>169</v>
      </c>
      <c r="C33" s="17">
        <v>2</v>
      </c>
      <c r="D33" s="12">
        <v>2</v>
      </c>
      <c r="E33" s="12">
        <v>0</v>
      </c>
      <c r="F33" s="12">
        <v>0</v>
      </c>
      <c r="G33" s="12">
        <v>0</v>
      </c>
      <c r="H33" s="12">
        <f t="shared" si="0"/>
        <v>0</v>
      </c>
      <c r="I33" s="12">
        <f t="shared" si="1"/>
        <v>2</v>
      </c>
      <c r="J33" s="15"/>
    </row>
    <row r="34" spans="1:10" s="8" customFormat="1" ht="21" customHeight="1" x14ac:dyDescent="0.3">
      <c r="A34" s="19">
        <v>26</v>
      </c>
      <c r="B34" s="10" t="s">
        <v>170</v>
      </c>
      <c r="C34" s="17">
        <v>0</v>
      </c>
      <c r="D34" s="12">
        <v>0</v>
      </c>
      <c r="E34" s="12">
        <v>0</v>
      </c>
      <c r="F34" s="12">
        <v>0</v>
      </c>
      <c r="G34" s="12">
        <v>0</v>
      </c>
      <c r="H34" s="12">
        <f t="shared" si="0"/>
        <v>0</v>
      </c>
      <c r="I34" s="12">
        <f t="shared" si="1"/>
        <v>0</v>
      </c>
      <c r="J34" s="15"/>
    </row>
    <row r="35" spans="1:10" s="8" customFormat="1" ht="21" customHeight="1" x14ac:dyDescent="0.3">
      <c r="A35" s="19">
        <v>27</v>
      </c>
      <c r="B35" s="10" t="s">
        <v>171</v>
      </c>
      <c r="C35" s="17">
        <v>0</v>
      </c>
      <c r="D35" s="12">
        <v>0</v>
      </c>
      <c r="E35" s="12">
        <v>0</v>
      </c>
      <c r="F35" s="12">
        <v>0</v>
      </c>
      <c r="G35" s="12">
        <v>0</v>
      </c>
      <c r="H35" s="12">
        <f t="shared" si="0"/>
        <v>0</v>
      </c>
      <c r="I35" s="12">
        <f t="shared" si="1"/>
        <v>0</v>
      </c>
      <c r="J35" s="15"/>
    </row>
    <row r="36" spans="1:10" s="8" customFormat="1" ht="21" customHeight="1" x14ac:dyDescent="0.3">
      <c r="A36" s="19">
        <v>28</v>
      </c>
      <c r="B36" s="10" t="s">
        <v>172</v>
      </c>
      <c r="C36" s="17">
        <v>0</v>
      </c>
      <c r="D36" s="12">
        <v>0</v>
      </c>
      <c r="E36" s="12">
        <v>0</v>
      </c>
      <c r="F36" s="12">
        <v>0</v>
      </c>
      <c r="G36" s="12">
        <v>0</v>
      </c>
      <c r="H36" s="12">
        <f t="shared" si="0"/>
        <v>0</v>
      </c>
      <c r="I36" s="12">
        <f t="shared" si="1"/>
        <v>0</v>
      </c>
      <c r="J36" s="15"/>
    </row>
    <row r="37" spans="1:10" s="8" customFormat="1" ht="21" customHeight="1" x14ac:dyDescent="0.3">
      <c r="A37" s="19">
        <v>29</v>
      </c>
      <c r="B37" s="10" t="s">
        <v>173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f t="shared" si="0"/>
        <v>0</v>
      </c>
      <c r="I37" s="12">
        <f t="shared" si="1"/>
        <v>0</v>
      </c>
      <c r="J37" s="15"/>
    </row>
    <row r="38" spans="1:10" s="8" customFormat="1" x14ac:dyDescent="0.3">
      <c r="A38" s="19">
        <v>30</v>
      </c>
      <c r="B38" s="10" t="s">
        <v>174</v>
      </c>
      <c r="C38" s="12">
        <v>24</v>
      </c>
      <c r="D38" s="12">
        <v>16</v>
      </c>
      <c r="E38" s="12">
        <v>0</v>
      </c>
      <c r="F38" s="12">
        <v>0</v>
      </c>
      <c r="G38" s="12">
        <v>0</v>
      </c>
      <c r="H38" s="12">
        <f t="shared" si="0"/>
        <v>0</v>
      </c>
      <c r="I38" s="12">
        <f t="shared" si="1"/>
        <v>16</v>
      </c>
      <c r="J38" s="15"/>
    </row>
    <row r="39" spans="1:10" s="8" customFormat="1" ht="21" customHeight="1" x14ac:dyDescent="0.3">
      <c r="A39" s="19">
        <v>31</v>
      </c>
      <c r="B39" s="10" t="s">
        <v>175</v>
      </c>
      <c r="C39" s="11">
        <v>0</v>
      </c>
      <c r="D39" s="12">
        <v>0</v>
      </c>
      <c r="E39" s="12">
        <v>0</v>
      </c>
      <c r="F39" s="12">
        <v>0</v>
      </c>
      <c r="G39" s="12">
        <v>0</v>
      </c>
      <c r="H39" s="12">
        <f t="shared" si="0"/>
        <v>0</v>
      </c>
      <c r="I39" s="12">
        <f t="shared" si="1"/>
        <v>0</v>
      </c>
      <c r="J39" s="15"/>
    </row>
    <row r="40" spans="1:10" s="8" customFormat="1" ht="21" customHeight="1" x14ac:dyDescent="0.3">
      <c r="A40" s="19">
        <v>32</v>
      </c>
      <c r="B40" s="10" t="s">
        <v>176</v>
      </c>
      <c r="C40" s="11">
        <v>6</v>
      </c>
      <c r="D40" s="12">
        <v>5</v>
      </c>
      <c r="E40" s="12">
        <v>0</v>
      </c>
      <c r="F40" s="12">
        <v>0</v>
      </c>
      <c r="G40" s="12">
        <v>0</v>
      </c>
      <c r="H40" s="12">
        <f t="shared" si="0"/>
        <v>0</v>
      </c>
      <c r="I40" s="12">
        <f t="shared" si="1"/>
        <v>5</v>
      </c>
      <c r="J40" s="15"/>
    </row>
    <row r="41" spans="1:10" s="8" customFormat="1" ht="21" customHeight="1" x14ac:dyDescent="0.3">
      <c r="A41" s="19">
        <v>33</v>
      </c>
      <c r="B41" s="10" t="s">
        <v>177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f t="shared" si="0"/>
        <v>0</v>
      </c>
      <c r="I41" s="12">
        <f t="shared" si="1"/>
        <v>0</v>
      </c>
      <c r="J41" s="15"/>
    </row>
    <row r="42" spans="1:10" s="8" customFormat="1" ht="21" customHeight="1" x14ac:dyDescent="0.3">
      <c r="A42" s="19">
        <v>34</v>
      </c>
      <c r="B42" s="10" t="s">
        <v>178</v>
      </c>
      <c r="C42" s="11">
        <v>12</v>
      </c>
      <c r="D42" s="12">
        <v>10</v>
      </c>
      <c r="E42" s="12">
        <v>0</v>
      </c>
      <c r="F42" s="12">
        <v>0</v>
      </c>
      <c r="G42" s="12">
        <v>0</v>
      </c>
      <c r="H42" s="12">
        <f t="shared" si="0"/>
        <v>0</v>
      </c>
      <c r="I42" s="12">
        <f t="shared" si="1"/>
        <v>10</v>
      </c>
      <c r="J42" s="15"/>
    </row>
    <row r="43" spans="1:10" s="8" customFormat="1" ht="21" customHeight="1" x14ac:dyDescent="0.3">
      <c r="A43" s="19">
        <v>35</v>
      </c>
      <c r="B43" s="10" t="s">
        <v>179</v>
      </c>
      <c r="C43" s="11">
        <v>0</v>
      </c>
      <c r="D43" s="12">
        <v>0</v>
      </c>
      <c r="E43" s="12">
        <v>0</v>
      </c>
      <c r="F43" s="12">
        <v>0</v>
      </c>
      <c r="G43" s="12">
        <v>0</v>
      </c>
      <c r="H43" s="12">
        <f t="shared" si="0"/>
        <v>0</v>
      </c>
      <c r="I43" s="12">
        <f t="shared" si="1"/>
        <v>0</v>
      </c>
      <c r="J43" s="15"/>
    </row>
    <row r="44" spans="1:10" s="8" customFormat="1" ht="21" customHeight="1" x14ac:dyDescent="0.3">
      <c r="A44" s="19">
        <v>36</v>
      </c>
      <c r="B44" s="10" t="s">
        <v>180</v>
      </c>
      <c r="C44" s="11">
        <v>0</v>
      </c>
      <c r="D44" s="12">
        <v>0</v>
      </c>
      <c r="E44" s="12">
        <v>0</v>
      </c>
      <c r="F44" s="12">
        <v>0</v>
      </c>
      <c r="G44" s="12">
        <v>0</v>
      </c>
      <c r="H44" s="12">
        <f t="shared" si="0"/>
        <v>0</v>
      </c>
      <c r="I44" s="12">
        <f t="shared" si="1"/>
        <v>0</v>
      </c>
      <c r="J44" s="15"/>
    </row>
    <row r="45" spans="1:10" s="8" customFormat="1" ht="21" customHeight="1" x14ac:dyDescent="0.3">
      <c r="A45" s="19">
        <v>37</v>
      </c>
      <c r="B45" s="10" t="s">
        <v>181</v>
      </c>
      <c r="C45" s="11">
        <v>0</v>
      </c>
      <c r="D45" s="12">
        <v>0</v>
      </c>
      <c r="E45" s="12">
        <v>0</v>
      </c>
      <c r="F45" s="12">
        <v>0</v>
      </c>
      <c r="G45" s="12">
        <v>0</v>
      </c>
      <c r="H45" s="12">
        <f t="shared" si="0"/>
        <v>0</v>
      </c>
      <c r="I45" s="12">
        <f t="shared" si="1"/>
        <v>0</v>
      </c>
      <c r="J45" s="15"/>
    </row>
    <row r="46" spans="1:10" s="8" customFormat="1" ht="21" customHeight="1" x14ac:dyDescent="0.3">
      <c r="A46" s="19">
        <v>38</v>
      </c>
      <c r="B46" s="10" t="s">
        <v>182</v>
      </c>
      <c r="C46" s="11">
        <v>4</v>
      </c>
      <c r="D46" s="12">
        <v>4</v>
      </c>
      <c r="E46" s="12">
        <v>0</v>
      </c>
      <c r="F46" s="12">
        <v>0</v>
      </c>
      <c r="G46" s="12">
        <v>0</v>
      </c>
      <c r="H46" s="12">
        <f t="shared" si="0"/>
        <v>0</v>
      </c>
      <c r="I46" s="12">
        <f t="shared" si="1"/>
        <v>4</v>
      </c>
      <c r="J46" s="15"/>
    </row>
    <row r="47" spans="1:10" s="8" customFormat="1" ht="21" customHeight="1" x14ac:dyDescent="0.3">
      <c r="A47" s="19">
        <v>39</v>
      </c>
      <c r="B47" s="10" t="s">
        <v>183</v>
      </c>
      <c r="C47" s="17">
        <v>0</v>
      </c>
      <c r="D47" s="12">
        <v>0</v>
      </c>
      <c r="E47" s="12">
        <v>0</v>
      </c>
      <c r="F47" s="12">
        <v>0</v>
      </c>
      <c r="G47" s="12">
        <v>0</v>
      </c>
      <c r="H47" s="12">
        <f t="shared" si="0"/>
        <v>0</v>
      </c>
      <c r="I47" s="12">
        <f t="shared" si="1"/>
        <v>0</v>
      </c>
      <c r="J47" s="15"/>
    </row>
    <row r="48" spans="1:10" s="8" customFormat="1" ht="21" customHeight="1" x14ac:dyDescent="0.3">
      <c r="A48" s="19">
        <v>40</v>
      </c>
      <c r="B48" s="10" t="s">
        <v>184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f t="shared" si="0"/>
        <v>0</v>
      </c>
      <c r="I48" s="12">
        <f t="shared" si="1"/>
        <v>0</v>
      </c>
      <c r="J48" s="15"/>
    </row>
    <row r="49" spans="1:10" s="8" customFormat="1" ht="21" customHeight="1" x14ac:dyDescent="0.3">
      <c r="A49" s="19">
        <v>41</v>
      </c>
      <c r="B49" s="10" t="s">
        <v>185</v>
      </c>
      <c r="C49" s="17">
        <v>0</v>
      </c>
      <c r="D49" s="12">
        <v>0</v>
      </c>
      <c r="E49" s="12">
        <v>0</v>
      </c>
      <c r="F49" s="12">
        <v>0</v>
      </c>
      <c r="G49" s="12">
        <v>0</v>
      </c>
      <c r="H49" s="12">
        <f t="shared" si="0"/>
        <v>0</v>
      </c>
      <c r="I49" s="12">
        <f t="shared" si="1"/>
        <v>0</v>
      </c>
      <c r="J49" s="15"/>
    </row>
    <row r="50" spans="1:10" s="8" customFormat="1" ht="21" customHeight="1" x14ac:dyDescent="0.3">
      <c r="A50" s="19">
        <v>42</v>
      </c>
      <c r="B50" s="10" t="s">
        <v>186</v>
      </c>
      <c r="C50" s="11">
        <v>0</v>
      </c>
      <c r="D50" s="12">
        <v>0</v>
      </c>
      <c r="E50" s="12">
        <v>0</v>
      </c>
      <c r="F50" s="12">
        <v>0</v>
      </c>
      <c r="G50" s="12">
        <v>0</v>
      </c>
      <c r="H50" s="12">
        <f t="shared" si="0"/>
        <v>0</v>
      </c>
      <c r="I50" s="12">
        <f t="shared" si="1"/>
        <v>0</v>
      </c>
      <c r="J50" s="15"/>
    </row>
    <row r="51" spans="1:10" s="8" customFormat="1" ht="21" customHeight="1" x14ac:dyDescent="0.3">
      <c r="A51" s="19">
        <v>43</v>
      </c>
      <c r="B51" s="10" t="s">
        <v>187</v>
      </c>
      <c r="C51" s="17">
        <v>0</v>
      </c>
      <c r="D51" s="12">
        <v>2</v>
      </c>
      <c r="E51" s="12">
        <v>0</v>
      </c>
      <c r="F51" s="12">
        <v>0</v>
      </c>
      <c r="G51" s="12">
        <v>0</v>
      </c>
      <c r="H51" s="12">
        <f t="shared" si="0"/>
        <v>0</v>
      </c>
      <c r="I51" s="12">
        <f t="shared" si="1"/>
        <v>2</v>
      </c>
      <c r="J51" s="15"/>
    </row>
    <row r="52" spans="1:10" s="8" customFormat="1" ht="21" customHeight="1" x14ac:dyDescent="0.3">
      <c r="A52" s="19">
        <v>44</v>
      </c>
      <c r="B52" s="10" t="s">
        <v>188</v>
      </c>
      <c r="C52" s="17">
        <v>0</v>
      </c>
      <c r="D52" s="12">
        <v>0</v>
      </c>
      <c r="E52" s="12">
        <v>0</v>
      </c>
      <c r="F52" s="12">
        <v>0</v>
      </c>
      <c r="G52" s="12">
        <v>0</v>
      </c>
      <c r="H52" s="12">
        <f t="shared" si="0"/>
        <v>0</v>
      </c>
      <c r="I52" s="12">
        <f t="shared" si="1"/>
        <v>0</v>
      </c>
      <c r="J52" s="15"/>
    </row>
    <row r="53" spans="1:10" s="8" customFormat="1" ht="21" customHeight="1" x14ac:dyDescent="0.3">
      <c r="A53" s="19">
        <v>45</v>
      </c>
      <c r="B53" s="10" t="s">
        <v>189</v>
      </c>
      <c r="C53" s="11">
        <v>0</v>
      </c>
      <c r="D53" s="12">
        <v>0</v>
      </c>
      <c r="E53" s="12">
        <v>0</v>
      </c>
      <c r="F53" s="12">
        <v>0</v>
      </c>
      <c r="G53" s="12">
        <v>0</v>
      </c>
      <c r="H53" s="12">
        <f t="shared" si="0"/>
        <v>0</v>
      </c>
      <c r="I53" s="12">
        <f t="shared" si="1"/>
        <v>0</v>
      </c>
      <c r="J53" s="15"/>
    </row>
    <row r="54" spans="1:10" s="8" customFormat="1" ht="21" customHeight="1" x14ac:dyDescent="0.3">
      <c r="A54" s="19">
        <v>46</v>
      </c>
      <c r="B54" s="10" t="s">
        <v>190</v>
      </c>
      <c r="C54" s="17">
        <v>0</v>
      </c>
      <c r="D54" s="12">
        <v>54</v>
      </c>
      <c r="E54" s="12">
        <v>0</v>
      </c>
      <c r="F54" s="12">
        <v>0</v>
      </c>
      <c r="G54" s="12">
        <v>0</v>
      </c>
      <c r="H54" s="12">
        <f t="shared" si="0"/>
        <v>0</v>
      </c>
      <c r="I54" s="12">
        <f t="shared" si="1"/>
        <v>54</v>
      </c>
      <c r="J54" s="15"/>
    </row>
    <row r="55" spans="1:10" s="8" customFormat="1" ht="21" customHeight="1" x14ac:dyDescent="0.3">
      <c r="A55" s="19">
        <v>47</v>
      </c>
      <c r="B55" s="10" t="s">
        <v>191</v>
      </c>
      <c r="C55" s="17">
        <v>0</v>
      </c>
      <c r="D55" s="12">
        <v>5</v>
      </c>
      <c r="E55" s="12">
        <v>0</v>
      </c>
      <c r="F55" s="12">
        <v>0</v>
      </c>
      <c r="G55" s="12">
        <v>0</v>
      </c>
      <c r="H55" s="12">
        <f t="shared" si="0"/>
        <v>0</v>
      </c>
      <c r="I55" s="12">
        <f t="shared" si="1"/>
        <v>5</v>
      </c>
      <c r="J55" s="15"/>
    </row>
    <row r="56" spans="1:10" s="8" customFormat="1" ht="33.75" customHeight="1" x14ac:dyDescent="0.3">
      <c r="A56" s="19">
        <v>48</v>
      </c>
      <c r="B56" s="10" t="s">
        <v>192</v>
      </c>
      <c r="C56" s="17">
        <v>196</v>
      </c>
      <c r="D56" s="12">
        <v>190</v>
      </c>
      <c r="E56" s="12">
        <v>2</v>
      </c>
      <c r="F56" s="12">
        <v>0</v>
      </c>
      <c r="G56" s="12">
        <v>2</v>
      </c>
      <c r="H56" s="12">
        <f t="shared" si="0"/>
        <v>4</v>
      </c>
      <c r="I56" s="12">
        <f t="shared" si="1"/>
        <v>186</v>
      </c>
      <c r="J56" s="13" t="s">
        <v>28</v>
      </c>
    </row>
    <row r="57" spans="1:10" s="8" customFormat="1" ht="20.25" customHeight="1" x14ac:dyDescent="0.3">
      <c r="A57" s="19">
        <v>49</v>
      </c>
      <c r="B57" s="10" t="s">
        <v>193</v>
      </c>
      <c r="C57" s="17">
        <v>26</v>
      </c>
      <c r="D57" s="12">
        <v>21</v>
      </c>
      <c r="E57" s="12">
        <v>0</v>
      </c>
      <c r="F57" s="12">
        <v>0</v>
      </c>
      <c r="G57" s="12">
        <v>0</v>
      </c>
      <c r="H57" s="12">
        <f t="shared" si="0"/>
        <v>0</v>
      </c>
      <c r="I57" s="12">
        <f t="shared" si="1"/>
        <v>21</v>
      </c>
      <c r="J57" s="15"/>
    </row>
    <row r="58" spans="1:10" s="8" customFormat="1" ht="20.25" customHeight="1" x14ac:dyDescent="0.3">
      <c r="A58" s="19">
        <v>50</v>
      </c>
      <c r="B58" s="10" t="s">
        <v>194</v>
      </c>
      <c r="C58" s="17">
        <v>6</v>
      </c>
      <c r="D58" s="12">
        <v>9</v>
      </c>
      <c r="E58" s="12">
        <v>0</v>
      </c>
      <c r="F58" s="12">
        <v>0</v>
      </c>
      <c r="G58" s="12">
        <v>0</v>
      </c>
      <c r="H58" s="12">
        <f t="shared" si="0"/>
        <v>0</v>
      </c>
      <c r="I58" s="12">
        <f t="shared" si="1"/>
        <v>9</v>
      </c>
      <c r="J58" s="15"/>
    </row>
    <row r="59" spans="1:10" s="8" customFormat="1" ht="21" customHeight="1" x14ac:dyDescent="0.3">
      <c r="A59" s="19">
        <v>51</v>
      </c>
      <c r="B59" s="10" t="s">
        <v>195</v>
      </c>
      <c r="C59" s="17">
        <v>4</v>
      </c>
      <c r="D59" s="12">
        <v>0</v>
      </c>
      <c r="E59" s="12">
        <v>0</v>
      </c>
      <c r="F59" s="12">
        <v>0</v>
      </c>
      <c r="G59" s="12">
        <v>0</v>
      </c>
      <c r="H59" s="12">
        <f t="shared" si="0"/>
        <v>0</v>
      </c>
      <c r="I59" s="12">
        <f t="shared" si="1"/>
        <v>0</v>
      </c>
      <c r="J59" s="15"/>
    </row>
    <row r="60" spans="1:10" s="8" customFormat="1" ht="21" customHeight="1" x14ac:dyDescent="0.3">
      <c r="A60" s="19">
        <v>52</v>
      </c>
      <c r="B60" s="10" t="s">
        <v>196</v>
      </c>
      <c r="C60" s="17">
        <v>9</v>
      </c>
      <c r="D60" s="12">
        <v>4</v>
      </c>
      <c r="E60" s="12">
        <v>0</v>
      </c>
      <c r="F60" s="12">
        <v>0</v>
      </c>
      <c r="G60" s="12">
        <v>0</v>
      </c>
      <c r="H60" s="12">
        <f t="shared" si="0"/>
        <v>0</v>
      </c>
      <c r="I60" s="12">
        <f t="shared" si="1"/>
        <v>4</v>
      </c>
      <c r="J60" s="15"/>
    </row>
    <row r="61" spans="1:10" s="8" customFormat="1" ht="21" customHeight="1" x14ac:dyDescent="0.3">
      <c r="A61" s="19">
        <v>53</v>
      </c>
      <c r="B61" s="10" t="s">
        <v>197</v>
      </c>
      <c r="C61" s="17">
        <v>8</v>
      </c>
      <c r="D61" s="12">
        <v>0</v>
      </c>
      <c r="E61" s="12">
        <v>0</v>
      </c>
      <c r="F61" s="12">
        <v>0</v>
      </c>
      <c r="G61" s="12">
        <v>0</v>
      </c>
      <c r="H61" s="12">
        <f t="shared" si="0"/>
        <v>0</v>
      </c>
      <c r="I61" s="12">
        <f t="shared" si="1"/>
        <v>0</v>
      </c>
      <c r="J61" s="15"/>
    </row>
    <row r="62" spans="1:10" s="8" customFormat="1" ht="21" customHeight="1" x14ac:dyDescent="0.3">
      <c r="A62" s="19">
        <v>54</v>
      </c>
      <c r="B62" s="10" t="s">
        <v>198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f t="shared" si="0"/>
        <v>0</v>
      </c>
      <c r="I62" s="12">
        <f t="shared" si="1"/>
        <v>0</v>
      </c>
      <c r="J62" s="15"/>
    </row>
    <row r="63" spans="1:10" s="8" customFormat="1" ht="25.5" customHeight="1" x14ac:dyDescent="0.3">
      <c r="A63" s="194" t="s">
        <v>29</v>
      </c>
      <c r="B63" s="194"/>
      <c r="C63" s="195">
        <v>0</v>
      </c>
      <c r="D63" s="195">
        <v>0</v>
      </c>
      <c r="E63" s="195">
        <v>0</v>
      </c>
      <c r="F63" s="195">
        <v>0</v>
      </c>
      <c r="G63" s="195">
        <v>0</v>
      </c>
      <c r="H63" s="12">
        <f t="shared" si="0"/>
        <v>0</v>
      </c>
      <c r="I63" s="12">
        <f t="shared" si="1"/>
        <v>0</v>
      </c>
      <c r="J63" s="15"/>
    </row>
    <row r="64" spans="1:10" s="8" customFormat="1" ht="21" customHeight="1" x14ac:dyDescent="0.3">
      <c r="A64" s="19">
        <v>55</v>
      </c>
      <c r="B64" s="10" t="s">
        <v>199</v>
      </c>
      <c r="C64" s="11">
        <v>4</v>
      </c>
      <c r="D64" s="12">
        <v>4</v>
      </c>
      <c r="E64" s="12">
        <v>0</v>
      </c>
      <c r="F64" s="12">
        <v>0</v>
      </c>
      <c r="G64" s="12">
        <v>0</v>
      </c>
      <c r="H64" s="12">
        <f t="shared" si="0"/>
        <v>0</v>
      </c>
      <c r="I64" s="12">
        <f t="shared" si="1"/>
        <v>4</v>
      </c>
      <c r="J64" s="15"/>
    </row>
    <row r="65" spans="1:10" s="8" customFormat="1" ht="30" x14ac:dyDescent="0.3">
      <c r="A65" s="9">
        <v>56</v>
      </c>
      <c r="B65" s="10" t="s">
        <v>200</v>
      </c>
      <c r="C65" s="11">
        <v>56</v>
      </c>
      <c r="D65" s="12">
        <v>92</v>
      </c>
      <c r="E65" s="12">
        <v>0</v>
      </c>
      <c r="F65" s="12">
        <v>0</v>
      </c>
      <c r="G65" s="12">
        <v>14</v>
      </c>
      <c r="H65" s="12">
        <f t="shared" si="0"/>
        <v>14</v>
      </c>
      <c r="I65" s="12">
        <f t="shared" si="1"/>
        <v>78</v>
      </c>
      <c r="J65" s="13" t="s">
        <v>30</v>
      </c>
    </row>
    <row r="66" spans="1:10" s="8" customFormat="1" ht="21.75" customHeight="1" x14ac:dyDescent="0.3">
      <c r="A66" s="19">
        <v>57</v>
      </c>
      <c r="B66" s="10" t="s">
        <v>201</v>
      </c>
      <c r="C66" s="11">
        <v>85</v>
      </c>
      <c r="D66" s="12">
        <v>61</v>
      </c>
      <c r="E66" s="12">
        <v>0</v>
      </c>
      <c r="F66" s="12">
        <v>0</v>
      </c>
      <c r="G66" s="12">
        <v>0</v>
      </c>
      <c r="H66" s="12">
        <f t="shared" si="0"/>
        <v>0</v>
      </c>
      <c r="I66" s="12">
        <f t="shared" si="1"/>
        <v>61</v>
      </c>
      <c r="J66" s="15"/>
    </row>
    <row r="67" spans="1:10" s="8" customFormat="1" ht="52.5" customHeight="1" x14ac:dyDescent="0.3">
      <c r="A67" s="9">
        <v>58</v>
      </c>
      <c r="B67" s="10" t="s">
        <v>202</v>
      </c>
      <c r="C67" s="11">
        <v>79</v>
      </c>
      <c r="D67" s="12">
        <v>16</v>
      </c>
      <c r="E67" s="12">
        <v>0</v>
      </c>
      <c r="F67" s="12">
        <v>0</v>
      </c>
      <c r="G67" s="12">
        <v>1</v>
      </c>
      <c r="H67" s="12">
        <f t="shared" si="0"/>
        <v>1</v>
      </c>
      <c r="I67" s="12">
        <f t="shared" si="1"/>
        <v>15</v>
      </c>
      <c r="J67" s="15" t="s">
        <v>31</v>
      </c>
    </row>
    <row r="68" spans="1:10" s="8" customFormat="1" ht="21" customHeight="1" x14ac:dyDescent="0.3">
      <c r="A68" s="19">
        <v>59</v>
      </c>
      <c r="B68" s="10" t="s">
        <v>203</v>
      </c>
      <c r="C68" s="11">
        <v>6</v>
      </c>
      <c r="D68" s="12">
        <v>7</v>
      </c>
      <c r="E68" s="12">
        <v>0</v>
      </c>
      <c r="F68" s="12">
        <v>0</v>
      </c>
      <c r="G68" s="12">
        <v>0</v>
      </c>
      <c r="H68" s="12">
        <f t="shared" si="0"/>
        <v>0</v>
      </c>
      <c r="I68" s="12">
        <f t="shared" si="1"/>
        <v>7</v>
      </c>
      <c r="J68" s="15"/>
    </row>
    <row r="69" spans="1:10" s="8" customFormat="1" ht="21" customHeight="1" x14ac:dyDescent="0.3">
      <c r="A69" s="9">
        <v>60</v>
      </c>
      <c r="B69" s="10" t="s">
        <v>204</v>
      </c>
      <c r="C69" s="17">
        <v>27</v>
      </c>
      <c r="D69" s="12">
        <v>45</v>
      </c>
      <c r="E69" s="12">
        <v>0</v>
      </c>
      <c r="F69" s="12">
        <v>0</v>
      </c>
      <c r="G69" s="12">
        <v>0</v>
      </c>
      <c r="H69" s="12">
        <f t="shared" si="0"/>
        <v>0</v>
      </c>
      <c r="I69" s="12">
        <f t="shared" si="1"/>
        <v>45</v>
      </c>
      <c r="J69" s="15"/>
    </row>
    <row r="70" spans="1:10" s="8" customFormat="1" ht="21" customHeight="1" x14ac:dyDescent="0.3">
      <c r="A70" s="19">
        <v>61</v>
      </c>
      <c r="B70" s="10" t="s">
        <v>205</v>
      </c>
      <c r="C70" s="17">
        <v>0</v>
      </c>
      <c r="D70" s="12">
        <v>1</v>
      </c>
      <c r="E70" s="12">
        <v>0</v>
      </c>
      <c r="F70" s="12">
        <v>0</v>
      </c>
      <c r="G70" s="12">
        <v>0</v>
      </c>
      <c r="H70" s="12">
        <f t="shared" si="0"/>
        <v>0</v>
      </c>
      <c r="I70" s="12">
        <f t="shared" si="1"/>
        <v>1</v>
      </c>
      <c r="J70" s="15"/>
    </row>
    <row r="71" spans="1:10" s="8" customFormat="1" ht="24" customHeight="1" x14ac:dyDescent="0.3">
      <c r="A71" s="194" t="s">
        <v>32</v>
      </c>
      <c r="B71" s="194"/>
      <c r="C71" s="195"/>
      <c r="D71" s="195"/>
      <c r="E71" s="195"/>
      <c r="F71" s="195"/>
      <c r="G71" s="195"/>
      <c r="H71" s="12">
        <f t="shared" si="0"/>
        <v>0</v>
      </c>
      <c r="I71" s="12">
        <f t="shared" si="1"/>
        <v>0</v>
      </c>
      <c r="J71" s="15"/>
    </row>
    <row r="72" spans="1:10" s="8" customFormat="1" x14ac:dyDescent="0.3">
      <c r="A72" s="19">
        <v>62</v>
      </c>
      <c r="B72" s="10" t="s">
        <v>206</v>
      </c>
      <c r="C72" s="11">
        <v>4</v>
      </c>
      <c r="D72" s="12">
        <v>4</v>
      </c>
      <c r="E72" s="12">
        <v>0</v>
      </c>
      <c r="F72" s="12">
        <v>0</v>
      </c>
      <c r="G72" s="12">
        <v>0</v>
      </c>
      <c r="H72" s="12">
        <f t="shared" si="0"/>
        <v>0</v>
      </c>
      <c r="I72" s="12">
        <f t="shared" si="1"/>
        <v>4</v>
      </c>
      <c r="J72" s="15"/>
    </row>
    <row r="73" spans="1:10" s="8" customFormat="1" ht="75" x14ac:dyDescent="0.3">
      <c r="A73" s="9">
        <v>63</v>
      </c>
      <c r="B73" s="10" t="s">
        <v>207</v>
      </c>
      <c r="C73" s="11">
        <v>104</v>
      </c>
      <c r="D73" s="12">
        <v>98</v>
      </c>
      <c r="E73" s="12">
        <v>0</v>
      </c>
      <c r="F73" s="12">
        <v>1</v>
      </c>
      <c r="G73" s="12">
        <v>5</v>
      </c>
      <c r="H73" s="12">
        <f t="shared" ref="H73:H136" si="2">SUM(E73+F73+G73)</f>
        <v>6</v>
      </c>
      <c r="I73" s="12">
        <f t="shared" ref="I73:I136" si="3">D73-H73</f>
        <v>92</v>
      </c>
      <c r="J73" s="13" t="s">
        <v>275</v>
      </c>
    </row>
    <row r="74" spans="1:10" s="8" customFormat="1" ht="35.25" customHeight="1" x14ac:dyDescent="0.3">
      <c r="A74" s="19">
        <v>64</v>
      </c>
      <c r="B74" s="10" t="s">
        <v>208</v>
      </c>
      <c r="C74" s="11">
        <v>5</v>
      </c>
      <c r="D74" s="12">
        <v>10</v>
      </c>
      <c r="E74" s="12">
        <v>0</v>
      </c>
      <c r="F74" s="12">
        <v>0</v>
      </c>
      <c r="G74" s="12">
        <v>0</v>
      </c>
      <c r="H74" s="12">
        <f t="shared" si="2"/>
        <v>0</v>
      </c>
      <c r="I74" s="12">
        <f t="shared" si="3"/>
        <v>10</v>
      </c>
      <c r="J74" s="15"/>
    </row>
    <row r="75" spans="1:10" s="8" customFormat="1" ht="28.5" customHeight="1" x14ac:dyDescent="0.3">
      <c r="A75" s="194" t="s">
        <v>33</v>
      </c>
      <c r="B75" s="194"/>
      <c r="C75" s="195"/>
      <c r="D75" s="195"/>
      <c r="E75" s="195"/>
      <c r="F75" s="195"/>
      <c r="G75" s="195"/>
      <c r="H75" s="12">
        <f t="shared" si="2"/>
        <v>0</v>
      </c>
      <c r="I75" s="12">
        <f t="shared" si="3"/>
        <v>0</v>
      </c>
      <c r="J75" s="15"/>
    </row>
    <row r="76" spans="1:10" s="8" customFormat="1" ht="48" customHeight="1" x14ac:dyDescent="0.3">
      <c r="A76" s="19">
        <v>65</v>
      </c>
      <c r="B76" s="10" t="s">
        <v>209</v>
      </c>
      <c r="C76" s="11">
        <v>214</v>
      </c>
      <c r="D76" s="12">
        <v>199</v>
      </c>
      <c r="E76" s="12">
        <v>0</v>
      </c>
      <c r="F76" s="12">
        <v>0</v>
      </c>
      <c r="G76" s="12">
        <v>2</v>
      </c>
      <c r="H76" s="12">
        <f t="shared" si="2"/>
        <v>2</v>
      </c>
      <c r="I76" s="12">
        <f t="shared" si="3"/>
        <v>197</v>
      </c>
      <c r="J76" s="13" t="s">
        <v>274</v>
      </c>
    </row>
    <row r="77" spans="1:10" s="8" customFormat="1" ht="21.75" customHeight="1" x14ac:dyDescent="0.3">
      <c r="A77" s="9">
        <v>66</v>
      </c>
      <c r="B77" s="10" t="s">
        <v>210</v>
      </c>
      <c r="C77" s="11">
        <v>55</v>
      </c>
      <c r="D77" s="12">
        <v>54</v>
      </c>
      <c r="E77" s="12">
        <v>0</v>
      </c>
      <c r="F77" s="12">
        <v>0</v>
      </c>
      <c r="G77" s="12">
        <v>0</v>
      </c>
      <c r="H77" s="12">
        <f t="shared" si="2"/>
        <v>0</v>
      </c>
      <c r="I77" s="12">
        <f t="shared" si="3"/>
        <v>54</v>
      </c>
      <c r="J77" s="15"/>
    </row>
    <row r="78" spans="1:10" s="8" customFormat="1" ht="22.5" customHeight="1" x14ac:dyDescent="0.3">
      <c r="A78" s="196" t="s">
        <v>34</v>
      </c>
      <c r="B78" s="196"/>
      <c r="C78" s="197"/>
      <c r="D78" s="197"/>
      <c r="E78" s="197"/>
      <c r="F78" s="197"/>
      <c r="G78" s="197"/>
      <c r="H78" s="12">
        <f t="shared" si="2"/>
        <v>0</v>
      </c>
      <c r="I78" s="12">
        <f t="shared" si="3"/>
        <v>0</v>
      </c>
      <c r="J78" s="15"/>
    </row>
    <row r="79" spans="1:10" s="8" customFormat="1" ht="30" x14ac:dyDescent="0.3">
      <c r="A79" s="19">
        <v>67</v>
      </c>
      <c r="B79" s="10" t="s">
        <v>211</v>
      </c>
      <c r="C79" s="12">
        <v>43</v>
      </c>
      <c r="D79" s="12">
        <v>56</v>
      </c>
      <c r="E79" s="12">
        <v>0</v>
      </c>
      <c r="F79" s="12">
        <v>0</v>
      </c>
      <c r="G79" s="12">
        <v>3</v>
      </c>
      <c r="H79" s="12">
        <f t="shared" si="2"/>
        <v>3</v>
      </c>
      <c r="I79" s="12">
        <f t="shared" si="3"/>
        <v>53</v>
      </c>
      <c r="J79" s="13" t="s">
        <v>35</v>
      </c>
    </row>
    <row r="80" spans="1:10" s="8" customFormat="1" ht="30" x14ac:dyDescent="0.3">
      <c r="A80" s="9">
        <v>68</v>
      </c>
      <c r="B80" s="10" t="s">
        <v>212</v>
      </c>
      <c r="C80" s="17">
        <v>184</v>
      </c>
      <c r="D80" s="12">
        <v>185</v>
      </c>
      <c r="E80" s="12">
        <v>0</v>
      </c>
      <c r="F80" s="12">
        <v>0</v>
      </c>
      <c r="G80" s="12">
        <v>2</v>
      </c>
      <c r="H80" s="12">
        <f t="shared" si="2"/>
        <v>2</v>
      </c>
      <c r="I80" s="12">
        <f t="shared" si="3"/>
        <v>183</v>
      </c>
      <c r="J80" s="13" t="s">
        <v>36</v>
      </c>
    </row>
    <row r="81" spans="1:10" s="8" customFormat="1" ht="30" x14ac:dyDescent="0.3">
      <c r="A81" s="19">
        <v>69</v>
      </c>
      <c r="B81" s="10" t="s">
        <v>213</v>
      </c>
      <c r="C81" s="17">
        <v>299</v>
      </c>
      <c r="D81" s="12">
        <v>263</v>
      </c>
      <c r="E81" s="12">
        <v>0</v>
      </c>
      <c r="F81" s="12">
        <v>0</v>
      </c>
      <c r="G81" s="12">
        <v>8</v>
      </c>
      <c r="H81" s="12">
        <f t="shared" si="2"/>
        <v>8</v>
      </c>
      <c r="I81" s="12">
        <f t="shared" si="3"/>
        <v>255</v>
      </c>
      <c r="J81" s="13" t="s">
        <v>37</v>
      </c>
    </row>
    <row r="82" spans="1:10" s="8" customFormat="1" ht="21" customHeight="1" x14ac:dyDescent="0.3">
      <c r="A82" s="9">
        <v>70</v>
      </c>
      <c r="B82" s="10" t="s">
        <v>214</v>
      </c>
      <c r="C82" s="17">
        <v>10</v>
      </c>
      <c r="D82" s="12">
        <v>19</v>
      </c>
      <c r="E82" s="12">
        <v>0</v>
      </c>
      <c r="F82" s="12">
        <v>0</v>
      </c>
      <c r="G82" s="12">
        <v>0</v>
      </c>
      <c r="H82" s="12">
        <f t="shared" si="2"/>
        <v>0</v>
      </c>
      <c r="I82" s="12">
        <f t="shared" si="3"/>
        <v>19</v>
      </c>
      <c r="J82" s="15"/>
    </row>
    <row r="83" spans="1:10" s="8" customFormat="1" ht="21" customHeight="1" x14ac:dyDescent="0.3">
      <c r="A83" s="19">
        <v>71</v>
      </c>
      <c r="B83" s="10" t="s">
        <v>215</v>
      </c>
      <c r="C83" s="17">
        <v>8</v>
      </c>
      <c r="D83" s="12">
        <v>29</v>
      </c>
      <c r="E83" s="12">
        <v>0</v>
      </c>
      <c r="F83" s="12">
        <v>0</v>
      </c>
      <c r="G83" s="12">
        <v>0</v>
      </c>
      <c r="H83" s="12">
        <f t="shared" si="2"/>
        <v>0</v>
      </c>
      <c r="I83" s="12">
        <f t="shared" si="3"/>
        <v>29</v>
      </c>
      <c r="J83" s="15"/>
    </row>
    <row r="84" spans="1:10" s="8" customFormat="1" ht="30" x14ac:dyDescent="0.3">
      <c r="A84" s="9">
        <v>72</v>
      </c>
      <c r="B84" s="10" t="s">
        <v>216</v>
      </c>
      <c r="C84" s="17">
        <v>56</v>
      </c>
      <c r="D84" s="12">
        <v>159</v>
      </c>
      <c r="E84" s="12">
        <v>0</v>
      </c>
      <c r="F84" s="12">
        <v>0</v>
      </c>
      <c r="G84" s="12">
        <v>1</v>
      </c>
      <c r="H84" s="12">
        <f t="shared" si="2"/>
        <v>1</v>
      </c>
      <c r="I84" s="12">
        <f t="shared" si="3"/>
        <v>158</v>
      </c>
      <c r="J84" s="23" t="s">
        <v>273</v>
      </c>
    </row>
    <row r="85" spans="1:10" s="8" customFormat="1" ht="21" customHeight="1" x14ac:dyDescent="0.3">
      <c r="A85" s="19">
        <v>73</v>
      </c>
      <c r="B85" s="10" t="s">
        <v>217</v>
      </c>
      <c r="C85" s="17">
        <v>27</v>
      </c>
      <c r="D85" s="12">
        <v>4</v>
      </c>
      <c r="E85" s="12">
        <v>0</v>
      </c>
      <c r="F85" s="12">
        <v>0</v>
      </c>
      <c r="G85" s="12">
        <v>0</v>
      </c>
      <c r="H85" s="12">
        <f t="shared" si="2"/>
        <v>0</v>
      </c>
      <c r="I85" s="12">
        <f t="shared" si="3"/>
        <v>4</v>
      </c>
      <c r="J85" s="15" t="s">
        <v>38</v>
      </c>
    </row>
    <row r="86" spans="1:10" s="8" customFormat="1" ht="21" customHeight="1" x14ac:dyDescent="0.3">
      <c r="A86" s="9">
        <v>74</v>
      </c>
      <c r="B86" s="10" t="s">
        <v>218</v>
      </c>
      <c r="C86" s="17">
        <v>0</v>
      </c>
      <c r="D86" s="12">
        <v>0</v>
      </c>
      <c r="E86" s="12">
        <v>0</v>
      </c>
      <c r="F86" s="12">
        <v>0</v>
      </c>
      <c r="G86" s="12">
        <v>0</v>
      </c>
      <c r="H86" s="12">
        <f t="shared" si="2"/>
        <v>0</v>
      </c>
      <c r="I86" s="12">
        <f t="shared" si="3"/>
        <v>0</v>
      </c>
      <c r="J86" s="15"/>
    </row>
    <row r="87" spans="1:10" s="8" customFormat="1" ht="21" customHeight="1" x14ac:dyDescent="0.3">
      <c r="A87" s="19">
        <v>75</v>
      </c>
      <c r="B87" s="10" t="s">
        <v>219</v>
      </c>
      <c r="C87" s="17">
        <v>0</v>
      </c>
      <c r="D87" s="12">
        <v>5</v>
      </c>
      <c r="E87" s="12">
        <v>0</v>
      </c>
      <c r="F87" s="12">
        <v>0</v>
      </c>
      <c r="G87" s="12">
        <v>0</v>
      </c>
      <c r="H87" s="12">
        <f t="shared" si="2"/>
        <v>0</v>
      </c>
      <c r="I87" s="12">
        <f t="shared" si="3"/>
        <v>5</v>
      </c>
      <c r="J87" s="15"/>
    </row>
    <row r="88" spans="1:10" s="8" customFormat="1" ht="30" x14ac:dyDescent="0.3">
      <c r="A88" s="9">
        <v>76</v>
      </c>
      <c r="B88" s="10" t="s">
        <v>220</v>
      </c>
      <c r="C88" s="17">
        <v>0</v>
      </c>
      <c r="D88" s="12">
        <v>16</v>
      </c>
      <c r="E88" s="12">
        <v>1</v>
      </c>
      <c r="F88" s="12">
        <v>1</v>
      </c>
      <c r="G88" s="12">
        <v>0</v>
      </c>
      <c r="H88" s="12">
        <f t="shared" si="2"/>
        <v>2</v>
      </c>
      <c r="I88" s="12">
        <f t="shared" si="3"/>
        <v>14</v>
      </c>
      <c r="J88" s="13" t="s">
        <v>272</v>
      </c>
    </row>
    <row r="89" spans="1:10" s="8" customFormat="1" ht="24" customHeight="1" x14ac:dyDescent="0.3">
      <c r="A89" s="19">
        <v>77</v>
      </c>
      <c r="B89" s="10" t="s">
        <v>221</v>
      </c>
      <c r="C89" s="17">
        <v>43</v>
      </c>
      <c r="D89" s="12">
        <v>85</v>
      </c>
      <c r="E89" s="12">
        <v>0</v>
      </c>
      <c r="F89" s="12">
        <v>0</v>
      </c>
      <c r="G89" s="12">
        <v>0</v>
      </c>
      <c r="H89" s="12">
        <f t="shared" si="2"/>
        <v>0</v>
      </c>
      <c r="I89" s="12">
        <f t="shared" si="3"/>
        <v>85</v>
      </c>
      <c r="J89" s="15"/>
    </row>
    <row r="90" spans="1:10" s="8" customFormat="1" x14ac:dyDescent="0.3">
      <c r="A90" s="9">
        <v>78</v>
      </c>
      <c r="B90" s="10" t="s">
        <v>222</v>
      </c>
      <c r="C90" s="17">
        <v>33</v>
      </c>
      <c r="D90" s="12">
        <v>108</v>
      </c>
      <c r="E90" s="12">
        <v>1</v>
      </c>
      <c r="F90" s="12">
        <v>0</v>
      </c>
      <c r="G90" s="12">
        <v>0</v>
      </c>
      <c r="H90" s="12">
        <f t="shared" si="2"/>
        <v>1</v>
      </c>
      <c r="I90" s="12">
        <f t="shared" si="3"/>
        <v>107</v>
      </c>
      <c r="J90" s="24" t="s">
        <v>271</v>
      </c>
    </row>
    <row r="91" spans="1:10" s="8" customFormat="1" ht="21" customHeight="1" x14ac:dyDescent="0.3">
      <c r="A91" s="19">
        <v>79</v>
      </c>
      <c r="B91" s="10" t="s">
        <v>223</v>
      </c>
      <c r="C91" s="17">
        <v>2</v>
      </c>
      <c r="D91" s="12">
        <v>3</v>
      </c>
      <c r="E91" s="12">
        <v>0</v>
      </c>
      <c r="F91" s="12">
        <v>0</v>
      </c>
      <c r="G91" s="12">
        <v>0</v>
      </c>
      <c r="H91" s="12">
        <f t="shared" si="2"/>
        <v>0</v>
      </c>
      <c r="I91" s="12">
        <f t="shared" si="3"/>
        <v>3</v>
      </c>
      <c r="J91" s="15"/>
    </row>
    <row r="92" spans="1:10" s="8" customFormat="1" ht="21" customHeight="1" x14ac:dyDescent="0.3">
      <c r="A92" s="9">
        <v>80</v>
      </c>
      <c r="B92" s="10" t="s">
        <v>224</v>
      </c>
      <c r="C92" s="17">
        <v>19</v>
      </c>
      <c r="D92" s="12">
        <v>18</v>
      </c>
      <c r="E92" s="12">
        <v>0</v>
      </c>
      <c r="F92" s="12">
        <v>0</v>
      </c>
      <c r="G92" s="12">
        <v>0</v>
      </c>
      <c r="H92" s="12">
        <f t="shared" si="2"/>
        <v>0</v>
      </c>
      <c r="I92" s="12">
        <f t="shared" si="3"/>
        <v>18</v>
      </c>
      <c r="J92" s="15"/>
    </row>
    <row r="93" spans="1:10" s="8" customFormat="1" ht="21" customHeight="1" x14ac:dyDescent="0.3">
      <c r="A93" s="19">
        <v>81</v>
      </c>
      <c r="B93" s="10" t="s">
        <v>225</v>
      </c>
      <c r="C93" s="17">
        <v>9</v>
      </c>
      <c r="D93" s="12">
        <v>0</v>
      </c>
      <c r="E93" s="12">
        <v>0</v>
      </c>
      <c r="F93" s="12">
        <v>0</v>
      </c>
      <c r="G93" s="12">
        <v>0</v>
      </c>
      <c r="H93" s="12">
        <f t="shared" si="2"/>
        <v>0</v>
      </c>
      <c r="I93" s="12">
        <f t="shared" si="3"/>
        <v>0</v>
      </c>
      <c r="J93" s="25"/>
    </row>
    <row r="94" spans="1:10" s="8" customFormat="1" ht="28.5" customHeight="1" x14ac:dyDescent="0.3">
      <c r="A94" s="9">
        <v>82</v>
      </c>
      <c r="B94" s="10" t="s">
        <v>226</v>
      </c>
      <c r="C94" s="17">
        <v>75</v>
      </c>
      <c r="D94" s="12">
        <v>57</v>
      </c>
      <c r="E94" s="12">
        <v>0</v>
      </c>
      <c r="F94" s="12">
        <v>0</v>
      </c>
      <c r="G94" s="12">
        <v>1</v>
      </c>
      <c r="H94" s="12">
        <f t="shared" si="2"/>
        <v>1</v>
      </c>
      <c r="I94" s="12">
        <f t="shared" si="3"/>
        <v>56</v>
      </c>
      <c r="J94" s="15" t="s">
        <v>39</v>
      </c>
    </row>
    <row r="95" spans="1:10" s="8" customFormat="1" ht="21" customHeight="1" x14ac:dyDescent="0.3">
      <c r="A95" s="19">
        <v>83</v>
      </c>
      <c r="B95" s="10" t="s">
        <v>227</v>
      </c>
      <c r="C95" s="17">
        <v>0</v>
      </c>
      <c r="D95" s="12">
        <v>0</v>
      </c>
      <c r="E95" s="12">
        <v>0</v>
      </c>
      <c r="F95" s="12">
        <v>0</v>
      </c>
      <c r="G95" s="12">
        <v>0</v>
      </c>
      <c r="H95" s="12">
        <f t="shared" si="2"/>
        <v>0</v>
      </c>
      <c r="I95" s="12">
        <f t="shared" si="3"/>
        <v>0</v>
      </c>
      <c r="J95" s="15"/>
    </row>
    <row r="96" spans="1:10" s="8" customFormat="1" ht="25.5" customHeight="1" x14ac:dyDescent="0.3">
      <c r="A96" s="9">
        <v>84</v>
      </c>
      <c r="B96" s="10" t="s">
        <v>228</v>
      </c>
      <c r="C96" s="17">
        <v>8</v>
      </c>
      <c r="D96" s="12">
        <v>17</v>
      </c>
      <c r="E96" s="12">
        <v>0</v>
      </c>
      <c r="F96" s="12">
        <v>0</v>
      </c>
      <c r="G96" s="12">
        <v>0</v>
      </c>
      <c r="H96" s="12">
        <f t="shared" si="2"/>
        <v>0</v>
      </c>
      <c r="I96" s="12">
        <f t="shared" si="3"/>
        <v>17</v>
      </c>
      <c r="J96" s="15"/>
    </row>
    <row r="97" spans="1:10" s="8" customFormat="1" ht="18" customHeight="1" x14ac:dyDescent="0.3">
      <c r="A97" s="194" t="s">
        <v>40</v>
      </c>
      <c r="B97" s="194"/>
      <c r="C97" s="195"/>
      <c r="D97" s="195"/>
      <c r="E97" s="195"/>
      <c r="F97" s="195"/>
      <c r="G97" s="195"/>
      <c r="H97" s="12">
        <f t="shared" si="2"/>
        <v>0</v>
      </c>
      <c r="I97" s="12">
        <f t="shared" si="3"/>
        <v>0</v>
      </c>
      <c r="J97" s="15"/>
    </row>
    <row r="98" spans="1:10" s="8" customFormat="1" ht="21" customHeight="1" x14ac:dyDescent="0.3">
      <c r="A98" s="9">
        <v>85</v>
      </c>
      <c r="B98" s="10" t="s">
        <v>229</v>
      </c>
      <c r="C98" s="17">
        <v>0</v>
      </c>
      <c r="D98" s="12">
        <v>0</v>
      </c>
      <c r="E98" s="12">
        <v>0</v>
      </c>
      <c r="F98" s="12">
        <v>0</v>
      </c>
      <c r="G98" s="12">
        <v>0</v>
      </c>
      <c r="H98" s="12">
        <f t="shared" si="2"/>
        <v>0</v>
      </c>
      <c r="I98" s="12">
        <f t="shared" si="3"/>
        <v>0</v>
      </c>
      <c r="J98" s="15"/>
    </row>
    <row r="99" spans="1:10" s="8" customFormat="1" ht="21" customHeight="1" x14ac:dyDescent="0.3">
      <c r="A99" s="19">
        <v>86</v>
      </c>
      <c r="B99" s="10" t="s">
        <v>230</v>
      </c>
      <c r="C99" s="11">
        <v>14</v>
      </c>
      <c r="D99" s="12">
        <v>10</v>
      </c>
      <c r="E99" s="12">
        <v>0</v>
      </c>
      <c r="F99" s="12">
        <v>0</v>
      </c>
      <c r="G99" s="12">
        <v>0</v>
      </c>
      <c r="H99" s="12">
        <f t="shared" si="2"/>
        <v>0</v>
      </c>
      <c r="I99" s="12">
        <f t="shared" si="3"/>
        <v>10</v>
      </c>
      <c r="J99" s="15"/>
    </row>
    <row r="100" spans="1:10" ht="16.5" customHeight="1" x14ac:dyDescent="0.3">
      <c r="A100" s="194" t="s">
        <v>41</v>
      </c>
      <c r="B100" s="194"/>
      <c r="C100" s="195"/>
      <c r="D100" s="195"/>
      <c r="E100" s="195"/>
      <c r="F100" s="195"/>
      <c r="G100" s="195"/>
      <c r="H100" s="12">
        <f t="shared" si="2"/>
        <v>0</v>
      </c>
      <c r="I100" s="12">
        <f t="shared" si="3"/>
        <v>0</v>
      </c>
      <c r="J100" s="15"/>
    </row>
    <row r="101" spans="1:10" ht="16.5" customHeight="1" x14ac:dyDescent="0.3">
      <c r="A101" s="9">
        <v>87</v>
      </c>
      <c r="B101" s="21" t="s">
        <v>231</v>
      </c>
      <c r="C101" s="26">
        <v>0</v>
      </c>
      <c r="D101" s="18">
        <v>3</v>
      </c>
      <c r="E101" s="18">
        <v>0</v>
      </c>
      <c r="F101" s="18">
        <v>0</v>
      </c>
      <c r="G101" s="18">
        <v>0</v>
      </c>
      <c r="H101" s="12">
        <f t="shared" si="2"/>
        <v>0</v>
      </c>
      <c r="I101" s="12">
        <f t="shared" si="3"/>
        <v>3</v>
      </c>
      <c r="J101" s="15"/>
    </row>
    <row r="102" spans="1:10" ht="16.5" customHeight="1" x14ac:dyDescent="0.3">
      <c r="A102" s="9">
        <v>88</v>
      </c>
      <c r="B102" s="21" t="s">
        <v>232</v>
      </c>
      <c r="C102" s="17">
        <v>0</v>
      </c>
      <c r="D102" s="18">
        <v>0</v>
      </c>
      <c r="E102" s="18">
        <v>0</v>
      </c>
      <c r="F102" s="18">
        <v>0</v>
      </c>
      <c r="G102" s="18">
        <v>0</v>
      </c>
      <c r="H102" s="12">
        <f t="shared" si="2"/>
        <v>0</v>
      </c>
      <c r="I102" s="12">
        <f t="shared" si="3"/>
        <v>0</v>
      </c>
      <c r="J102" s="15"/>
    </row>
    <row r="103" spans="1:10" ht="45" x14ac:dyDescent="0.3">
      <c r="A103" s="9">
        <v>89</v>
      </c>
      <c r="B103" s="21" t="s">
        <v>233</v>
      </c>
      <c r="C103" s="17">
        <v>0</v>
      </c>
      <c r="D103" s="18">
        <v>13</v>
      </c>
      <c r="E103" s="18">
        <v>0</v>
      </c>
      <c r="F103" s="18">
        <v>0</v>
      </c>
      <c r="G103" s="18">
        <v>2</v>
      </c>
      <c r="H103" s="12">
        <f t="shared" si="2"/>
        <v>2</v>
      </c>
      <c r="I103" s="12">
        <f t="shared" si="3"/>
        <v>11</v>
      </c>
      <c r="J103" s="27" t="s">
        <v>42</v>
      </c>
    </row>
    <row r="104" spans="1:10" s="8" customFormat="1" ht="16.5" customHeight="1" x14ac:dyDescent="0.3">
      <c r="A104" s="9">
        <v>90</v>
      </c>
      <c r="B104" s="21" t="s">
        <v>234</v>
      </c>
      <c r="C104" s="17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f t="shared" si="2"/>
        <v>0</v>
      </c>
      <c r="I104" s="12">
        <f t="shared" si="3"/>
        <v>0</v>
      </c>
      <c r="J104" s="15"/>
    </row>
    <row r="105" spans="1:10" s="8" customFormat="1" x14ac:dyDescent="0.3">
      <c r="A105" s="9">
        <v>91</v>
      </c>
      <c r="B105" s="21" t="s">
        <v>235</v>
      </c>
      <c r="C105" s="17">
        <v>0</v>
      </c>
      <c r="D105" s="12">
        <v>12</v>
      </c>
      <c r="E105" s="12">
        <v>0</v>
      </c>
      <c r="F105" s="12">
        <v>0</v>
      </c>
      <c r="G105" s="12">
        <v>0</v>
      </c>
      <c r="H105" s="12">
        <f t="shared" si="2"/>
        <v>0</v>
      </c>
      <c r="I105" s="12">
        <f t="shared" si="3"/>
        <v>12</v>
      </c>
      <c r="J105" s="15"/>
    </row>
    <row r="106" spans="1:10" s="8" customFormat="1" ht="30" x14ac:dyDescent="0.3">
      <c r="A106" s="9">
        <v>92</v>
      </c>
      <c r="B106" s="21" t="s">
        <v>236</v>
      </c>
      <c r="C106" s="17">
        <v>39</v>
      </c>
      <c r="D106" s="12">
        <v>45</v>
      </c>
      <c r="E106" s="12">
        <v>1</v>
      </c>
      <c r="F106" s="12">
        <v>0</v>
      </c>
      <c r="G106" s="12">
        <v>0</v>
      </c>
      <c r="H106" s="12">
        <f t="shared" si="2"/>
        <v>1</v>
      </c>
      <c r="I106" s="12">
        <f t="shared" si="3"/>
        <v>44</v>
      </c>
      <c r="J106" s="13" t="s">
        <v>43</v>
      </c>
    </row>
    <row r="107" spans="1:10" s="8" customFormat="1" ht="16.5" customHeight="1" x14ac:dyDescent="0.3">
      <c r="A107" s="9">
        <v>93</v>
      </c>
      <c r="B107" s="21" t="s">
        <v>237</v>
      </c>
      <c r="C107" s="17">
        <v>5</v>
      </c>
      <c r="D107" s="12">
        <v>2</v>
      </c>
      <c r="E107" s="12">
        <v>0</v>
      </c>
      <c r="F107" s="12">
        <v>0</v>
      </c>
      <c r="G107" s="12">
        <v>0</v>
      </c>
      <c r="H107" s="12">
        <f t="shared" si="2"/>
        <v>0</v>
      </c>
      <c r="I107" s="12">
        <f t="shared" si="3"/>
        <v>2</v>
      </c>
      <c r="J107" s="15"/>
    </row>
    <row r="108" spans="1:10" s="8" customFormat="1" ht="16.5" customHeight="1" x14ac:dyDescent="0.3">
      <c r="A108" s="9">
        <v>94</v>
      </c>
      <c r="B108" s="21" t="s">
        <v>238</v>
      </c>
      <c r="C108" s="17">
        <v>0</v>
      </c>
      <c r="D108" s="12">
        <v>1</v>
      </c>
      <c r="E108" s="12">
        <v>0</v>
      </c>
      <c r="F108" s="12">
        <v>0</v>
      </c>
      <c r="G108" s="12">
        <v>0</v>
      </c>
      <c r="H108" s="12">
        <f t="shared" si="2"/>
        <v>0</v>
      </c>
      <c r="I108" s="12">
        <f t="shared" si="3"/>
        <v>1</v>
      </c>
      <c r="J108" s="15"/>
    </row>
    <row r="109" spans="1:10" s="8" customFormat="1" ht="16.5" customHeight="1" x14ac:dyDescent="0.3">
      <c r="A109" s="9">
        <v>95</v>
      </c>
      <c r="B109" s="21" t="s">
        <v>239</v>
      </c>
      <c r="C109" s="17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f t="shared" si="2"/>
        <v>0</v>
      </c>
      <c r="I109" s="12">
        <f t="shared" si="3"/>
        <v>0</v>
      </c>
      <c r="J109" s="15"/>
    </row>
    <row r="110" spans="1:10" s="8" customFormat="1" ht="16.5" customHeight="1" x14ac:dyDescent="0.3">
      <c r="A110" s="9">
        <v>96</v>
      </c>
      <c r="B110" s="21" t="s">
        <v>240</v>
      </c>
      <c r="C110" s="17">
        <v>18</v>
      </c>
      <c r="D110" s="12">
        <v>11</v>
      </c>
      <c r="E110" s="12">
        <v>0</v>
      </c>
      <c r="F110" s="12">
        <v>0</v>
      </c>
      <c r="G110" s="12">
        <v>1</v>
      </c>
      <c r="H110" s="12">
        <f t="shared" si="2"/>
        <v>1</v>
      </c>
      <c r="I110" s="12">
        <f t="shared" si="3"/>
        <v>10</v>
      </c>
      <c r="J110" s="15" t="s">
        <v>31</v>
      </c>
    </row>
    <row r="111" spans="1:10" s="8" customFormat="1" ht="16.5" customHeight="1" x14ac:dyDescent="0.3">
      <c r="A111" s="9">
        <v>97</v>
      </c>
      <c r="B111" s="21" t="s">
        <v>241</v>
      </c>
      <c r="C111" s="17">
        <v>0</v>
      </c>
      <c r="D111" s="12">
        <v>3</v>
      </c>
      <c r="E111" s="12">
        <v>1</v>
      </c>
      <c r="F111" s="12">
        <v>0</v>
      </c>
      <c r="G111" s="12">
        <v>0</v>
      </c>
      <c r="H111" s="12">
        <f t="shared" si="2"/>
        <v>1</v>
      </c>
      <c r="I111" s="12">
        <f t="shared" si="3"/>
        <v>2</v>
      </c>
      <c r="J111" s="28" t="s">
        <v>270</v>
      </c>
    </row>
    <row r="112" spans="1:10" s="8" customFormat="1" ht="16.5" customHeight="1" x14ac:dyDescent="0.3">
      <c r="A112" s="9">
        <v>98</v>
      </c>
      <c r="B112" s="21" t="s">
        <v>242</v>
      </c>
      <c r="C112" s="17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f t="shared" si="2"/>
        <v>0</v>
      </c>
      <c r="I112" s="12">
        <f t="shared" si="3"/>
        <v>0</v>
      </c>
      <c r="J112" s="15"/>
    </row>
    <row r="113" spans="1:10" s="8" customFormat="1" ht="16.5" customHeight="1" x14ac:dyDescent="0.3">
      <c r="A113" s="9">
        <v>99</v>
      </c>
      <c r="B113" s="21" t="s">
        <v>243</v>
      </c>
      <c r="C113" s="17">
        <v>6</v>
      </c>
      <c r="D113" s="12">
        <v>5</v>
      </c>
      <c r="E113" s="12">
        <v>0</v>
      </c>
      <c r="F113" s="12">
        <v>0</v>
      </c>
      <c r="G113" s="12">
        <v>0</v>
      </c>
      <c r="H113" s="12">
        <f t="shared" si="2"/>
        <v>0</v>
      </c>
      <c r="I113" s="12">
        <f t="shared" si="3"/>
        <v>5</v>
      </c>
      <c r="J113" s="15"/>
    </row>
    <row r="114" spans="1:10" s="8" customFormat="1" ht="16.5" customHeight="1" x14ac:dyDescent="0.3">
      <c r="A114" s="9">
        <v>100</v>
      </c>
      <c r="B114" s="21" t="s">
        <v>244</v>
      </c>
      <c r="C114" s="17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f t="shared" si="2"/>
        <v>0</v>
      </c>
      <c r="I114" s="12">
        <f t="shared" si="3"/>
        <v>0</v>
      </c>
      <c r="J114" s="15"/>
    </row>
    <row r="115" spans="1:10" s="8" customFormat="1" ht="16.5" customHeight="1" x14ac:dyDescent="0.3">
      <c r="A115" s="9">
        <v>101</v>
      </c>
      <c r="B115" s="21" t="s">
        <v>245</v>
      </c>
      <c r="C115" s="17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f t="shared" si="2"/>
        <v>0</v>
      </c>
      <c r="I115" s="12">
        <f t="shared" si="3"/>
        <v>0</v>
      </c>
      <c r="J115" s="15"/>
    </row>
    <row r="116" spans="1:10" s="8" customFormat="1" ht="16.5" customHeight="1" x14ac:dyDescent="0.3">
      <c r="A116" s="9">
        <v>102</v>
      </c>
      <c r="B116" s="21" t="s">
        <v>246</v>
      </c>
      <c r="C116" s="17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f t="shared" si="2"/>
        <v>0</v>
      </c>
      <c r="I116" s="12">
        <f t="shared" si="3"/>
        <v>0</v>
      </c>
      <c r="J116" s="15"/>
    </row>
    <row r="117" spans="1:10" s="8" customFormat="1" ht="16.5" customHeight="1" x14ac:dyDescent="0.3">
      <c r="A117" s="9">
        <v>103</v>
      </c>
      <c r="B117" s="21" t="s">
        <v>247</v>
      </c>
      <c r="C117" s="17">
        <v>2</v>
      </c>
      <c r="D117" s="12">
        <v>2</v>
      </c>
      <c r="E117" s="12">
        <v>0</v>
      </c>
      <c r="F117" s="12">
        <v>0</v>
      </c>
      <c r="G117" s="12">
        <v>0</v>
      </c>
      <c r="H117" s="12">
        <f t="shared" si="2"/>
        <v>0</v>
      </c>
      <c r="I117" s="12">
        <f t="shared" si="3"/>
        <v>2</v>
      </c>
      <c r="J117" s="15"/>
    </row>
    <row r="118" spans="1:10" s="8" customFormat="1" ht="16.5" customHeight="1" x14ac:dyDescent="0.3">
      <c r="A118" s="9">
        <v>104</v>
      </c>
      <c r="B118" s="21" t="s">
        <v>248</v>
      </c>
      <c r="C118" s="17">
        <v>1</v>
      </c>
      <c r="D118" s="12">
        <v>5</v>
      </c>
      <c r="E118" s="12">
        <v>0</v>
      </c>
      <c r="F118" s="12">
        <v>0</v>
      </c>
      <c r="G118" s="12">
        <v>0</v>
      </c>
      <c r="H118" s="12">
        <f t="shared" si="2"/>
        <v>0</v>
      </c>
      <c r="I118" s="12">
        <f t="shared" si="3"/>
        <v>5</v>
      </c>
      <c r="J118" s="15"/>
    </row>
    <row r="119" spans="1:10" s="8" customFormat="1" ht="16.5" customHeight="1" x14ac:dyDescent="0.3">
      <c r="A119" s="9">
        <v>105</v>
      </c>
      <c r="B119" s="21" t="s">
        <v>249</v>
      </c>
      <c r="C119" s="17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f t="shared" si="2"/>
        <v>0</v>
      </c>
      <c r="I119" s="12">
        <f t="shared" si="3"/>
        <v>0</v>
      </c>
      <c r="J119" s="15"/>
    </row>
    <row r="120" spans="1:10" s="8" customFormat="1" ht="16.5" customHeight="1" x14ac:dyDescent="0.3">
      <c r="A120" s="9">
        <v>106</v>
      </c>
      <c r="B120" s="21" t="s">
        <v>250</v>
      </c>
      <c r="C120" s="17">
        <v>0</v>
      </c>
      <c r="D120" s="12">
        <v>5</v>
      </c>
      <c r="E120" s="12">
        <v>0</v>
      </c>
      <c r="F120" s="12">
        <v>0</v>
      </c>
      <c r="G120" s="12">
        <v>1</v>
      </c>
      <c r="H120" s="12">
        <f t="shared" si="2"/>
        <v>1</v>
      </c>
      <c r="I120" s="12">
        <f t="shared" si="3"/>
        <v>4</v>
      </c>
      <c r="J120" s="15" t="s">
        <v>44</v>
      </c>
    </row>
    <row r="121" spans="1:10" s="8" customFormat="1" ht="16.5" customHeight="1" x14ac:dyDescent="0.3">
      <c r="A121" s="9">
        <v>107</v>
      </c>
      <c r="B121" s="21" t="s">
        <v>251</v>
      </c>
      <c r="C121" s="17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f t="shared" si="2"/>
        <v>0</v>
      </c>
      <c r="I121" s="12">
        <f t="shared" si="3"/>
        <v>0</v>
      </c>
      <c r="J121" s="15"/>
    </row>
    <row r="122" spans="1:10" s="8" customFormat="1" ht="16.5" customHeight="1" x14ac:dyDescent="0.3">
      <c r="A122" s="9">
        <v>108</v>
      </c>
      <c r="B122" s="21" t="s">
        <v>252</v>
      </c>
      <c r="C122" s="17">
        <v>0</v>
      </c>
      <c r="D122" s="12">
        <v>1</v>
      </c>
      <c r="E122" s="12">
        <v>0</v>
      </c>
      <c r="F122" s="12">
        <v>0</v>
      </c>
      <c r="G122" s="12">
        <v>0</v>
      </c>
      <c r="H122" s="12">
        <f t="shared" si="2"/>
        <v>0</v>
      </c>
      <c r="I122" s="12">
        <f t="shared" si="3"/>
        <v>1</v>
      </c>
      <c r="J122" s="15"/>
    </row>
    <row r="123" spans="1:10" s="8" customFormat="1" ht="16.5" customHeight="1" x14ac:dyDescent="0.3">
      <c r="A123" s="9">
        <v>109</v>
      </c>
      <c r="B123" s="21" t="s">
        <v>253</v>
      </c>
      <c r="C123" s="17">
        <v>0</v>
      </c>
      <c r="D123" s="12">
        <v>1</v>
      </c>
      <c r="E123" s="12">
        <v>0</v>
      </c>
      <c r="F123" s="12">
        <v>0</v>
      </c>
      <c r="G123" s="12">
        <v>0</v>
      </c>
      <c r="H123" s="12">
        <f t="shared" si="2"/>
        <v>0</v>
      </c>
      <c r="I123" s="12">
        <f t="shared" si="3"/>
        <v>1</v>
      </c>
      <c r="J123" s="15"/>
    </row>
    <row r="124" spans="1:10" s="8" customFormat="1" ht="16.5" customHeight="1" x14ac:dyDescent="0.3">
      <c r="A124" s="9">
        <v>110</v>
      </c>
      <c r="B124" s="21" t="s">
        <v>254</v>
      </c>
      <c r="C124" s="17">
        <v>3</v>
      </c>
      <c r="D124" s="12">
        <v>4</v>
      </c>
      <c r="E124" s="12">
        <v>0</v>
      </c>
      <c r="F124" s="12">
        <v>0</v>
      </c>
      <c r="G124" s="12">
        <v>0</v>
      </c>
      <c r="H124" s="12">
        <f t="shared" si="2"/>
        <v>0</v>
      </c>
      <c r="I124" s="12">
        <f t="shared" si="3"/>
        <v>4</v>
      </c>
      <c r="J124" s="15"/>
    </row>
    <row r="125" spans="1:10" s="8" customFormat="1" ht="16.5" customHeight="1" x14ac:dyDescent="0.3">
      <c r="A125" s="9">
        <v>111</v>
      </c>
      <c r="B125" s="21" t="s">
        <v>255</v>
      </c>
      <c r="C125" s="17">
        <v>5</v>
      </c>
      <c r="D125" s="12">
        <v>3</v>
      </c>
      <c r="E125" s="12">
        <v>0</v>
      </c>
      <c r="F125" s="12">
        <v>0</v>
      </c>
      <c r="G125" s="12">
        <v>0</v>
      </c>
      <c r="H125" s="12">
        <f t="shared" si="2"/>
        <v>0</v>
      </c>
      <c r="I125" s="12">
        <f t="shared" si="3"/>
        <v>3</v>
      </c>
      <c r="J125" s="15"/>
    </row>
    <row r="126" spans="1:10" s="8" customFormat="1" ht="16.5" customHeight="1" x14ac:dyDescent="0.3">
      <c r="A126" s="9">
        <v>112</v>
      </c>
      <c r="B126" s="21" t="s">
        <v>256</v>
      </c>
      <c r="C126" s="17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f t="shared" si="2"/>
        <v>0</v>
      </c>
      <c r="I126" s="12">
        <f t="shared" si="3"/>
        <v>0</v>
      </c>
      <c r="J126" s="15"/>
    </row>
    <row r="127" spans="1:10" s="8" customFormat="1" ht="16.5" customHeight="1" x14ac:dyDescent="0.3">
      <c r="A127" s="9">
        <v>113</v>
      </c>
      <c r="B127" s="21" t="s">
        <v>257</v>
      </c>
      <c r="C127" s="17">
        <v>2</v>
      </c>
      <c r="D127" s="12">
        <v>0</v>
      </c>
      <c r="E127" s="12">
        <v>0</v>
      </c>
      <c r="F127" s="12">
        <v>0</v>
      </c>
      <c r="G127" s="12">
        <v>0</v>
      </c>
      <c r="H127" s="12">
        <f t="shared" si="2"/>
        <v>0</v>
      </c>
      <c r="I127" s="12">
        <f t="shared" si="3"/>
        <v>0</v>
      </c>
      <c r="J127" s="15"/>
    </row>
    <row r="128" spans="1:10" s="8" customFormat="1" ht="16.5" customHeight="1" x14ac:dyDescent="0.3">
      <c r="A128" s="9">
        <v>114</v>
      </c>
      <c r="B128" s="21" t="s">
        <v>258</v>
      </c>
      <c r="C128" s="17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f t="shared" si="2"/>
        <v>0</v>
      </c>
      <c r="I128" s="12">
        <f t="shared" si="3"/>
        <v>0</v>
      </c>
      <c r="J128" s="15"/>
    </row>
    <row r="129" spans="1:10" s="8" customFormat="1" ht="16.5" customHeight="1" x14ac:dyDescent="0.3">
      <c r="A129" s="9">
        <v>115</v>
      </c>
      <c r="B129" s="21" t="s">
        <v>259</v>
      </c>
      <c r="C129" s="17">
        <v>0</v>
      </c>
      <c r="D129" s="12">
        <v>1</v>
      </c>
      <c r="E129" s="12">
        <v>0</v>
      </c>
      <c r="F129" s="12">
        <v>0</v>
      </c>
      <c r="G129" s="12">
        <v>0</v>
      </c>
      <c r="H129" s="12">
        <f t="shared" si="2"/>
        <v>0</v>
      </c>
      <c r="I129" s="12">
        <f t="shared" si="3"/>
        <v>1</v>
      </c>
      <c r="J129" s="15"/>
    </row>
    <row r="130" spans="1:10" s="8" customFormat="1" ht="16.5" customHeight="1" x14ac:dyDescent="0.3">
      <c r="A130" s="9">
        <v>116</v>
      </c>
      <c r="B130" s="21" t="s">
        <v>260</v>
      </c>
      <c r="C130" s="17">
        <v>3</v>
      </c>
      <c r="D130" s="12">
        <v>10</v>
      </c>
      <c r="E130" s="12">
        <v>0</v>
      </c>
      <c r="F130" s="12">
        <v>0</v>
      </c>
      <c r="G130" s="12">
        <v>0</v>
      </c>
      <c r="H130" s="12">
        <f t="shared" si="2"/>
        <v>0</v>
      </c>
      <c r="I130" s="12">
        <f t="shared" si="3"/>
        <v>10</v>
      </c>
      <c r="J130" s="15"/>
    </row>
    <row r="131" spans="1:10" s="8" customFormat="1" ht="16.5" customHeight="1" x14ac:dyDescent="0.3">
      <c r="A131" s="9">
        <v>117</v>
      </c>
      <c r="B131" s="21" t="s">
        <v>261</v>
      </c>
      <c r="C131" s="17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f t="shared" si="2"/>
        <v>0</v>
      </c>
      <c r="I131" s="12">
        <f t="shared" si="3"/>
        <v>0</v>
      </c>
      <c r="J131" s="15"/>
    </row>
    <row r="132" spans="1:10" s="8" customFormat="1" ht="16.5" customHeight="1" x14ac:dyDescent="0.3">
      <c r="A132" s="9">
        <v>118</v>
      </c>
      <c r="B132" s="21" t="s">
        <v>262</v>
      </c>
      <c r="C132" s="17">
        <v>6</v>
      </c>
      <c r="D132" s="12">
        <v>6</v>
      </c>
      <c r="E132" s="12">
        <v>0</v>
      </c>
      <c r="F132" s="12">
        <v>0</v>
      </c>
      <c r="G132" s="12">
        <v>0</v>
      </c>
      <c r="H132" s="12">
        <f t="shared" si="2"/>
        <v>0</v>
      </c>
      <c r="I132" s="12">
        <f t="shared" si="3"/>
        <v>6</v>
      </c>
      <c r="J132" s="15"/>
    </row>
    <row r="133" spans="1:10" s="8" customFormat="1" ht="16.5" customHeight="1" x14ac:dyDescent="0.3">
      <c r="A133" s="9">
        <v>119</v>
      </c>
      <c r="B133" s="21" t="s">
        <v>263</v>
      </c>
      <c r="C133" s="17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f t="shared" si="2"/>
        <v>0</v>
      </c>
      <c r="I133" s="12">
        <f t="shared" si="3"/>
        <v>0</v>
      </c>
      <c r="J133" s="15"/>
    </row>
    <row r="134" spans="1:10" s="8" customFormat="1" ht="16.5" customHeight="1" x14ac:dyDescent="0.3">
      <c r="A134" s="9">
        <v>120</v>
      </c>
      <c r="B134" s="21" t="s">
        <v>264</v>
      </c>
      <c r="C134" s="17">
        <v>8</v>
      </c>
      <c r="D134" s="12">
        <v>31</v>
      </c>
      <c r="E134" s="12">
        <v>0</v>
      </c>
      <c r="F134" s="12">
        <v>0</v>
      </c>
      <c r="G134" s="12">
        <v>0</v>
      </c>
      <c r="H134" s="12">
        <f t="shared" si="2"/>
        <v>0</v>
      </c>
      <c r="I134" s="12">
        <f t="shared" si="3"/>
        <v>31</v>
      </c>
      <c r="J134" s="15"/>
    </row>
    <row r="135" spans="1:10" s="8" customFormat="1" ht="16.5" customHeight="1" x14ac:dyDescent="0.3">
      <c r="A135" s="9">
        <v>121</v>
      </c>
      <c r="B135" s="21" t="s">
        <v>265</v>
      </c>
      <c r="C135" s="17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f t="shared" si="2"/>
        <v>0</v>
      </c>
      <c r="I135" s="12">
        <f t="shared" si="3"/>
        <v>0</v>
      </c>
      <c r="J135" s="15"/>
    </row>
    <row r="136" spans="1:10" s="8" customFormat="1" ht="16.5" customHeight="1" x14ac:dyDescent="0.3">
      <c r="A136" s="9">
        <v>122</v>
      </c>
      <c r="B136" s="21" t="s">
        <v>266</v>
      </c>
      <c r="C136" s="17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f t="shared" si="2"/>
        <v>0</v>
      </c>
      <c r="I136" s="12">
        <f t="shared" si="3"/>
        <v>0</v>
      </c>
      <c r="J136" s="15"/>
    </row>
    <row r="137" spans="1:10" s="8" customFormat="1" ht="16.5" customHeight="1" x14ac:dyDescent="0.3">
      <c r="A137" s="9">
        <v>123</v>
      </c>
      <c r="B137" s="21" t="s">
        <v>267</v>
      </c>
      <c r="C137" s="17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f t="shared" ref="H137:H139" si="4">SUM(E137+F137+G137)</f>
        <v>0</v>
      </c>
      <c r="I137" s="12">
        <f t="shared" ref="I137:I139" si="5">D137-H137</f>
        <v>0</v>
      </c>
      <c r="J137" s="15"/>
    </row>
    <row r="138" spans="1:10" s="8" customFormat="1" ht="16.5" customHeight="1" x14ac:dyDescent="0.3">
      <c r="A138" s="9">
        <v>124</v>
      </c>
      <c r="B138" s="21" t="s">
        <v>268</v>
      </c>
      <c r="C138" s="17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f t="shared" si="4"/>
        <v>0</v>
      </c>
      <c r="I138" s="12">
        <f t="shared" si="5"/>
        <v>0</v>
      </c>
      <c r="J138" s="15"/>
    </row>
    <row r="139" spans="1:10" s="8" customFormat="1" ht="16.5" customHeight="1" x14ac:dyDescent="0.3">
      <c r="A139" s="9">
        <v>125</v>
      </c>
      <c r="B139" s="21" t="s">
        <v>269</v>
      </c>
      <c r="C139" s="17">
        <v>0</v>
      </c>
      <c r="D139" s="12">
        <v>1</v>
      </c>
      <c r="E139" s="12">
        <v>0</v>
      </c>
      <c r="F139" s="12">
        <v>0</v>
      </c>
      <c r="G139" s="12">
        <v>0</v>
      </c>
      <c r="H139" s="12">
        <f t="shared" si="4"/>
        <v>0</v>
      </c>
      <c r="I139" s="12">
        <f t="shared" si="5"/>
        <v>1</v>
      </c>
      <c r="J139" s="15"/>
    </row>
  </sheetData>
  <dataConsolidate>
    <dataRefs count="7">
      <dataRef ref="C8:I139" sheet="409B" r:id="rId1"/>
      <dataRef ref="C8:I139" sheet="4B" r:id="rId2"/>
      <dataRef ref="C8:I139" sheet="537B" r:id="rId3"/>
      <dataRef ref="C8:I139" sheet="605B" r:id="rId4"/>
      <dataRef ref="C8:I139" sheet="621B" r:id="rId5"/>
      <dataRef ref="C8:I139" sheet="671B" r:id="rId6"/>
      <dataRef ref="C8:I139" sheet="7004B" r:id="rId7"/>
    </dataRefs>
  </dataConsolidate>
  <mergeCells count="3">
    <mergeCell ref="A3:J3"/>
    <mergeCell ref="A2:J2"/>
    <mergeCell ref="A7:J7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6"/>
  <sheetViews>
    <sheetView workbookViewId="0">
      <selection activeCell="J19" sqref="J19"/>
    </sheetView>
  </sheetViews>
  <sheetFormatPr defaultColWidth="9.109375" defaultRowHeight="15" x14ac:dyDescent="0.25"/>
  <cols>
    <col min="1" max="1" width="5.88671875" style="58" customWidth="1"/>
    <col min="2" max="2" width="56.44140625" style="32" customWidth="1"/>
    <col min="3" max="3" width="8.33203125" style="58" customWidth="1"/>
    <col min="4" max="4" width="8.44140625" style="58" customWidth="1"/>
    <col min="5" max="8" width="7.6640625" style="58" customWidth="1"/>
    <col min="9" max="9" width="6.33203125" style="58" customWidth="1"/>
    <col min="10" max="10" width="60.5546875" style="32" customWidth="1"/>
    <col min="11" max="16384" width="9.109375" style="32"/>
  </cols>
  <sheetData>
    <row r="1" spans="1:10" ht="27" customHeight="1" x14ac:dyDescent="0.25">
      <c r="A1" s="221" t="s">
        <v>45</v>
      </c>
      <c r="B1" s="222"/>
      <c r="C1" s="222"/>
      <c r="D1" s="222"/>
      <c r="E1" s="222"/>
      <c r="F1" s="222"/>
      <c r="G1" s="222"/>
      <c r="H1" s="222"/>
      <c r="I1" s="222"/>
      <c r="J1" s="223"/>
    </row>
    <row r="2" spans="1:10" ht="28.5" customHeight="1" x14ac:dyDescent="0.25">
      <c r="A2" s="224" t="s">
        <v>141</v>
      </c>
      <c r="B2" s="225"/>
      <c r="C2" s="225"/>
      <c r="D2" s="225"/>
      <c r="E2" s="225"/>
      <c r="F2" s="225"/>
      <c r="G2" s="225"/>
      <c r="H2" s="225"/>
      <c r="I2" s="225"/>
      <c r="J2" s="226"/>
    </row>
    <row r="3" spans="1:10" s="34" customFormat="1" ht="15.75" customHeight="1" x14ac:dyDescent="0.3">
      <c r="A3" s="33" t="s">
        <v>46</v>
      </c>
      <c r="B3" s="33" t="s">
        <v>47</v>
      </c>
      <c r="C3" s="33" t="s">
        <v>2</v>
      </c>
      <c r="D3" s="33"/>
      <c r="E3" s="33" t="s">
        <v>48</v>
      </c>
      <c r="F3" s="33"/>
      <c r="G3" s="33"/>
      <c r="H3" s="33"/>
      <c r="I3" s="33" t="s">
        <v>49</v>
      </c>
      <c r="J3" s="33" t="s">
        <v>50</v>
      </c>
    </row>
    <row r="4" spans="1:10" s="34" customFormat="1" ht="31.2" x14ac:dyDescent="0.3">
      <c r="A4" s="33"/>
      <c r="B4" s="33"/>
      <c r="C4" s="35" t="s">
        <v>51</v>
      </c>
      <c r="D4" s="35" t="s">
        <v>52</v>
      </c>
      <c r="E4" s="35" t="s">
        <v>53</v>
      </c>
      <c r="F4" s="35" t="s">
        <v>9</v>
      </c>
      <c r="G4" s="35" t="s">
        <v>10</v>
      </c>
      <c r="H4" s="36" t="s">
        <v>11</v>
      </c>
      <c r="I4" s="33"/>
      <c r="J4" s="33"/>
    </row>
    <row r="5" spans="1:10" s="34" customFormat="1" ht="15.6" x14ac:dyDescent="0.3">
      <c r="A5" s="35" t="s">
        <v>12</v>
      </c>
      <c r="B5" s="35" t="s">
        <v>13</v>
      </c>
      <c r="C5" s="35" t="s">
        <v>14</v>
      </c>
      <c r="D5" s="35" t="s">
        <v>15</v>
      </c>
      <c r="E5" s="35" t="s">
        <v>16</v>
      </c>
      <c r="F5" s="35" t="s">
        <v>17</v>
      </c>
      <c r="G5" s="35" t="s">
        <v>18</v>
      </c>
      <c r="H5" s="36" t="s">
        <v>19</v>
      </c>
      <c r="I5" s="35" t="s">
        <v>20</v>
      </c>
      <c r="J5" s="35" t="s">
        <v>21</v>
      </c>
    </row>
    <row r="6" spans="1:10" ht="15.6" x14ac:dyDescent="0.25">
      <c r="A6" s="37" t="s">
        <v>54</v>
      </c>
      <c r="B6" s="37"/>
      <c r="C6" s="38"/>
      <c r="D6" s="38"/>
      <c r="E6" s="38"/>
      <c r="F6" s="38"/>
      <c r="G6" s="38"/>
      <c r="H6" s="38"/>
      <c r="I6" s="38"/>
      <c r="J6" s="39"/>
    </row>
    <row r="7" spans="1:10" ht="15.75" customHeight="1" x14ac:dyDescent="0.25">
      <c r="A7" s="198" t="s">
        <v>55</v>
      </c>
      <c r="B7" s="198"/>
      <c r="C7" s="198"/>
      <c r="D7" s="198"/>
      <c r="E7" s="198"/>
      <c r="F7" s="198"/>
      <c r="G7" s="198"/>
      <c r="H7" s="198"/>
      <c r="I7" s="198"/>
      <c r="J7" s="119"/>
    </row>
    <row r="8" spans="1:10" s="43" customFormat="1" ht="27.6" x14ac:dyDescent="0.3">
      <c r="A8" s="40">
        <v>1</v>
      </c>
      <c r="B8" s="24" t="s">
        <v>279</v>
      </c>
      <c r="C8" s="40">
        <v>10</v>
      </c>
      <c r="D8" s="41">
        <v>8</v>
      </c>
      <c r="E8" s="41">
        <v>0</v>
      </c>
      <c r="F8" s="41">
        <v>2</v>
      </c>
      <c r="G8" s="41">
        <v>1</v>
      </c>
      <c r="H8" s="41">
        <f>E8+F8+G8</f>
        <v>3</v>
      </c>
      <c r="I8" s="41">
        <f>D8-H8</f>
        <v>5</v>
      </c>
      <c r="J8" s="42" t="s">
        <v>388</v>
      </c>
    </row>
    <row r="9" spans="1:10" s="43" customFormat="1" ht="22.5" customHeight="1" x14ac:dyDescent="0.3">
      <c r="A9" s="44">
        <v>2</v>
      </c>
      <c r="B9" s="24" t="s">
        <v>280</v>
      </c>
      <c r="C9" s="44">
        <v>17</v>
      </c>
      <c r="D9" s="46">
        <v>16</v>
      </c>
      <c r="E9" s="46">
        <v>0</v>
      </c>
      <c r="F9" s="46">
        <v>0</v>
      </c>
      <c r="G9" s="46">
        <v>1</v>
      </c>
      <c r="H9" s="41">
        <f t="shared" ref="H9:H72" si="0">E9+F9+G9</f>
        <v>1</v>
      </c>
      <c r="I9" s="41">
        <f t="shared" ref="I9:I72" si="1">D9-H9</f>
        <v>15</v>
      </c>
      <c r="J9" s="47" t="s">
        <v>56</v>
      </c>
    </row>
    <row r="10" spans="1:10" s="43" customFormat="1" ht="18" customHeight="1" x14ac:dyDescent="0.3">
      <c r="A10" s="48">
        <v>3</v>
      </c>
      <c r="B10" s="24" t="s">
        <v>281</v>
      </c>
      <c r="C10" s="48">
        <v>7</v>
      </c>
      <c r="D10" s="49">
        <v>9</v>
      </c>
      <c r="E10" s="49">
        <v>0</v>
      </c>
      <c r="F10" s="49">
        <v>0</v>
      </c>
      <c r="G10" s="49">
        <v>2</v>
      </c>
      <c r="H10" s="41">
        <f t="shared" si="0"/>
        <v>2</v>
      </c>
      <c r="I10" s="41">
        <f t="shared" si="1"/>
        <v>7</v>
      </c>
      <c r="J10" s="47" t="s">
        <v>57</v>
      </c>
    </row>
    <row r="11" spans="1:10" s="43" customFormat="1" x14ac:dyDescent="0.3">
      <c r="A11" s="48">
        <v>4</v>
      </c>
      <c r="B11" s="24" t="s">
        <v>282</v>
      </c>
      <c r="C11" s="48">
        <v>14</v>
      </c>
      <c r="D11" s="49">
        <v>16</v>
      </c>
      <c r="E11" s="49">
        <v>1</v>
      </c>
      <c r="F11" s="49">
        <v>0</v>
      </c>
      <c r="G11" s="49">
        <v>0</v>
      </c>
      <c r="H11" s="41">
        <f t="shared" si="0"/>
        <v>1</v>
      </c>
      <c r="I11" s="41">
        <f t="shared" si="1"/>
        <v>15</v>
      </c>
      <c r="J11" s="47" t="s">
        <v>58</v>
      </c>
    </row>
    <row r="12" spans="1:10" s="43" customFormat="1" x14ac:dyDescent="0.3">
      <c r="A12" s="48">
        <v>5</v>
      </c>
      <c r="B12" s="24" t="s">
        <v>283</v>
      </c>
      <c r="C12" s="48">
        <v>0</v>
      </c>
      <c r="D12" s="49">
        <v>0</v>
      </c>
      <c r="E12" s="49">
        <v>0</v>
      </c>
      <c r="F12" s="49">
        <v>0</v>
      </c>
      <c r="G12" s="49">
        <v>0</v>
      </c>
      <c r="H12" s="41">
        <f t="shared" si="0"/>
        <v>0</v>
      </c>
      <c r="I12" s="41">
        <f t="shared" si="1"/>
        <v>0</v>
      </c>
      <c r="J12" s="47"/>
    </row>
    <row r="13" spans="1:10" s="43" customFormat="1" ht="15.75" customHeight="1" x14ac:dyDescent="0.3">
      <c r="A13" s="199" t="s">
        <v>59</v>
      </c>
      <c r="B13" s="199"/>
      <c r="C13" s="199"/>
      <c r="D13" s="199"/>
      <c r="E13" s="199"/>
      <c r="F13" s="199"/>
      <c r="G13" s="199"/>
      <c r="H13" s="41">
        <f t="shared" si="0"/>
        <v>0</v>
      </c>
      <c r="I13" s="41">
        <f t="shared" si="1"/>
        <v>0</v>
      </c>
      <c r="J13" s="47"/>
    </row>
    <row r="14" spans="1:10" s="43" customFormat="1" x14ac:dyDescent="0.3">
      <c r="A14" s="48">
        <v>6</v>
      </c>
      <c r="B14" s="28" t="s">
        <v>284</v>
      </c>
      <c r="C14" s="48">
        <v>0</v>
      </c>
      <c r="D14" s="49">
        <v>1</v>
      </c>
      <c r="E14" s="49">
        <v>0</v>
      </c>
      <c r="F14" s="49">
        <v>0</v>
      </c>
      <c r="G14" s="49">
        <v>1</v>
      </c>
      <c r="H14" s="41">
        <f t="shared" si="0"/>
        <v>1</v>
      </c>
      <c r="I14" s="41">
        <f t="shared" si="1"/>
        <v>0</v>
      </c>
      <c r="J14" s="47" t="s">
        <v>60</v>
      </c>
    </row>
    <row r="15" spans="1:10" s="43" customFormat="1" x14ac:dyDescent="0.3">
      <c r="A15" s="48">
        <v>7</v>
      </c>
      <c r="B15" s="28" t="s">
        <v>285</v>
      </c>
      <c r="C15" s="48">
        <v>0</v>
      </c>
      <c r="D15" s="49">
        <v>0</v>
      </c>
      <c r="E15" s="49">
        <v>0</v>
      </c>
      <c r="F15" s="49">
        <v>0</v>
      </c>
      <c r="G15" s="49">
        <v>0</v>
      </c>
      <c r="H15" s="41">
        <f t="shared" si="0"/>
        <v>0</v>
      </c>
      <c r="I15" s="41">
        <f t="shared" si="1"/>
        <v>0</v>
      </c>
      <c r="J15" s="47"/>
    </row>
    <row r="16" spans="1:10" s="43" customFormat="1" ht="15.75" customHeight="1" x14ac:dyDescent="0.3">
      <c r="A16" s="199" t="s">
        <v>61</v>
      </c>
      <c r="B16" s="199"/>
      <c r="C16" s="199"/>
      <c r="D16" s="199"/>
      <c r="E16" s="199"/>
      <c r="F16" s="199"/>
      <c r="G16" s="199"/>
      <c r="H16" s="41">
        <f t="shared" si="0"/>
        <v>0</v>
      </c>
      <c r="I16" s="41">
        <f t="shared" si="1"/>
        <v>0</v>
      </c>
      <c r="J16" s="47"/>
    </row>
    <row r="17" spans="1:10" s="43" customFormat="1" ht="27.6" x14ac:dyDescent="0.3">
      <c r="A17" s="48">
        <v>8</v>
      </c>
      <c r="B17" s="28" t="s">
        <v>286</v>
      </c>
      <c r="C17" s="48">
        <v>31</v>
      </c>
      <c r="D17" s="49">
        <v>27</v>
      </c>
      <c r="E17" s="49">
        <v>1</v>
      </c>
      <c r="F17" s="49">
        <v>0</v>
      </c>
      <c r="G17" s="49">
        <v>1</v>
      </c>
      <c r="H17" s="41">
        <f t="shared" si="0"/>
        <v>2</v>
      </c>
      <c r="I17" s="41">
        <f t="shared" si="1"/>
        <v>25</v>
      </c>
      <c r="J17" s="42" t="s">
        <v>62</v>
      </c>
    </row>
    <row r="18" spans="1:10" s="43" customFormat="1" ht="33" customHeight="1" x14ac:dyDescent="0.3">
      <c r="A18" s="40">
        <v>9</v>
      </c>
      <c r="B18" s="28" t="s">
        <v>287</v>
      </c>
      <c r="C18" s="40">
        <v>30</v>
      </c>
      <c r="D18" s="41">
        <v>29</v>
      </c>
      <c r="E18" s="41">
        <v>1</v>
      </c>
      <c r="F18" s="41">
        <v>0</v>
      </c>
      <c r="G18" s="41">
        <v>1</v>
      </c>
      <c r="H18" s="41">
        <f t="shared" si="0"/>
        <v>2</v>
      </c>
      <c r="I18" s="41">
        <f t="shared" si="1"/>
        <v>27</v>
      </c>
      <c r="J18" s="42" t="s">
        <v>63</v>
      </c>
    </row>
    <row r="19" spans="1:10" s="43" customFormat="1" x14ac:dyDescent="0.3">
      <c r="A19" s="50">
        <v>10</v>
      </c>
      <c r="B19" s="28" t="s">
        <v>288</v>
      </c>
      <c r="C19" s="50">
        <v>0</v>
      </c>
      <c r="D19" s="51">
        <v>0</v>
      </c>
      <c r="E19" s="51">
        <v>0</v>
      </c>
      <c r="F19" s="51">
        <v>0</v>
      </c>
      <c r="G19" s="51">
        <v>0</v>
      </c>
      <c r="H19" s="41">
        <f t="shared" si="0"/>
        <v>0</v>
      </c>
      <c r="I19" s="41">
        <f t="shared" si="1"/>
        <v>0</v>
      </c>
      <c r="J19" s="47"/>
    </row>
    <row r="20" spans="1:10" s="43" customFormat="1" x14ac:dyDescent="0.3">
      <c r="A20" s="48">
        <v>11</v>
      </c>
      <c r="B20" s="28" t="s">
        <v>289</v>
      </c>
      <c r="C20" s="48">
        <v>2</v>
      </c>
      <c r="D20" s="49">
        <v>4</v>
      </c>
      <c r="E20" s="49">
        <v>0</v>
      </c>
      <c r="F20" s="49">
        <v>0</v>
      </c>
      <c r="G20" s="49">
        <v>0</v>
      </c>
      <c r="H20" s="41">
        <f t="shared" si="0"/>
        <v>0</v>
      </c>
      <c r="I20" s="41">
        <f t="shared" si="1"/>
        <v>4</v>
      </c>
      <c r="J20" s="47"/>
    </row>
    <row r="21" spans="1:10" s="43" customFormat="1" x14ac:dyDescent="0.3">
      <c r="A21" s="48">
        <v>12</v>
      </c>
      <c r="B21" s="28" t="s">
        <v>290</v>
      </c>
      <c r="C21" s="48">
        <v>0</v>
      </c>
      <c r="D21" s="49">
        <v>0</v>
      </c>
      <c r="E21" s="49">
        <v>0</v>
      </c>
      <c r="F21" s="49">
        <v>0</v>
      </c>
      <c r="G21" s="49">
        <v>0</v>
      </c>
      <c r="H21" s="41">
        <f t="shared" si="0"/>
        <v>0</v>
      </c>
      <c r="I21" s="41">
        <f t="shared" si="1"/>
        <v>0</v>
      </c>
      <c r="J21" s="47"/>
    </row>
    <row r="22" spans="1:10" s="52" customFormat="1" ht="39" customHeight="1" x14ac:dyDescent="0.3">
      <c r="A22" s="40">
        <v>13</v>
      </c>
      <c r="B22" s="28" t="s">
        <v>291</v>
      </c>
      <c r="C22" s="40">
        <v>2</v>
      </c>
      <c r="D22" s="41">
        <v>7</v>
      </c>
      <c r="E22" s="41">
        <v>0</v>
      </c>
      <c r="F22" s="41">
        <v>0</v>
      </c>
      <c r="G22" s="41">
        <v>0</v>
      </c>
      <c r="H22" s="41">
        <f t="shared" si="0"/>
        <v>0</v>
      </c>
      <c r="I22" s="41">
        <f t="shared" si="1"/>
        <v>7</v>
      </c>
      <c r="J22" s="47" t="s">
        <v>64</v>
      </c>
    </row>
    <row r="23" spans="1:10" s="43" customFormat="1" x14ac:dyDescent="0.3">
      <c r="A23" s="48">
        <v>14</v>
      </c>
      <c r="B23" s="28" t="s">
        <v>292</v>
      </c>
      <c r="C23" s="48">
        <v>15</v>
      </c>
      <c r="D23" s="49">
        <v>15</v>
      </c>
      <c r="E23" s="49">
        <v>0</v>
      </c>
      <c r="F23" s="49">
        <v>0</v>
      </c>
      <c r="G23" s="49">
        <v>0</v>
      </c>
      <c r="H23" s="41">
        <f t="shared" si="0"/>
        <v>0</v>
      </c>
      <c r="I23" s="41">
        <f t="shared" si="1"/>
        <v>15</v>
      </c>
      <c r="J23" s="47"/>
    </row>
    <row r="24" spans="1:10" s="52" customFormat="1" ht="21.75" customHeight="1" x14ac:dyDescent="0.3">
      <c r="A24" s="53">
        <v>15</v>
      </c>
      <c r="B24" s="28" t="s">
        <v>293</v>
      </c>
      <c r="C24" s="53">
        <v>1</v>
      </c>
      <c r="D24" s="55">
        <v>4</v>
      </c>
      <c r="E24" s="55">
        <v>1</v>
      </c>
      <c r="F24" s="55">
        <v>0</v>
      </c>
      <c r="G24" s="55">
        <v>0</v>
      </c>
      <c r="H24" s="41">
        <f t="shared" si="0"/>
        <v>1</v>
      </c>
      <c r="I24" s="41">
        <f t="shared" si="1"/>
        <v>3</v>
      </c>
      <c r="J24" s="24" t="s">
        <v>65</v>
      </c>
    </row>
    <row r="25" spans="1:10" s="43" customFormat="1" x14ac:dyDescent="0.3">
      <c r="A25" s="48">
        <v>16</v>
      </c>
      <c r="B25" s="28" t="s">
        <v>294</v>
      </c>
      <c r="C25" s="48">
        <v>0</v>
      </c>
      <c r="D25" s="49">
        <v>5</v>
      </c>
      <c r="E25" s="49">
        <v>0</v>
      </c>
      <c r="F25" s="49">
        <v>0</v>
      </c>
      <c r="G25" s="49">
        <v>0</v>
      </c>
      <c r="H25" s="41">
        <f t="shared" si="0"/>
        <v>0</v>
      </c>
      <c r="I25" s="41">
        <f t="shared" si="1"/>
        <v>5</v>
      </c>
      <c r="J25" s="47"/>
    </row>
    <row r="26" spans="1:10" s="43" customFormat="1" ht="15.75" customHeight="1" x14ac:dyDescent="0.3">
      <c r="A26" s="199" t="s">
        <v>66</v>
      </c>
      <c r="B26" s="199"/>
      <c r="C26" s="199"/>
      <c r="D26" s="199"/>
      <c r="E26" s="199"/>
      <c r="F26" s="199"/>
      <c r="G26" s="199"/>
      <c r="H26" s="41">
        <f t="shared" si="0"/>
        <v>0</v>
      </c>
      <c r="I26" s="41">
        <f t="shared" si="1"/>
        <v>0</v>
      </c>
      <c r="J26" s="47"/>
    </row>
    <row r="27" spans="1:10" s="43" customFormat="1" x14ac:dyDescent="0.3">
      <c r="A27" s="44">
        <v>17</v>
      </c>
      <c r="B27" s="45" t="s">
        <v>295</v>
      </c>
      <c r="C27" s="44">
        <v>3</v>
      </c>
      <c r="D27" s="46">
        <v>2</v>
      </c>
      <c r="E27" s="46">
        <v>0</v>
      </c>
      <c r="F27" s="46">
        <v>0</v>
      </c>
      <c r="G27" s="46">
        <v>2</v>
      </c>
      <c r="H27" s="41">
        <f t="shared" si="0"/>
        <v>2</v>
      </c>
      <c r="I27" s="41">
        <f t="shared" si="1"/>
        <v>0</v>
      </c>
      <c r="J27" s="47" t="s">
        <v>57</v>
      </c>
    </row>
    <row r="28" spans="1:10" s="43" customFormat="1" x14ac:dyDescent="0.3">
      <c r="A28" s="48">
        <v>18</v>
      </c>
      <c r="B28" s="45" t="s">
        <v>296</v>
      </c>
      <c r="C28" s="48">
        <v>12</v>
      </c>
      <c r="D28" s="49">
        <v>12</v>
      </c>
      <c r="E28" s="49">
        <v>0</v>
      </c>
      <c r="F28" s="49">
        <v>0</v>
      </c>
      <c r="G28" s="49">
        <v>0</v>
      </c>
      <c r="H28" s="41">
        <f t="shared" si="0"/>
        <v>0</v>
      </c>
      <c r="I28" s="41">
        <f t="shared" si="1"/>
        <v>12</v>
      </c>
      <c r="J28" s="47"/>
    </row>
    <row r="29" spans="1:10" s="43" customFormat="1" x14ac:dyDescent="0.3">
      <c r="A29" s="48">
        <v>19</v>
      </c>
      <c r="B29" s="45" t="s">
        <v>297</v>
      </c>
      <c r="C29" s="48">
        <v>6</v>
      </c>
      <c r="D29" s="49">
        <v>8</v>
      </c>
      <c r="E29" s="49">
        <v>0</v>
      </c>
      <c r="F29" s="49">
        <v>0</v>
      </c>
      <c r="G29" s="49">
        <v>2</v>
      </c>
      <c r="H29" s="41">
        <f t="shared" si="0"/>
        <v>2</v>
      </c>
      <c r="I29" s="41">
        <f t="shared" si="1"/>
        <v>6</v>
      </c>
      <c r="J29" s="47" t="s">
        <v>57</v>
      </c>
    </row>
    <row r="30" spans="1:10" s="52" customFormat="1" ht="30" x14ac:dyDescent="0.3">
      <c r="A30" s="40">
        <v>20</v>
      </c>
      <c r="B30" s="28" t="s">
        <v>298</v>
      </c>
      <c r="C30" s="40">
        <v>0</v>
      </c>
      <c r="D30" s="41">
        <v>43</v>
      </c>
      <c r="E30" s="41">
        <v>1</v>
      </c>
      <c r="F30" s="41">
        <v>0</v>
      </c>
      <c r="G30" s="41">
        <v>1</v>
      </c>
      <c r="H30" s="41">
        <f t="shared" si="0"/>
        <v>2</v>
      </c>
      <c r="I30" s="41">
        <f t="shared" si="1"/>
        <v>41</v>
      </c>
      <c r="J30" s="24" t="s">
        <v>387</v>
      </c>
    </row>
    <row r="31" spans="1:10" s="43" customFormat="1" ht="15.6" x14ac:dyDescent="0.3">
      <c r="A31" s="199" t="s">
        <v>67</v>
      </c>
      <c r="B31" s="199"/>
      <c r="C31" s="56"/>
      <c r="D31" s="56"/>
      <c r="E31" s="56"/>
      <c r="F31" s="56"/>
      <c r="G31" s="56"/>
      <c r="H31" s="41">
        <f t="shared" si="0"/>
        <v>0</v>
      </c>
      <c r="I31" s="41">
        <f t="shared" si="1"/>
        <v>0</v>
      </c>
      <c r="J31" s="47"/>
    </row>
    <row r="32" spans="1:10" s="43" customFormat="1" x14ac:dyDescent="0.3">
      <c r="A32" s="48">
        <v>21</v>
      </c>
      <c r="B32" s="28" t="s">
        <v>299</v>
      </c>
      <c r="C32" s="48">
        <v>0</v>
      </c>
      <c r="D32" s="49">
        <v>0</v>
      </c>
      <c r="E32" s="49">
        <v>0</v>
      </c>
      <c r="F32" s="49">
        <v>0</v>
      </c>
      <c r="G32" s="49">
        <v>0</v>
      </c>
      <c r="H32" s="41">
        <f t="shared" si="0"/>
        <v>0</v>
      </c>
      <c r="I32" s="41">
        <f t="shared" si="1"/>
        <v>0</v>
      </c>
      <c r="J32" s="47"/>
    </row>
    <row r="33" spans="1:10" s="43" customFormat="1" x14ac:dyDescent="0.3">
      <c r="A33" s="48">
        <v>22</v>
      </c>
      <c r="B33" s="28" t="s">
        <v>300</v>
      </c>
      <c r="C33" s="48">
        <v>3</v>
      </c>
      <c r="D33" s="49">
        <v>5</v>
      </c>
      <c r="E33" s="49">
        <v>0</v>
      </c>
      <c r="F33" s="49">
        <v>0</v>
      </c>
      <c r="G33" s="49">
        <v>0</v>
      </c>
      <c r="H33" s="41">
        <f t="shared" si="0"/>
        <v>0</v>
      </c>
      <c r="I33" s="41">
        <f t="shared" si="1"/>
        <v>5</v>
      </c>
      <c r="J33" s="47"/>
    </row>
    <row r="34" spans="1:10" s="43" customFormat="1" x14ac:dyDescent="0.3">
      <c r="A34" s="48">
        <v>23</v>
      </c>
      <c r="B34" s="28" t="s">
        <v>301</v>
      </c>
      <c r="C34" s="48">
        <v>8</v>
      </c>
      <c r="D34" s="49">
        <v>16</v>
      </c>
      <c r="E34" s="49">
        <v>0</v>
      </c>
      <c r="F34" s="49">
        <v>0</v>
      </c>
      <c r="G34" s="49">
        <v>0</v>
      </c>
      <c r="H34" s="41">
        <f t="shared" si="0"/>
        <v>0</v>
      </c>
      <c r="I34" s="41">
        <f t="shared" si="1"/>
        <v>16</v>
      </c>
      <c r="J34" s="47"/>
    </row>
    <row r="35" spans="1:10" s="43" customFormat="1" x14ac:dyDescent="0.3">
      <c r="A35" s="48">
        <v>24</v>
      </c>
      <c r="B35" s="28" t="s">
        <v>302</v>
      </c>
      <c r="C35" s="48">
        <v>6</v>
      </c>
      <c r="D35" s="49">
        <v>9</v>
      </c>
      <c r="E35" s="49">
        <v>0</v>
      </c>
      <c r="F35" s="49">
        <v>0</v>
      </c>
      <c r="G35" s="49">
        <v>0</v>
      </c>
      <c r="H35" s="41">
        <f t="shared" si="0"/>
        <v>0</v>
      </c>
      <c r="I35" s="41">
        <f t="shared" si="1"/>
        <v>9</v>
      </c>
      <c r="J35" s="47"/>
    </row>
    <row r="36" spans="1:10" s="43" customFormat="1" x14ac:dyDescent="0.3">
      <c r="A36" s="48">
        <v>25</v>
      </c>
      <c r="B36" s="28" t="s">
        <v>303</v>
      </c>
      <c r="C36" s="48">
        <v>3</v>
      </c>
      <c r="D36" s="49">
        <v>11</v>
      </c>
      <c r="E36" s="49">
        <v>0</v>
      </c>
      <c r="F36" s="49">
        <v>0</v>
      </c>
      <c r="G36" s="49">
        <v>0</v>
      </c>
      <c r="H36" s="41">
        <f t="shared" si="0"/>
        <v>0</v>
      </c>
      <c r="I36" s="41">
        <f t="shared" si="1"/>
        <v>11</v>
      </c>
      <c r="J36" s="47"/>
    </row>
    <row r="37" spans="1:10" s="43" customFormat="1" ht="15.75" customHeight="1" x14ac:dyDescent="0.3">
      <c r="A37" s="199" t="s">
        <v>68</v>
      </c>
      <c r="B37" s="199"/>
      <c r="C37" s="199"/>
      <c r="D37" s="199"/>
      <c r="E37" s="199"/>
      <c r="F37" s="199"/>
      <c r="G37" s="199"/>
      <c r="H37" s="41">
        <f t="shared" si="0"/>
        <v>0</v>
      </c>
      <c r="I37" s="41">
        <f t="shared" si="1"/>
        <v>0</v>
      </c>
      <c r="J37" s="47"/>
    </row>
    <row r="38" spans="1:10" s="43" customFormat="1" x14ac:dyDescent="0.3">
      <c r="A38" s="48">
        <v>26</v>
      </c>
      <c r="B38" s="28" t="s">
        <v>304</v>
      </c>
      <c r="C38" s="48">
        <v>8</v>
      </c>
      <c r="D38" s="49">
        <v>7</v>
      </c>
      <c r="E38" s="49">
        <v>0</v>
      </c>
      <c r="F38" s="49">
        <v>0</v>
      </c>
      <c r="G38" s="49">
        <v>0</v>
      </c>
      <c r="H38" s="41">
        <f t="shared" si="0"/>
        <v>0</v>
      </c>
      <c r="I38" s="41">
        <f t="shared" si="1"/>
        <v>7</v>
      </c>
      <c r="J38" s="47"/>
    </row>
    <row r="39" spans="1:10" s="43" customFormat="1" x14ac:dyDescent="0.3">
      <c r="A39" s="48">
        <v>27</v>
      </c>
      <c r="B39" s="28" t="s">
        <v>305</v>
      </c>
      <c r="C39" s="48">
        <v>0</v>
      </c>
      <c r="D39" s="49">
        <v>3</v>
      </c>
      <c r="E39" s="49">
        <v>0</v>
      </c>
      <c r="F39" s="49">
        <v>0</v>
      </c>
      <c r="G39" s="49">
        <v>0</v>
      </c>
      <c r="H39" s="41">
        <f t="shared" si="0"/>
        <v>0</v>
      </c>
      <c r="I39" s="41">
        <f t="shared" si="1"/>
        <v>3</v>
      </c>
      <c r="J39" s="47"/>
    </row>
    <row r="40" spans="1:10" s="43" customFormat="1" x14ac:dyDescent="0.3">
      <c r="A40" s="48">
        <v>28</v>
      </c>
      <c r="B40" s="28" t="s">
        <v>306</v>
      </c>
      <c r="C40" s="48">
        <v>14</v>
      </c>
      <c r="D40" s="49">
        <v>14</v>
      </c>
      <c r="E40" s="49">
        <v>0</v>
      </c>
      <c r="F40" s="49">
        <v>0</v>
      </c>
      <c r="G40" s="49">
        <v>0</v>
      </c>
      <c r="H40" s="41">
        <f t="shared" si="0"/>
        <v>0</v>
      </c>
      <c r="I40" s="41">
        <f t="shared" si="1"/>
        <v>14</v>
      </c>
      <c r="J40" s="47"/>
    </row>
    <row r="41" spans="1:10" s="43" customFormat="1" ht="16.5" customHeight="1" x14ac:dyDescent="0.3">
      <c r="A41" s="199" t="s">
        <v>69</v>
      </c>
      <c r="B41" s="199"/>
      <c r="C41" s="199"/>
      <c r="D41" s="199"/>
      <c r="E41" s="199"/>
      <c r="F41" s="199"/>
      <c r="G41" s="199"/>
      <c r="H41" s="41">
        <f t="shared" si="0"/>
        <v>0</v>
      </c>
      <c r="I41" s="41">
        <f t="shared" si="1"/>
        <v>0</v>
      </c>
      <c r="J41" s="47"/>
    </row>
    <row r="42" spans="1:10" s="43" customFormat="1" x14ac:dyDescent="0.3">
      <c r="A42" s="48">
        <v>29</v>
      </c>
      <c r="B42" s="28" t="s">
        <v>307</v>
      </c>
      <c r="C42" s="48">
        <v>0</v>
      </c>
      <c r="D42" s="49">
        <v>0</v>
      </c>
      <c r="E42" s="49">
        <v>0</v>
      </c>
      <c r="F42" s="49">
        <v>0</v>
      </c>
      <c r="G42" s="49">
        <v>0</v>
      </c>
      <c r="H42" s="41">
        <f t="shared" si="0"/>
        <v>0</v>
      </c>
      <c r="I42" s="41">
        <f t="shared" si="1"/>
        <v>0</v>
      </c>
      <c r="J42" s="47"/>
    </row>
    <row r="43" spans="1:10" s="43" customFormat="1" x14ac:dyDescent="0.3">
      <c r="A43" s="48">
        <v>30</v>
      </c>
      <c r="B43" s="28" t="s">
        <v>308</v>
      </c>
      <c r="C43" s="48">
        <v>0</v>
      </c>
      <c r="D43" s="49">
        <v>0</v>
      </c>
      <c r="E43" s="49">
        <v>0</v>
      </c>
      <c r="F43" s="49">
        <v>0</v>
      </c>
      <c r="G43" s="49">
        <v>0</v>
      </c>
      <c r="H43" s="41">
        <f t="shared" si="0"/>
        <v>0</v>
      </c>
      <c r="I43" s="41">
        <f t="shared" si="1"/>
        <v>0</v>
      </c>
      <c r="J43" s="47"/>
    </row>
    <row r="44" spans="1:10" s="43" customFormat="1" x14ac:dyDescent="0.3">
      <c r="A44" s="48">
        <v>31</v>
      </c>
      <c r="B44" s="28" t="s">
        <v>309</v>
      </c>
      <c r="C44" s="48">
        <v>0</v>
      </c>
      <c r="D44" s="49">
        <v>0</v>
      </c>
      <c r="E44" s="49">
        <v>0</v>
      </c>
      <c r="F44" s="49">
        <v>0</v>
      </c>
      <c r="G44" s="49">
        <v>0</v>
      </c>
      <c r="H44" s="41">
        <f t="shared" si="0"/>
        <v>0</v>
      </c>
      <c r="I44" s="41">
        <f t="shared" si="1"/>
        <v>0</v>
      </c>
      <c r="J44" s="47"/>
    </row>
    <row r="45" spans="1:10" s="43" customFormat="1" x14ac:dyDescent="0.3">
      <c r="A45" s="50">
        <v>32</v>
      </c>
      <c r="B45" s="28" t="s">
        <v>310</v>
      </c>
      <c r="C45" s="50">
        <v>96</v>
      </c>
      <c r="D45" s="51">
        <v>27</v>
      </c>
      <c r="E45" s="51">
        <v>0</v>
      </c>
      <c r="F45" s="51">
        <v>0</v>
      </c>
      <c r="G45" s="51">
        <v>0</v>
      </c>
      <c r="H45" s="41">
        <f t="shared" si="0"/>
        <v>0</v>
      </c>
      <c r="I45" s="41">
        <f t="shared" si="1"/>
        <v>27</v>
      </c>
      <c r="J45" s="47"/>
    </row>
    <row r="46" spans="1:10" s="43" customFormat="1" x14ac:dyDescent="0.3">
      <c r="A46" s="48">
        <v>33</v>
      </c>
      <c r="B46" s="28" t="s">
        <v>311</v>
      </c>
      <c r="C46" s="48">
        <v>104</v>
      </c>
      <c r="D46" s="49">
        <v>47</v>
      </c>
      <c r="E46" s="49">
        <v>0</v>
      </c>
      <c r="F46" s="49">
        <v>0</v>
      </c>
      <c r="G46" s="49">
        <v>0</v>
      </c>
      <c r="H46" s="41">
        <f t="shared" si="0"/>
        <v>0</v>
      </c>
      <c r="I46" s="41">
        <f t="shared" si="1"/>
        <v>47</v>
      </c>
      <c r="J46" s="47"/>
    </row>
    <row r="47" spans="1:10" s="43" customFormat="1" x14ac:dyDescent="0.3">
      <c r="A47" s="48">
        <v>34</v>
      </c>
      <c r="B47" s="28" t="s">
        <v>312</v>
      </c>
      <c r="C47" s="48">
        <v>0</v>
      </c>
      <c r="D47" s="49">
        <v>5</v>
      </c>
      <c r="E47" s="49">
        <v>0</v>
      </c>
      <c r="F47" s="49">
        <v>0</v>
      </c>
      <c r="G47" s="49">
        <v>0</v>
      </c>
      <c r="H47" s="41">
        <f t="shared" si="0"/>
        <v>0</v>
      </c>
      <c r="I47" s="41">
        <f t="shared" si="1"/>
        <v>5</v>
      </c>
      <c r="J47" s="47"/>
    </row>
    <row r="48" spans="1:10" s="43" customFormat="1" x14ac:dyDescent="0.3">
      <c r="A48" s="48">
        <v>35</v>
      </c>
      <c r="B48" s="28" t="s">
        <v>313</v>
      </c>
      <c r="C48" s="48">
        <v>4</v>
      </c>
      <c r="D48" s="49">
        <v>3</v>
      </c>
      <c r="E48" s="49">
        <v>0</v>
      </c>
      <c r="F48" s="49">
        <v>0</v>
      </c>
      <c r="G48" s="49">
        <v>0</v>
      </c>
      <c r="H48" s="41">
        <f t="shared" si="0"/>
        <v>0</v>
      </c>
      <c r="I48" s="41">
        <f t="shared" si="1"/>
        <v>3</v>
      </c>
      <c r="J48" s="47"/>
    </row>
    <row r="49" spans="1:10" s="43" customFormat="1" x14ac:dyDescent="0.3">
      <c r="A49" s="48">
        <v>36</v>
      </c>
      <c r="B49" s="28" t="s">
        <v>314</v>
      </c>
      <c r="C49" s="48">
        <v>0</v>
      </c>
      <c r="D49" s="49">
        <v>1</v>
      </c>
      <c r="E49" s="49">
        <v>0</v>
      </c>
      <c r="F49" s="49">
        <v>0</v>
      </c>
      <c r="G49" s="49">
        <v>0</v>
      </c>
      <c r="H49" s="41">
        <f t="shared" si="0"/>
        <v>0</v>
      </c>
      <c r="I49" s="41">
        <f t="shared" si="1"/>
        <v>1</v>
      </c>
      <c r="J49" s="47"/>
    </row>
    <row r="50" spans="1:10" s="43" customFormat="1" x14ac:dyDescent="0.3">
      <c r="A50" s="44">
        <v>37</v>
      </c>
      <c r="B50" s="28" t="s">
        <v>315</v>
      </c>
      <c r="C50" s="44">
        <v>0</v>
      </c>
      <c r="D50" s="46">
        <v>0</v>
      </c>
      <c r="E50" s="46">
        <v>0</v>
      </c>
      <c r="F50" s="46">
        <v>0</v>
      </c>
      <c r="G50" s="46">
        <v>0</v>
      </c>
      <c r="H50" s="41">
        <f t="shared" si="0"/>
        <v>0</v>
      </c>
      <c r="I50" s="41">
        <f t="shared" si="1"/>
        <v>0</v>
      </c>
      <c r="J50" s="47"/>
    </row>
    <row r="51" spans="1:10" s="43" customFormat="1" x14ac:dyDescent="0.3">
      <c r="A51" s="48">
        <v>38</v>
      </c>
      <c r="B51" s="28" t="s">
        <v>316</v>
      </c>
      <c r="C51" s="48">
        <v>0</v>
      </c>
      <c r="D51" s="49">
        <v>0</v>
      </c>
      <c r="E51" s="49">
        <v>0</v>
      </c>
      <c r="F51" s="49">
        <v>0</v>
      </c>
      <c r="G51" s="49">
        <v>0</v>
      </c>
      <c r="H51" s="41">
        <f t="shared" si="0"/>
        <v>0</v>
      </c>
      <c r="I51" s="41">
        <f t="shared" si="1"/>
        <v>0</v>
      </c>
      <c r="J51" s="47"/>
    </row>
    <row r="52" spans="1:10" s="43" customFormat="1" ht="15.75" customHeight="1" x14ac:dyDescent="0.3">
      <c r="A52" s="199" t="s">
        <v>70</v>
      </c>
      <c r="B52" s="199"/>
      <c r="C52" s="199"/>
      <c r="D52" s="199"/>
      <c r="E52" s="199"/>
      <c r="F52" s="199"/>
      <c r="G52" s="199"/>
      <c r="H52" s="41">
        <f t="shared" si="0"/>
        <v>0</v>
      </c>
      <c r="I52" s="41">
        <f t="shared" si="1"/>
        <v>0</v>
      </c>
      <c r="J52" s="47"/>
    </row>
    <row r="53" spans="1:10" s="43" customFormat="1" x14ac:dyDescent="0.3">
      <c r="A53" s="48">
        <v>39</v>
      </c>
      <c r="B53" s="28" t="s">
        <v>317</v>
      </c>
      <c r="C53" s="48">
        <v>0</v>
      </c>
      <c r="D53" s="49">
        <v>0</v>
      </c>
      <c r="E53" s="49">
        <v>0</v>
      </c>
      <c r="F53" s="49">
        <v>0</v>
      </c>
      <c r="G53" s="49">
        <v>0</v>
      </c>
      <c r="H53" s="41">
        <f t="shared" si="0"/>
        <v>0</v>
      </c>
      <c r="I53" s="41">
        <f t="shared" si="1"/>
        <v>0</v>
      </c>
      <c r="J53" s="47"/>
    </row>
    <row r="54" spans="1:10" s="43" customFormat="1" x14ac:dyDescent="0.3">
      <c r="A54" s="48">
        <v>40</v>
      </c>
      <c r="B54" s="28" t="s">
        <v>318</v>
      </c>
      <c r="C54" s="48">
        <v>0</v>
      </c>
      <c r="D54" s="49">
        <v>0</v>
      </c>
      <c r="E54" s="49">
        <v>0</v>
      </c>
      <c r="F54" s="49">
        <v>0</v>
      </c>
      <c r="G54" s="49">
        <v>0</v>
      </c>
      <c r="H54" s="41">
        <f t="shared" si="0"/>
        <v>0</v>
      </c>
      <c r="I54" s="41">
        <f t="shared" si="1"/>
        <v>0</v>
      </c>
      <c r="J54" s="47"/>
    </row>
    <row r="55" spans="1:10" s="43" customFormat="1" ht="15.75" customHeight="1" x14ac:dyDescent="0.3">
      <c r="A55" s="199" t="s">
        <v>71</v>
      </c>
      <c r="B55" s="199"/>
      <c r="C55" s="199"/>
      <c r="D55" s="199"/>
      <c r="E55" s="199"/>
      <c r="F55" s="199"/>
      <c r="G55" s="199"/>
      <c r="H55" s="41">
        <f t="shared" si="0"/>
        <v>0</v>
      </c>
      <c r="I55" s="41">
        <f t="shared" si="1"/>
        <v>0</v>
      </c>
      <c r="J55" s="47"/>
    </row>
    <row r="56" spans="1:10" s="43" customFormat="1" x14ac:dyDescent="0.3">
      <c r="A56" s="48">
        <v>41</v>
      </c>
      <c r="B56" s="28" t="s">
        <v>319</v>
      </c>
      <c r="C56" s="48">
        <v>5</v>
      </c>
      <c r="D56" s="49">
        <v>17</v>
      </c>
      <c r="E56" s="49">
        <v>0</v>
      </c>
      <c r="F56" s="49">
        <v>0</v>
      </c>
      <c r="G56" s="49">
        <v>0</v>
      </c>
      <c r="H56" s="41">
        <f t="shared" si="0"/>
        <v>0</v>
      </c>
      <c r="I56" s="41">
        <f t="shared" si="1"/>
        <v>17</v>
      </c>
      <c r="J56" s="47"/>
    </row>
    <row r="57" spans="1:10" s="43" customFormat="1" x14ac:dyDescent="0.3">
      <c r="A57" s="48">
        <v>42</v>
      </c>
      <c r="B57" s="28" t="s">
        <v>320</v>
      </c>
      <c r="C57" s="48">
        <v>48</v>
      </c>
      <c r="D57" s="49">
        <v>23</v>
      </c>
      <c r="E57" s="49">
        <v>0</v>
      </c>
      <c r="F57" s="49">
        <v>0</v>
      </c>
      <c r="G57" s="49">
        <v>0</v>
      </c>
      <c r="H57" s="41">
        <f t="shared" si="0"/>
        <v>0</v>
      </c>
      <c r="I57" s="41">
        <f t="shared" si="1"/>
        <v>23</v>
      </c>
      <c r="J57" s="47"/>
    </row>
    <row r="58" spans="1:10" s="43" customFormat="1" x14ac:dyDescent="0.3">
      <c r="A58" s="48">
        <v>43</v>
      </c>
      <c r="B58" s="28" t="s">
        <v>321</v>
      </c>
      <c r="C58" s="48">
        <v>4</v>
      </c>
      <c r="D58" s="49">
        <v>4</v>
      </c>
      <c r="E58" s="49">
        <v>0</v>
      </c>
      <c r="F58" s="49">
        <v>0</v>
      </c>
      <c r="G58" s="49">
        <v>0</v>
      </c>
      <c r="H58" s="41">
        <f t="shared" si="0"/>
        <v>0</v>
      </c>
      <c r="I58" s="41">
        <f t="shared" si="1"/>
        <v>4</v>
      </c>
      <c r="J58" s="47"/>
    </row>
    <row r="59" spans="1:10" s="43" customFormat="1" x14ac:dyDescent="0.3">
      <c r="A59" s="48">
        <v>44</v>
      </c>
      <c r="B59" s="28" t="s">
        <v>322</v>
      </c>
      <c r="C59" s="48">
        <v>15</v>
      </c>
      <c r="D59" s="49">
        <v>12</v>
      </c>
      <c r="E59" s="49">
        <v>0</v>
      </c>
      <c r="F59" s="49">
        <v>0</v>
      </c>
      <c r="G59" s="49">
        <v>0</v>
      </c>
      <c r="H59" s="41">
        <f t="shared" si="0"/>
        <v>0</v>
      </c>
      <c r="I59" s="41">
        <f t="shared" si="1"/>
        <v>12</v>
      </c>
      <c r="J59" s="47"/>
    </row>
    <row r="60" spans="1:10" s="43" customFormat="1" x14ac:dyDescent="0.3">
      <c r="A60" s="48">
        <v>45</v>
      </c>
      <c r="B60" s="28" t="s">
        <v>323</v>
      </c>
      <c r="C60" s="48">
        <v>0</v>
      </c>
      <c r="D60" s="49">
        <v>0</v>
      </c>
      <c r="E60" s="49">
        <v>0</v>
      </c>
      <c r="F60" s="49">
        <v>0</v>
      </c>
      <c r="G60" s="49">
        <v>0</v>
      </c>
      <c r="H60" s="41">
        <f t="shared" si="0"/>
        <v>0</v>
      </c>
      <c r="I60" s="41">
        <f t="shared" si="1"/>
        <v>0</v>
      </c>
      <c r="J60" s="47"/>
    </row>
    <row r="61" spans="1:10" s="43" customFormat="1" x14ac:dyDescent="0.3">
      <c r="A61" s="48">
        <v>46</v>
      </c>
      <c r="B61" s="28" t="s">
        <v>324</v>
      </c>
      <c r="C61" s="48">
        <v>0</v>
      </c>
      <c r="D61" s="49">
        <v>0</v>
      </c>
      <c r="E61" s="49">
        <v>0</v>
      </c>
      <c r="F61" s="49">
        <v>0</v>
      </c>
      <c r="G61" s="49">
        <v>0</v>
      </c>
      <c r="H61" s="41">
        <f t="shared" si="0"/>
        <v>0</v>
      </c>
      <c r="I61" s="41">
        <f t="shared" si="1"/>
        <v>0</v>
      </c>
      <c r="J61" s="47"/>
    </row>
    <row r="62" spans="1:10" s="43" customFormat="1" x14ac:dyDescent="0.3">
      <c r="A62" s="48">
        <v>47</v>
      </c>
      <c r="B62" s="28" t="s">
        <v>325</v>
      </c>
      <c r="C62" s="48">
        <v>0</v>
      </c>
      <c r="D62" s="49">
        <v>0</v>
      </c>
      <c r="E62" s="49">
        <v>0</v>
      </c>
      <c r="F62" s="49">
        <v>0</v>
      </c>
      <c r="G62" s="49">
        <v>0</v>
      </c>
      <c r="H62" s="41">
        <f t="shared" si="0"/>
        <v>0</v>
      </c>
      <c r="I62" s="41">
        <f t="shared" si="1"/>
        <v>0</v>
      </c>
      <c r="J62" s="47"/>
    </row>
    <row r="63" spans="1:10" s="43" customFormat="1" x14ac:dyDescent="0.3">
      <c r="A63" s="48">
        <v>48</v>
      </c>
      <c r="B63" s="28" t="s">
        <v>326</v>
      </c>
      <c r="C63" s="48">
        <v>0</v>
      </c>
      <c r="D63" s="49">
        <v>0</v>
      </c>
      <c r="E63" s="49">
        <v>0</v>
      </c>
      <c r="F63" s="49">
        <v>0</v>
      </c>
      <c r="G63" s="49">
        <v>0</v>
      </c>
      <c r="H63" s="41">
        <f t="shared" si="0"/>
        <v>0</v>
      </c>
      <c r="I63" s="41">
        <f t="shared" si="1"/>
        <v>0</v>
      </c>
      <c r="J63" s="47"/>
    </row>
    <row r="64" spans="1:10" s="43" customFormat="1" x14ac:dyDescent="0.3">
      <c r="A64" s="48">
        <v>49</v>
      </c>
      <c r="B64" s="28" t="s">
        <v>327</v>
      </c>
      <c r="C64" s="48">
        <v>0</v>
      </c>
      <c r="D64" s="49">
        <v>2</v>
      </c>
      <c r="E64" s="49">
        <v>0</v>
      </c>
      <c r="F64" s="49">
        <v>0</v>
      </c>
      <c r="G64" s="49">
        <v>0</v>
      </c>
      <c r="H64" s="41">
        <f t="shared" si="0"/>
        <v>0</v>
      </c>
      <c r="I64" s="41">
        <f t="shared" si="1"/>
        <v>2</v>
      </c>
      <c r="J64" s="47"/>
    </row>
    <row r="65" spans="1:10" s="43" customFormat="1" x14ac:dyDescent="0.3">
      <c r="A65" s="48">
        <v>50</v>
      </c>
      <c r="B65" s="28" t="s">
        <v>328</v>
      </c>
      <c r="C65" s="48">
        <v>26</v>
      </c>
      <c r="D65" s="49">
        <v>63</v>
      </c>
      <c r="E65" s="49">
        <v>0</v>
      </c>
      <c r="F65" s="49">
        <v>0</v>
      </c>
      <c r="G65" s="49">
        <v>14</v>
      </c>
      <c r="H65" s="41">
        <f t="shared" si="0"/>
        <v>14</v>
      </c>
      <c r="I65" s="41">
        <f t="shared" si="1"/>
        <v>49</v>
      </c>
      <c r="J65" s="47" t="s">
        <v>72</v>
      </c>
    </row>
    <row r="66" spans="1:10" s="43" customFormat="1" ht="15.75" customHeight="1" x14ac:dyDescent="0.3">
      <c r="A66" s="199" t="s">
        <v>73</v>
      </c>
      <c r="B66" s="199"/>
      <c r="C66" s="199"/>
      <c r="D66" s="199"/>
      <c r="E66" s="199"/>
      <c r="F66" s="199"/>
      <c r="G66" s="199"/>
      <c r="H66" s="41">
        <f t="shared" si="0"/>
        <v>0</v>
      </c>
      <c r="I66" s="41">
        <f t="shared" si="1"/>
        <v>0</v>
      </c>
      <c r="J66" s="47"/>
    </row>
    <row r="67" spans="1:10" s="43" customFormat="1" ht="15.75" customHeight="1" x14ac:dyDescent="0.3">
      <c r="A67" s="199" t="s">
        <v>74</v>
      </c>
      <c r="B67" s="199"/>
      <c r="C67" s="199"/>
      <c r="D67" s="199"/>
      <c r="E67" s="199"/>
      <c r="F67" s="199"/>
      <c r="G67" s="199"/>
      <c r="H67" s="41">
        <f t="shared" si="0"/>
        <v>0</v>
      </c>
      <c r="I67" s="41">
        <f t="shared" si="1"/>
        <v>0</v>
      </c>
      <c r="J67" s="47"/>
    </row>
    <row r="68" spans="1:10" s="52" customFormat="1" ht="24" customHeight="1" x14ac:dyDescent="0.3">
      <c r="A68" s="40">
        <v>51</v>
      </c>
      <c r="B68" s="24" t="s">
        <v>329</v>
      </c>
      <c r="C68" s="40">
        <v>9</v>
      </c>
      <c r="D68" s="41">
        <v>5</v>
      </c>
      <c r="E68" s="41">
        <v>1</v>
      </c>
      <c r="F68" s="41">
        <v>0</v>
      </c>
      <c r="G68" s="41">
        <v>0</v>
      </c>
      <c r="H68" s="41">
        <f t="shared" si="0"/>
        <v>1</v>
      </c>
      <c r="I68" s="41">
        <f t="shared" si="1"/>
        <v>4</v>
      </c>
      <c r="J68" s="16" t="s">
        <v>386</v>
      </c>
    </row>
    <row r="69" spans="1:10" s="43" customFormat="1" x14ac:dyDescent="0.3">
      <c r="A69" s="48">
        <v>52</v>
      </c>
      <c r="B69" s="24" t="s">
        <v>330</v>
      </c>
      <c r="C69" s="48">
        <v>12</v>
      </c>
      <c r="D69" s="49">
        <v>12</v>
      </c>
      <c r="E69" s="49">
        <v>0</v>
      </c>
      <c r="F69" s="49">
        <v>0</v>
      </c>
      <c r="G69" s="49">
        <v>0</v>
      </c>
      <c r="H69" s="41">
        <f t="shared" si="0"/>
        <v>0</v>
      </c>
      <c r="I69" s="41">
        <f t="shared" si="1"/>
        <v>12</v>
      </c>
      <c r="J69" s="47"/>
    </row>
    <row r="70" spans="1:10" s="43" customFormat="1" ht="15.75" customHeight="1" x14ac:dyDescent="0.3">
      <c r="A70" s="199" t="s">
        <v>75</v>
      </c>
      <c r="B70" s="199"/>
      <c r="C70" s="199"/>
      <c r="D70" s="199"/>
      <c r="E70" s="199"/>
      <c r="F70" s="199"/>
      <c r="G70" s="199"/>
      <c r="H70" s="41">
        <f t="shared" si="0"/>
        <v>0</v>
      </c>
      <c r="I70" s="41">
        <f t="shared" si="1"/>
        <v>0</v>
      </c>
      <c r="J70" s="47"/>
    </row>
    <row r="71" spans="1:10" s="43" customFormat="1" x14ac:dyDescent="0.3">
      <c r="A71" s="48">
        <v>53</v>
      </c>
      <c r="B71" s="28" t="s">
        <v>331</v>
      </c>
      <c r="C71" s="40">
        <v>0</v>
      </c>
      <c r="D71" s="41">
        <v>0</v>
      </c>
      <c r="E71" s="41">
        <v>0</v>
      </c>
      <c r="F71" s="41">
        <v>0</v>
      </c>
      <c r="G71" s="41">
        <v>0</v>
      </c>
      <c r="H71" s="41">
        <f t="shared" si="0"/>
        <v>0</v>
      </c>
      <c r="I71" s="41">
        <f t="shared" si="1"/>
        <v>0</v>
      </c>
      <c r="J71" s="47"/>
    </row>
    <row r="72" spans="1:10" s="43" customFormat="1" ht="15.6" x14ac:dyDescent="0.3">
      <c r="A72" s="48">
        <v>54</v>
      </c>
      <c r="B72" s="28" t="s">
        <v>332</v>
      </c>
      <c r="C72" s="57">
        <v>0</v>
      </c>
      <c r="D72" s="49">
        <v>0</v>
      </c>
      <c r="E72" s="49">
        <v>0</v>
      </c>
      <c r="F72" s="49">
        <v>0</v>
      </c>
      <c r="G72" s="49">
        <v>0</v>
      </c>
      <c r="H72" s="41">
        <f t="shared" si="0"/>
        <v>0</v>
      </c>
      <c r="I72" s="41">
        <f t="shared" si="1"/>
        <v>0</v>
      </c>
      <c r="J72" s="47"/>
    </row>
    <row r="73" spans="1:10" s="43" customFormat="1" x14ac:dyDescent="0.3">
      <c r="A73" s="48">
        <v>55</v>
      </c>
      <c r="B73" s="28" t="s">
        <v>333</v>
      </c>
      <c r="C73" s="49">
        <v>0</v>
      </c>
      <c r="D73" s="49">
        <v>0</v>
      </c>
      <c r="E73" s="49">
        <v>0</v>
      </c>
      <c r="F73" s="49">
        <v>0</v>
      </c>
      <c r="G73" s="49">
        <v>0</v>
      </c>
      <c r="H73" s="41">
        <f t="shared" ref="H73:H126" si="2">E73+F73+G73</f>
        <v>0</v>
      </c>
      <c r="I73" s="41">
        <f t="shared" ref="I73:I126" si="3">D73-H73</f>
        <v>0</v>
      </c>
      <c r="J73" s="47"/>
    </row>
    <row r="74" spans="1:10" s="43" customFormat="1" x14ac:dyDescent="0.3">
      <c r="A74" s="48">
        <v>56</v>
      </c>
      <c r="B74" s="28" t="s">
        <v>334</v>
      </c>
      <c r="C74" s="48">
        <v>0</v>
      </c>
      <c r="D74" s="49">
        <v>0</v>
      </c>
      <c r="E74" s="49">
        <v>0</v>
      </c>
      <c r="F74" s="49">
        <v>0</v>
      </c>
      <c r="G74" s="49">
        <v>0</v>
      </c>
      <c r="H74" s="41">
        <f t="shared" si="2"/>
        <v>0</v>
      </c>
      <c r="I74" s="41">
        <f t="shared" si="3"/>
        <v>0</v>
      </c>
      <c r="J74" s="47"/>
    </row>
    <row r="75" spans="1:10" s="43" customFormat="1" x14ac:dyDescent="0.3">
      <c r="A75" s="48">
        <v>57</v>
      </c>
      <c r="B75" s="28" t="s">
        <v>335</v>
      </c>
      <c r="C75" s="48">
        <v>0</v>
      </c>
      <c r="D75" s="49">
        <v>0</v>
      </c>
      <c r="E75" s="49">
        <v>0</v>
      </c>
      <c r="F75" s="49">
        <v>0</v>
      </c>
      <c r="G75" s="49">
        <v>0</v>
      </c>
      <c r="H75" s="41">
        <f t="shared" si="2"/>
        <v>0</v>
      </c>
      <c r="I75" s="41">
        <f t="shared" si="3"/>
        <v>0</v>
      </c>
      <c r="J75" s="47"/>
    </row>
    <row r="76" spans="1:10" s="43" customFormat="1" x14ac:dyDescent="0.3">
      <c r="A76" s="48">
        <v>58</v>
      </c>
      <c r="B76" s="28" t="s">
        <v>336</v>
      </c>
      <c r="C76" s="48">
        <v>0</v>
      </c>
      <c r="D76" s="49">
        <v>0</v>
      </c>
      <c r="E76" s="49">
        <v>0</v>
      </c>
      <c r="F76" s="49">
        <v>0</v>
      </c>
      <c r="G76" s="49">
        <v>0</v>
      </c>
      <c r="H76" s="41">
        <f t="shared" si="2"/>
        <v>0</v>
      </c>
      <c r="I76" s="41">
        <f t="shared" si="3"/>
        <v>0</v>
      </c>
      <c r="J76" s="47"/>
    </row>
    <row r="77" spans="1:10" s="43" customFormat="1" x14ac:dyDescent="0.3">
      <c r="A77" s="48">
        <v>59</v>
      </c>
      <c r="B77" s="28" t="s">
        <v>337</v>
      </c>
      <c r="C77" s="48">
        <v>0</v>
      </c>
      <c r="D77" s="49">
        <v>0</v>
      </c>
      <c r="E77" s="49">
        <v>0</v>
      </c>
      <c r="F77" s="49">
        <v>0</v>
      </c>
      <c r="G77" s="49">
        <v>0</v>
      </c>
      <c r="H77" s="41">
        <f t="shared" si="2"/>
        <v>0</v>
      </c>
      <c r="I77" s="41">
        <f t="shared" si="3"/>
        <v>0</v>
      </c>
      <c r="J77" s="47"/>
    </row>
    <row r="78" spans="1:10" s="43" customFormat="1" x14ac:dyDescent="0.3">
      <c r="A78" s="48">
        <v>60</v>
      </c>
      <c r="B78" s="28" t="s">
        <v>338</v>
      </c>
      <c r="C78" s="48">
        <v>0</v>
      </c>
      <c r="D78" s="49">
        <v>1</v>
      </c>
      <c r="E78" s="49">
        <v>0</v>
      </c>
      <c r="F78" s="49">
        <v>0</v>
      </c>
      <c r="G78" s="49">
        <v>0</v>
      </c>
      <c r="H78" s="41">
        <f t="shared" si="2"/>
        <v>0</v>
      </c>
      <c r="I78" s="41">
        <f t="shared" si="3"/>
        <v>1</v>
      </c>
      <c r="J78" s="47"/>
    </row>
    <row r="79" spans="1:10" s="43" customFormat="1" ht="15.75" customHeight="1" x14ac:dyDescent="0.3">
      <c r="A79" s="199" t="s">
        <v>76</v>
      </c>
      <c r="B79" s="199"/>
      <c r="C79" s="200"/>
      <c r="D79" s="200"/>
      <c r="E79" s="200"/>
      <c r="F79" s="200"/>
      <c r="G79" s="200"/>
      <c r="H79" s="41">
        <f t="shared" si="2"/>
        <v>0</v>
      </c>
      <c r="I79" s="41">
        <f t="shared" si="3"/>
        <v>0</v>
      </c>
      <c r="J79" s="47"/>
    </row>
    <row r="80" spans="1:10" s="43" customFormat="1" x14ac:dyDescent="0.3">
      <c r="A80" s="48">
        <v>61</v>
      </c>
      <c r="B80" s="28" t="s">
        <v>339</v>
      </c>
      <c r="C80" s="48">
        <v>0</v>
      </c>
      <c r="D80" s="49">
        <v>0</v>
      </c>
      <c r="E80" s="49">
        <v>0</v>
      </c>
      <c r="F80" s="49">
        <v>0</v>
      </c>
      <c r="G80" s="49">
        <v>0</v>
      </c>
      <c r="H80" s="41">
        <f t="shared" si="2"/>
        <v>0</v>
      </c>
      <c r="I80" s="41">
        <f t="shared" si="3"/>
        <v>0</v>
      </c>
      <c r="J80" s="47"/>
    </row>
    <row r="81" spans="1:10" s="43" customFormat="1" x14ac:dyDescent="0.3">
      <c r="A81" s="48">
        <v>62</v>
      </c>
      <c r="B81" s="28" t="s">
        <v>340</v>
      </c>
      <c r="C81" s="48">
        <v>0</v>
      </c>
      <c r="D81" s="48">
        <v>0</v>
      </c>
      <c r="E81" s="49">
        <v>0</v>
      </c>
      <c r="F81" s="49">
        <v>0</v>
      </c>
      <c r="G81" s="49">
        <v>0</v>
      </c>
      <c r="H81" s="41">
        <f t="shared" si="2"/>
        <v>0</v>
      </c>
      <c r="I81" s="41">
        <f t="shared" si="3"/>
        <v>0</v>
      </c>
      <c r="J81" s="47"/>
    </row>
    <row r="82" spans="1:10" s="43" customFormat="1" x14ac:dyDescent="0.3">
      <c r="A82" s="48">
        <v>63</v>
      </c>
      <c r="B82" s="28" t="s">
        <v>341</v>
      </c>
      <c r="C82" s="48">
        <v>0</v>
      </c>
      <c r="D82" s="48">
        <v>0</v>
      </c>
      <c r="E82" s="49">
        <v>0</v>
      </c>
      <c r="F82" s="49">
        <v>0</v>
      </c>
      <c r="G82" s="49">
        <v>0</v>
      </c>
      <c r="H82" s="41">
        <f t="shared" si="2"/>
        <v>0</v>
      </c>
      <c r="I82" s="41">
        <f t="shared" si="3"/>
        <v>0</v>
      </c>
      <c r="J82" s="47"/>
    </row>
    <row r="83" spans="1:10" s="43" customFormat="1" x14ac:dyDescent="0.3">
      <c r="A83" s="48">
        <v>64</v>
      </c>
      <c r="B83" s="28" t="s">
        <v>342</v>
      </c>
      <c r="C83" s="48">
        <v>0</v>
      </c>
      <c r="D83" s="48">
        <v>0</v>
      </c>
      <c r="E83" s="49">
        <v>0</v>
      </c>
      <c r="F83" s="49">
        <v>0</v>
      </c>
      <c r="G83" s="49">
        <v>0</v>
      </c>
      <c r="H83" s="41">
        <f t="shared" si="2"/>
        <v>0</v>
      </c>
      <c r="I83" s="41">
        <f t="shared" si="3"/>
        <v>0</v>
      </c>
      <c r="J83" s="47"/>
    </row>
    <row r="84" spans="1:10" s="43" customFormat="1" x14ac:dyDescent="0.3">
      <c r="A84" s="48">
        <v>65</v>
      </c>
      <c r="B84" s="28" t="s">
        <v>343</v>
      </c>
      <c r="C84" s="48">
        <v>0</v>
      </c>
      <c r="D84" s="49">
        <v>0</v>
      </c>
      <c r="E84" s="49">
        <v>0</v>
      </c>
      <c r="F84" s="49">
        <v>0</v>
      </c>
      <c r="G84" s="49">
        <v>0</v>
      </c>
      <c r="H84" s="41">
        <f t="shared" si="2"/>
        <v>0</v>
      </c>
      <c r="I84" s="41">
        <f t="shared" si="3"/>
        <v>0</v>
      </c>
      <c r="J84" s="47"/>
    </row>
    <row r="85" spans="1:10" s="43" customFormat="1" x14ac:dyDescent="0.3">
      <c r="A85" s="50">
        <v>66</v>
      </c>
      <c r="B85" s="28" t="s">
        <v>344</v>
      </c>
      <c r="C85" s="50">
        <v>16</v>
      </c>
      <c r="D85" s="51">
        <v>6</v>
      </c>
      <c r="E85" s="51">
        <v>0</v>
      </c>
      <c r="F85" s="51">
        <v>0</v>
      </c>
      <c r="G85" s="51">
        <v>0</v>
      </c>
      <c r="H85" s="41">
        <f t="shared" si="2"/>
        <v>0</v>
      </c>
      <c r="I85" s="41">
        <f t="shared" si="3"/>
        <v>6</v>
      </c>
      <c r="J85" s="47"/>
    </row>
    <row r="86" spans="1:10" s="43" customFormat="1" x14ac:dyDescent="0.3">
      <c r="A86" s="48">
        <v>67</v>
      </c>
      <c r="B86" s="28" t="s">
        <v>345</v>
      </c>
      <c r="C86" s="48">
        <v>0</v>
      </c>
      <c r="D86" s="49">
        <v>0</v>
      </c>
      <c r="E86" s="49">
        <v>0</v>
      </c>
      <c r="F86" s="49">
        <v>0</v>
      </c>
      <c r="G86" s="49">
        <v>0</v>
      </c>
      <c r="H86" s="41">
        <f t="shared" si="2"/>
        <v>0</v>
      </c>
      <c r="I86" s="41">
        <f t="shared" si="3"/>
        <v>0</v>
      </c>
      <c r="J86" s="47"/>
    </row>
    <row r="87" spans="1:10" s="43" customFormat="1" x14ac:dyDescent="0.3">
      <c r="A87" s="48">
        <v>68</v>
      </c>
      <c r="B87" s="28" t="s">
        <v>346</v>
      </c>
      <c r="C87" s="48">
        <v>2</v>
      </c>
      <c r="D87" s="49">
        <v>2</v>
      </c>
      <c r="E87" s="49">
        <v>0</v>
      </c>
      <c r="F87" s="49">
        <v>0</v>
      </c>
      <c r="G87" s="49">
        <v>0</v>
      </c>
      <c r="H87" s="41">
        <f t="shared" si="2"/>
        <v>0</v>
      </c>
      <c r="I87" s="41">
        <f t="shared" si="3"/>
        <v>2</v>
      </c>
      <c r="J87" s="47"/>
    </row>
    <row r="88" spans="1:10" s="43" customFormat="1" x14ac:dyDescent="0.3">
      <c r="A88" s="48">
        <v>69</v>
      </c>
      <c r="B88" s="28" t="s">
        <v>347</v>
      </c>
      <c r="C88" s="48">
        <v>0</v>
      </c>
      <c r="D88" s="49">
        <v>38</v>
      </c>
      <c r="E88" s="49">
        <v>0</v>
      </c>
      <c r="F88" s="49">
        <v>0</v>
      </c>
      <c r="G88" s="49">
        <v>0</v>
      </c>
      <c r="H88" s="41">
        <f t="shared" si="2"/>
        <v>0</v>
      </c>
      <c r="I88" s="41">
        <f t="shared" si="3"/>
        <v>38</v>
      </c>
      <c r="J88" s="47"/>
    </row>
    <row r="89" spans="1:10" s="43" customFormat="1" x14ac:dyDescent="0.3">
      <c r="A89" s="48">
        <v>70</v>
      </c>
      <c r="B89" s="28" t="s">
        <v>348</v>
      </c>
      <c r="C89" s="48">
        <v>17</v>
      </c>
      <c r="D89" s="49">
        <v>23</v>
      </c>
      <c r="E89" s="49">
        <v>0</v>
      </c>
      <c r="F89" s="49">
        <v>0</v>
      </c>
      <c r="G89" s="49">
        <v>0</v>
      </c>
      <c r="H89" s="41">
        <f t="shared" si="2"/>
        <v>0</v>
      </c>
      <c r="I89" s="41">
        <f t="shared" si="3"/>
        <v>23</v>
      </c>
      <c r="J89" s="47"/>
    </row>
    <row r="90" spans="1:10" s="43" customFormat="1" x14ac:dyDescent="0.3">
      <c r="A90" s="48">
        <v>71</v>
      </c>
      <c r="B90" s="28" t="s">
        <v>349</v>
      </c>
      <c r="C90" s="48">
        <v>0</v>
      </c>
      <c r="D90" s="49">
        <v>0</v>
      </c>
      <c r="E90" s="49">
        <v>0</v>
      </c>
      <c r="F90" s="49">
        <v>0</v>
      </c>
      <c r="G90" s="49">
        <v>0</v>
      </c>
      <c r="H90" s="41">
        <f t="shared" si="2"/>
        <v>0</v>
      </c>
      <c r="I90" s="41">
        <f t="shared" si="3"/>
        <v>0</v>
      </c>
      <c r="J90" s="47"/>
    </row>
    <row r="91" spans="1:10" s="43" customFormat="1" x14ac:dyDescent="0.3">
      <c r="A91" s="48">
        <v>72</v>
      </c>
      <c r="B91" s="28" t="s">
        <v>350</v>
      </c>
      <c r="C91" s="48">
        <v>0</v>
      </c>
      <c r="D91" s="49">
        <v>0</v>
      </c>
      <c r="E91" s="49">
        <v>0</v>
      </c>
      <c r="F91" s="49">
        <v>0</v>
      </c>
      <c r="G91" s="49">
        <v>0</v>
      </c>
      <c r="H91" s="41">
        <f t="shared" si="2"/>
        <v>0</v>
      </c>
      <c r="I91" s="41">
        <f t="shared" si="3"/>
        <v>0</v>
      </c>
      <c r="J91" s="47"/>
    </row>
    <row r="92" spans="1:10" s="43" customFormat="1" x14ac:dyDescent="0.3">
      <c r="A92" s="48">
        <v>73</v>
      </c>
      <c r="B92" s="28" t="s">
        <v>351</v>
      </c>
      <c r="C92" s="48">
        <v>0</v>
      </c>
      <c r="D92" s="48">
        <v>0</v>
      </c>
      <c r="E92" s="48">
        <v>0</v>
      </c>
      <c r="F92" s="49">
        <v>0</v>
      </c>
      <c r="G92" s="49">
        <v>0</v>
      </c>
      <c r="H92" s="41">
        <f t="shared" si="2"/>
        <v>0</v>
      </c>
      <c r="I92" s="41">
        <f t="shared" si="3"/>
        <v>0</v>
      </c>
      <c r="J92" s="47" t="s">
        <v>56</v>
      </c>
    </row>
    <row r="93" spans="1:10" s="43" customFormat="1" x14ac:dyDescent="0.3">
      <c r="A93" s="48">
        <v>74</v>
      </c>
      <c r="B93" s="28" t="s">
        <v>352</v>
      </c>
      <c r="C93" s="48">
        <v>2</v>
      </c>
      <c r="D93" s="49">
        <v>16</v>
      </c>
      <c r="E93" s="49">
        <v>0</v>
      </c>
      <c r="F93" s="49">
        <v>0</v>
      </c>
      <c r="G93" s="49">
        <v>0</v>
      </c>
      <c r="H93" s="41">
        <f t="shared" si="2"/>
        <v>0</v>
      </c>
      <c r="I93" s="41">
        <f t="shared" si="3"/>
        <v>16</v>
      </c>
      <c r="J93" s="47"/>
    </row>
    <row r="94" spans="1:10" s="43" customFormat="1" x14ac:dyDescent="0.3">
      <c r="A94" s="48">
        <v>75</v>
      </c>
      <c r="B94" s="28" t="s">
        <v>353</v>
      </c>
      <c r="C94" s="48">
        <v>0</v>
      </c>
      <c r="D94" s="49">
        <v>1</v>
      </c>
      <c r="E94" s="49">
        <v>0</v>
      </c>
      <c r="F94" s="49">
        <v>0</v>
      </c>
      <c r="G94" s="49">
        <v>0</v>
      </c>
      <c r="H94" s="41">
        <f t="shared" si="2"/>
        <v>0</v>
      </c>
      <c r="I94" s="41">
        <f t="shared" si="3"/>
        <v>1</v>
      </c>
      <c r="J94" s="47"/>
    </row>
    <row r="95" spans="1:10" s="43" customFormat="1" x14ac:dyDescent="0.3">
      <c r="A95" s="48">
        <v>76</v>
      </c>
      <c r="B95" s="28" t="s">
        <v>354</v>
      </c>
      <c r="C95" s="48">
        <v>3</v>
      </c>
      <c r="D95" s="49">
        <v>6</v>
      </c>
      <c r="E95" s="49">
        <v>0</v>
      </c>
      <c r="F95" s="49">
        <v>0</v>
      </c>
      <c r="G95" s="49">
        <v>0</v>
      </c>
      <c r="H95" s="41">
        <f t="shared" si="2"/>
        <v>0</v>
      </c>
      <c r="I95" s="41">
        <f t="shared" si="3"/>
        <v>6</v>
      </c>
      <c r="J95" s="47"/>
    </row>
    <row r="96" spans="1:10" s="43" customFormat="1" x14ac:dyDescent="0.3">
      <c r="A96" s="48">
        <v>77</v>
      </c>
      <c r="B96" s="28" t="s">
        <v>355</v>
      </c>
      <c r="C96" s="48">
        <v>15</v>
      </c>
      <c r="D96" s="49">
        <v>19</v>
      </c>
      <c r="E96" s="49">
        <v>1</v>
      </c>
      <c r="F96" s="49">
        <v>0</v>
      </c>
      <c r="G96" s="49">
        <v>0</v>
      </c>
      <c r="H96" s="41">
        <f t="shared" si="2"/>
        <v>1</v>
      </c>
      <c r="I96" s="41">
        <f t="shared" si="3"/>
        <v>18</v>
      </c>
      <c r="J96" s="47" t="s">
        <v>77</v>
      </c>
    </row>
    <row r="97" spans="1:10" s="43" customFormat="1" x14ac:dyDescent="0.3">
      <c r="A97" s="48">
        <v>78</v>
      </c>
      <c r="B97" s="28" t="s">
        <v>356</v>
      </c>
      <c r="C97" s="48">
        <v>5</v>
      </c>
      <c r="D97" s="49">
        <v>22</v>
      </c>
      <c r="E97" s="49">
        <v>0</v>
      </c>
      <c r="F97" s="49">
        <v>0</v>
      </c>
      <c r="G97" s="49">
        <v>0</v>
      </c>
      <c r="H97" s="41">
        <f t="shared" si="2"/>
        <v>0</v>
      </c>
      <c r="I97" s="41">
        <f t="shared" si="3"/>
        <v>22</v>
      </c>
      <c r="J97" s="47"/>
    </row>
    <row r="98" spans="1:10" s="43" customFormat="1" x14ac:dyDescent="0.3">
      <c r="A98" s="48">
        <v>79</v>
      </c>
      <c r="B98" s="28" t="s">
        <v>357</v>
      </c>
      <c r="C98" s="48">
        <v>0</v>
      </c>
      <c r="D98" s="48">
        <v>0</v>
      </c>
      <c r="E98" s="48">
        <v>0</v>
      </c>
      <c r="F98" s="49">
        <v>0</v>
      </c>
      <c r="G98" s="49">
        <v>0</v>
      </c>
      <c r="H98" s="41">
        <f t="shared" si="2"/>
        <v>0</v>
      </c>
      <c r="I98" s="41">
        <f t="shared" si="3"/>
        <v>0</v>
      </c>
      <c r="J98" s="47"/>
    </row>
    <row r="99" spans="1:10" s="43" customFormat="1" x14ac:dyDescent="0.3">
      <c r="A99" s="48">
        <v>80</v>
      </c>
      <c r="B99" s="28" t="s">
        <v>358</v>
      </c>
      <c r="C99" s="48">
        <v>0</v>
      </c>
      <c r="D99" s="49">
        <v>4</v>
      </c>
      <c r="E99" s="49">
        <v>0</v>
      </c>
      <c r="F99" s="49">
        <v>0</v>
      </c>
      <c r="G99" s="49">
        <v>0</v>
      </c>
      <c r="H99" s="41">
        <f t="shared" si="2"/>
        <v>0</v>
      </c>
      <c r="I99" s="41">
        <f t="shared" si="3"/>
        <v>4</v>
      </c>
      <c r="J99" s="47"/>
    </row>
    <row r="100" spans="1:10" s="43" customFormat="1" ht="15.6" x14ac:dyDescent="0.3">
      <c r="A100" s="48">
        <v>81</v>
      </c>
      <c r="B100" s="28" t="s">
        <v>359</v>
      </c>
      <c r="C100" s="57">
        <v>0</v>
      </c>
      <c r="D100" s="49">
        <v>0</v>
      </c>
      <c r="E100" s="49">
        <v>0</v>
      </c>
      <c r="F100" s="49">
        <v>0</v>
      </c>
      <c r="G100" s="49">
        <v>0</v>
      </c>
      <c r="H100" s="41">
        <f t="shared" si="2"/>
        <v>0</v>
      </c>
      <c r="I100" s="41">
        <f t="shared" si="3"/>
        <v>0</v>
      </c>
      <c r="J100" s="47"/>
    </row>
    <row r="101" spans="1:10" s="43" customFormat="1" x14ac:dyDescent="0.3">
      <c r="A101" s="48">
        <v>82</v>
      </c>
      <c r="B101" s="28" t="s">
        <v>360</v>
      </c>
      <c r="C101" s="48">
        <v>0</v>
      </c>
      <c r="D101" s="49">
        <v>0</v>
      </c>
      <c r="E101" s="49">
        <v>0</v>
      </c>
      <c r="F101" s="49">
        <v>0</v>
      </c>
      <c r="G101" s="49">
        <v>0</v>
      </c>
      <c r="H101" s="41">
        <f t="shared" si="2"/>
        <v>0</v>
      </c>
      <c r="I101" s="41">
        <f t="shared" si="3"/>
        <v>0</v>
      </c>
      <c r="J101" s="47"/>
    </row>
    <row r="102" spans="1:10" s="43" customFormat="1" x14ac:dyDescent="0.3">
      <c r="A102" s="48">
        <v>83</v>
      </c>
      <c r="B102" s="28" t="s">
        <v>361</v>
      </c>
      <c r="C102" s="48">
        <v>0</v>
      </c>
      <c r="D102" s="49">
        <v>0</v>
      </c>
      <c r="E102" s="49">
        <v>0</v>
      </c>
      <c r="F102" s="49">
        <v>0</v>
      </c>
      <c r="G102" s="49">
        <v>0</v>
      </c>
      <c r="H102" s="41">
        <f t="shared" si="2"/>
        <v>0</v>
      </c>
      <c r="I102" s="41">
        <f t="shared" si="3"/>
        <v>0</v>
      </c>
      <c r="J102" s="47"/>
    </row>
    <row r="103" spans="1:10" s="43" customFormat="1" x14ac:dyDescent="0.3">
      <c r="A103" s="48">
        <v>84</v>
      </c>
      <c r="B103" s="28" t="s">
        <v>362</v>
      </c>
      <c r="C103" s="48">
        <v>0</v>
      </c>
      <c r="D103" s="49">
        <v>0</v>
      </c>
      <c r="E103" s="49">
        <v>0</v>
      </c>
      <c r="F103" s="49">
        <v>0</v>
      </c>
      <c r="G103" s="49">
        <v>0</v>
      </c>
      <c r="H103" s="41">
        <f t="shared" si="2"/>
        <v>0</v>
      </c>
      <c r="I103" s="41">
        <f t="shared" si="3"/>
        <v>0</v>
      </c>
      <c r="J103" s="47"/>
    </row>
    <row r="104" spans="1:10" s="43" customFormat="1" x14ac:dyDescent="0.3">
      <c r="A104" s="48">
        <v>85</v>
      </c>
      <c r="B104" s="28" t="s">
        <v>363</v>
      </c>
      <c r="C104" s="48">
        <v>5</v>
      </c>
      <c r="D104" s="49">
        <v>23</v>
      </c>
      <c r="E104" s="49">
        <v>0</v>
      </c>
      <c r="F104" s="49">
        <v>0</v>
      </c>
      <c r="G104" s="49">
        <v>0</v>
      </c>
      <c r="H104" s="41">
        <f t="shared" si="2"/>
        <v>0</v>
      </c>
      <c r="I104" s="41">
        <f t="shared" si="3"/>
        <v>23</v>
      </c>
      <c r="J104" s="47"/>
    </row>
    <row r="105" spans="1:10" s="43" customFormat="1" x14ac:dyDescent="0.3">
      <c r="A105" s="48">
        <v>86</v>
      </c>
      <c r="B105" s="28" t="s">
        <v>364</v>
      </c>
      <c r="C105" s="48">
        <v>1</v>
      </c>
      <c r="D105" s="49">
        <v>1</v>
      </c>
      <c r="E105" s="49">
        <v>0</v>
      </c>
      <c r="F105" s="49">
        <v>0</v>
      </c>
      <c r="G105" s="49">
        <v>0</v>
      </c>
      <c r="H105" s="41">
        <f t="shared" si="2"/>
        <v>0</v>
      </c>
      <c r="I105" s="41">
        <f t="shared" si="3"/>
        <v>1</v>
      </c>
      <c r="J105" s="47"/>
    </row>
    <row r="106" spans="1:10" s="43" customFormat="1" x14ac:dyDescent="0.3">
      <c r="A106" s="48">
        <v>87</v>
      </c>
      <c r="B106" s="28" t="s">
        <v>365</v>
      </c>
      <c r="C106" s="48">
        <v>0</v>
      </c>
      <c r="D106" s="49">
        <v>0</v>
      </c>
      <c r="E106" s="49">
        <v>0</v>
      </c>
      <c r="F106" s="49">
        <v>0</v>
      </c>
      <c r="G106" s="49">
        <v>0</v>
      </c>
      <c r="H106" s="41">
        <f t="shared" si="2"/>
        <v>0</v>
      </c>
      <c r="I106" s="41">
        <f t="shared" si="3"/>
        <v>0</v>
      </c>
      <c r="J106" s="47"/>
    </row>
    <row r="107" spans="1:10" s="43" customFormat="1" x14ac:dyDescent="0.3">
      <c r="A107" s="48">
        <v>88</v>
      </c>
      <c r="B107" s="28" t="s">
        <v>366</v>
      </c>
      <c r="C107" s="48">
        <v>0</v>
      </c>
      <c r="D107" s="49">
        <v>0</v>
      </c>
      <c r="E107" s="49">
        <v>0</v>
      </c>
      <c r="F107" s="49">
        <v>0</v>
      </c>
      <c r="G107" s="49">
        <v>0</v>
      </c>
      <c r="H107" s="41">
        <f t="shared" si="2"/>
        <v>0</v>
      </c>
      <c r="I107" s="41">
        <f t="shared" si="3"/>
        <v>0</v>
      </c>
      <c r="J107" s="47"/>
    </row>
    <row r="108" spans="1:10" s="43" customFormat="1" x14ac:dyDescent="0.3">
      <c r="A108" s="48">
        <v>89</v>
      </c>
      <c r="B108" s="28" t="s">
        <v>367</v>
      </c>
      <c r="C108" s="48">
        <v>0</v>
      </c>
      <c r="D108" s="49">
        <v>1</v>
      </c>
      <c r="E108" s="49">
        <v>0</v>
      </c>
      <c r="F108" s="49">
        <v>0</v>
      </c>
      <c r="G108" s="49">
        <v>0</v>
      </c>
      <c r="H108" s="41">
        <f t="shared" si="2"/>
        <v>0</v>
      </c>
      <c r="I108" s="41">
        <f t="shared" si="3"/>
        <v>1</v>
      </c>
      <c r="J108" s="47"/>
    </row>
    <row r="109" spans="1:10" s="43" customFormat="1" x14ac:dyDescent="0.3">
      <c r="A109" s="48">
        <v>90</v>
      </c>
      <c r="B109" s="28" t="s">
        <v>368</v>
      </c>
      <c r="C109" s="48">
        <v>3</v>
      </c>
      <c r="D109" s="49">
        <v>2</v>
      </c>
      <c r="E109" s="49">
        <v>0</v>
      </c>
      <c r="F109" s="49">
        <v>0</v>
      </c>
      <c r="G109" s="49">
        <v>0</v>
      </c>
      <c r="H109" s="41">
        <f t="shared" si="2"/>
        <v>0</v>
      </c>
      <c r="I109" s="41">
        <f t="shared" si="3"/>
        <v>2</v>
      </c>
      <c r="J109" s="47"/>
    </row>
    <row r="110" spans="1:10" s="43" customFormat="1" x14ac:dyDescent="0.3">
      <c r="A110" s="48">
        <v>91</v>
      </c>
      <c r="B110" s="28" t="s">
        <v>369</v>
      </c>
      <c r="C110" s="48">
        <v>0</v>
      </c>
      <c r="D110" s="48">
        <v>0</v>
      </c>
      <c r="E110" s="49">
        <v>0</v>
      </c>
      <c r="F110" s="49">
        <v>0</v>
      </c>
      <c r="G110" s="49">
        <v>0</v>
      </c>
      <c r="H110" s="41">
        <f t="shared" si="2"/>
        <v>0</v>
      </c>
      <c r="I110" s="41">
        <f t="shared" si="3"/>
        <v>0</v>
      </c>
      <c r="J110" s="47"/>
    </row>
    <row r="111" spans="1:10" s="43" customFormat="1" x14ac:dyDescent="0.3">
      <c r="A111" s="48">
        <v>92</v>
      </c>
      <c r="B111" s="28" t="s">
        <v>370</v>
      </c>
      <c r="C111" s="48">
        <v>0</v>
      </c>
      <c r="D111" s="49">
        <v>0</v>
      </c>
      <c r="E111" s="49">
        <v>0</v>
      </c>
      <c r="F111" s="49">
        <v>0</v>
      </c>
      <c r="G111" s="49">
        <v>0</v>
      </c>
      <c r="H111" s="41">
        <f t="shared" si="2"/>
        <v>0</v>
      </c>
      <c r="I111" s="41">
        <f t="shared" si="3"/>
        <v>0</v>
      </c>
      <c r="J111" s="47"/>
    </row>
    <row r="112" spans="1:10" s="43" customFormat="1" x14ac:dyDescent="0.3">
      <c r="A112" s="48">
        <v>93</v>
      </c>
      <c r="B112" s="28" t="s">
        <v>371</v>
      </c>
      <c r="C112" s="48">
        <v>0</v>
      </c>
      <c r="D112" s="48">
        <v>0</v>
      </c>
      <c r="E112" s="49">
        <v>0</v>
      </c>
      <c r="F112" s="49">
        <v>0</v>
      </c>
      <c r="G112" s="49">
        <v>0</v>
      </c>
      <c r="H112" s="41">
        <f t="shared" si="2"/>
        <v>0</v>
      </c>
      <c r="I112" s="41">
        <f t="shared" si="3"/>
        <v>0</v>
      </c>
      <c r="J112" s="47"/>
    </row>
    <row r="113" spans="1:10" s="43" customFormat="1" x14ac:dyDescent="0.3">
      <c r="A113" s="48">
        <v>94</v>
      </c>
      <c r="B113" s="28" t="s">
        <v>372</v>
      </c>
      <c r="C113" s="48">
        <v>0</v>
      </c>
      <c r="D113" s="49">
        <v>0</v>
      </c>
      <c r="E113" s="49">
        <v>0</v>
      </c>
      <c r="F113" s="49">
        <v>0</v>
      </c>
      <c r="G113" s="49">
        <v>0</v>
      </c>
      <c r="H113" s="41">
        <f t="shared" si="2"/>
        <v>0</v>
      </c>
      <c r="I113" s="41">
        <f t="shared" si="3"/>
        <v>0</v>
      </c>
      <c r="J113" s="47"/>
    </row>
    <row r="114" spans="1:10" s="43" customFormat="1" ht="33" customHeight="1" x14ac:dyDescent="0.3">
      <c r="A114" s="48">
        <v>95</v>
      </c>
      <c r="B114" s="28" t="s">
        <v>373</v>
      </c>
      <c r="C114" s="48">
        <v>0</v>
      </c>
      <c r="D114" s="49">
        <v>0</v>
      </c>
      <c r="E114" s="49">
        <v>0</v>
      </c>
      <c r="F114" s="49">
        <v>0</v>
      </c>
      <c r="G114" s="49">
        <v>0</v>
      </c>
      <c r="H114" s="41">
        <f t="shared" si="2"/>
        <v>0</v>
      </c>
      <c r="I114" s="41">
        <f t="shared" si="3"/>
        <v>0</v>
      </c>
      <c r="J114" s="47"/>
    </row>
    <row r="115" spans="1:10" s="43" customFormat="1" x14ac:dyDescent="0.3">
      <c r="A115" s="48">
        <v>96</v>
      </c>
      <c r="B115" s="28" t="s">
        <v>374</v>
      </c>
      <c r="C115" s="48">
        <v>0</v>
      </c>
      <c r="D115" s="48">
        <v>0</v>
      </c>
      <c r="E115" s="49">
        <v>0</v>
      </c>
      <c r="F115" s="49">
        <v>0</v>
      </c>
      <c r="G115" s="49">
        <v>0</v>
      </c>
      <c r="H115" s="41">
        <f t="shared" si="2"/>
        <v>0</v>
      </c>
      <c r="I115" s="41">
        <f t="shared" si="3"/>
        <v>0</v>
      </c>
      <c r="J115" s="47"/>
    </row>
    <row r="116" spans="1:10" s="43" customFormat="1" x14ac:dyDescent="0.3">
      <c r="A116" s="48">
        <v>97</v>
      </c>
      <c r="B116" s="28" t="s">
        <v>375</v>
      </c>
      <c r="C116" s="48">
        <v>7</v>
      </c>
      <c r="D116" s="49">
        <v>19</v>
      </c>
      <c r="E116" s="49">
        <v>0</v>
      </c>
      <c r="F116" s="49">
        <v>0</v>
      </c>
      <c r="G116" s="49">
        <v>0</v>
      </c>
      <c r="H116" s="41">
        <f t="shared" si="2"/>
        <v>0</v>
      </c>
      <c r="I116" s="41">
        <f t="shared" si="3"/>
        <v>19</v>
      </c>
      <c r="J116" s="47"/>
    </row>
    <row r="117" spans="1:10" s="43" customFormat="1" x14ac:dyDescent="0.3">
      <c r="A117" s="48">
        <v>98</v>
      </c>
      <c r="B117" s="28" t="s">
        <v>376</v>
      </c>
      <c r="C117" s="48">
        <v>10</v>
      </c>
      <c r="D117" s="49">
        <v>39</v>
      </c>
      <c r="E117" s="49">
        <v>0</v>
      </c>
      <c r="F117" s="49">
        <v>0</v>
      </c>
      <c r="G117" s="49">
        <v>0</v>
      </c>
      <c r="H117" s="41">
        <f t="shared" si="2"/>
        <v>0</v>
      </c>
      <c r="I117" s="41">
        <f t="shared" si="3"/>
        <v>39</v>
      </c>
      <c r="J117" s="47"/>
    </row>
    <row r="118" spans="1:10" s="43" customFormat="1" x14ac:dyDescent="0.3">
      <c r="A118" s="48">
        <v>99</v>
      </c>
      <c r="B118" s="28" t="s">
        <v>377</v>
      </c>
      <c r="C118" s="48">
        <v>0</v>
      </c>
      <c r="D118" s="49">
        <v>0</v>
      </c>
      <c r="E118" s="49">
        <v>0</v>
      </c>
      <c r="F118" s="49">
        <v>0</v>
      </c>
      <c r="G118" s="49">
        <v>0</v>
      </c>
      <c r="H118" s="41">
        <f t="shared" si="2"/>
        <v>0</v>
      </c>
      <c r="I118" s="41">
        <f t="shared" si="3"/>
        <v>0</v>
      </c>
      <c r="J118" s="47"/>
    </row>
    <row r="119" spans="1:10" s="43" customFormat="1" x14ac:dyDescent="0.3">
      <c r="A119" s="48">
        <v>100</v>
      </c>
      <c r="B119" s="28" t="s">
        <v>378</v>
      </c>
      <c r="C119" s="48">
        <v>0</v>
      </c>
      <c r="D119" s="48">
        <v>0</v>
      </c>
      <c r="E119" s="49">
        <v>0</v>
      </c>
      <c r="F119" s="49">
        <v>0</v>
      </c>
      <c r="G119" s="49">
        <v>0</v>
      </c>
      <c r="H119" s="41">
        <f t="shared" si="2"/>
        <v>0</v>
      </c>
      <c r="I119" s="41">
        <f t="shared" si="3"/>
        <v>0</v>
      </c>
      <c r="J119" s="47"/>
    </row>
    <row r="120" spans="1:10" s="43" customFormat="1" x14ac:dyDescent="0.3">
      <c r="A120" s="48">
        <v>101</v>
      </c>
      <c r="B120" s="28" t="s">
        <v>379</v>
      </c>
      <c r="C120" s="48">
        <v>8</v>
      </c>
      <c r="D120" s="49">
        <v>68</v>
      </c>
      <c r="E120" s="49">
        <v>0</v>
      </c>
      <c r="F120" s="49">
        <v>0</v>
      </c>
      <c r="G120" s="49">
        <v>0</v>
      </c>
      <c r="H120" s="41">
        <f t="shared" si="2"/>
        <v>0</v>
      </c>
      <c r="I120" s="41">
        <f t="shared" si="3"/>
        <v>68</v>
      </c>
      <c r="J120" s="47"/>
    </row>
    <row r="121" spans="1:10" s="43" customFormat="1" x14ac:dyDescent="0.3">
      <c r="A121" s="48">
        <v>102</v>
      </c>
      <c r="B121" s="28" t="s">
        <v>380</v>
      </c>
      <c r="C121" s="48">
        <v>0</v>
      </c>
      <c r="D121" s="48">
        <v>0</v>
      </c>
      <c r="E121" s="49">
        <v>0</v>
      </c>
      <c r="F121" s="49">
        <v>0</v>
      </c>
      <c r="G121" s="49">
        <v>0</v>
      </c>
      <c r="H121" s="41">
        <f t="shared" si="2"/>
        <v>0</v>
      </c>
      <c r="I121" s="41">
        <f t="shared" si="3"/>
        <v>0</v>
      </c>
      <c r="J121" s="47"/>
    </row>
    <row r="122" spans="1:10" s="43" customFormat="1" x14ac:dyDescent="0.3">
      <c r="A122" s="48">
        <v>103</v>
      </c>
      <c r="B122" s="28" t="s">
        <v>381</v>
      </c>
      <c r="C122" s="48">
        <v>0</v>
      </c>
      <c r="D122" s="49">
        <v>0</v>
      </c>
      <c r="E122" s="49">
        <v>0</v>
      </c>
      <c r="F122" s="49">
        <v>0</v>
      </c>
      <c r="G122" s="49">
        <v>0</v>
      </c>
      <c r="H122" s="41">
        <f t="shared" si="2"/>
        <v>0</v>
      </c>
      <c r="I122" s="41">
        <f t="shared" si="3"/>
        <v>0</v>
      </c>
      <c r="J122" s="47"/>
    </row>
    <row r="123" spans="1:10" s="43" customFormat="1" x14ac:dyDescent="0.3">
      <c r="A123" s="48">
        <v>104</v>
      </c>
      <c r="B123" s="28" t="s">
        <v>382</v>
      </c>
      <c r="C123" s="48">
        <v>0</v>
      </c>
      <c r="D123" s="49">
        <v>0</v>
      </c>
      <c r="E123" s="49">
        <v>0</v>
      </c>
      <c r="F123" s="49">
        <v>0</v>
      </c>
      <c r="G123" s="49">
        <v>0</v>
      </c>
      <c r="H123" s="41">
        <f t="shared" si="2"/>
        <v>0</v>
      </c>
      <c r="I123" s="41">
        <f t="shared" si="3"/>
        <v>0</v>
      </c>
      <c r="J123" s="47"/>
    </row>
    <row r="124" spans="1:10" s="43" customFormat="1" x14ac:dyDescent="0.3">
      <c r="A124" s="44">
        <v>105</v>
      </c>
      <c r="B124" s="28" t="s">
        <v>383</v>
      </c>
      <c r="C124" s="44">
        <v>0</v>
      </c>
      <c r="D124" s="46">
        <v>0</v>
      </c>
      <c r="E124" s="46">
        <v>0</v>
      </c>
      <c r="F124" s="46">
        <v>0</v>
      </c>
      <c r="G124" s="46">
        <v>0</v>
      </c>
      <c r="H124" s="41">
        <f t="shared" si="2"/>
        <v>0</v>
      </c>
      <c r="I124" s="41">
        <f t="shared" si="3"/>
        <v>0</v>
      </c>
      <c r="J124" s="47"/>
    </row>
    <row r="125" spans="1:10" s="43" customFormat="1" x14ac:dyDescent="0.3">
      <c r="A125" s="48">
        <v>106</v>
      </c>
      <c r="B125" s="28" t="s">
        <v>384</v>
      </c>
      <c r="C125" s="48">
        <v>2</v>
      </c>
      <c r="D125" s="49">
        <v>2</v>
      </c>
      <c r="E125" s="49">
        <v>0</v>
      </c>
      <c r="F125" s="49">
        <v>0</v>
      </c>
      <c r="G125" s="49">
        <v>0</v>
      </c>
      <c r="H125" s="41">
        <f t="shared" si="2"/>
        <v>0</v>
      </c>
      <c r="I125" s="41">
        <f t="shared" si="3"/>
        <v>2</v>
      </c>
      <c r="J125" s="47"/>
    </row>
    <row r="126" spans="1:10" s="43" customFormat="1" x14ac:dyDescent="0.3">
      <c r="A126" s="48">
        <v>107</v>
      </c>
      <c r="B126" s="28" t="s">
        <v>385</v>
      </c>
      <c r="C126" s="48">
        <v>0</v>
      </c>
      <c r="D126" s="49">
        <v>1</v>
      </c>
      <c r="E126" s="49">
        <v>0</v>
      </c>
      <c r="F126" s="49">
        <v>0</v>
      </c>
      <c r="G126" s="49">
        <v>1</v>
      </c>
      <c r="H126" s="41">
        <f t="shared" si="2"/>
        <v>1</v>
      </c>
      <c r="I126" s="41">
        <f t="shared" si="3"/>
        <v>0</v>
      </c>
      <c r="J126" s="47" t="s">
        <v>56</v>
      </c>
    </row>
  </sheetData>
  <dataConsolidate>
    <dataRefs count="7">
      <dataRef ref="C8:I126" sheet="409C" r:id="rId1"/>
      <dataRef ref="C8:I126" sheet="4C" r:id="rId2"/>
      <dataRef ref="C8:I126" sheet="537C" r:id="rId3"/>
      <dataRef ref="C8:I126" sheet="605C" r:id="rId4"/>
      <dataRef ref="C8:I126" sheet="621C" r:id="rId5"/>
      <dataRef ref="C8:I126" sheet="671C" r:id="rId6"/>
      <dataRef ref="C8:I126" sheet="7004C" r:id="rId7"/>
    </dataRefs>
  </dataConsolidate>
  <mergeCells count="2">
    <mergeCell ref="A1:J1"/>
    <mergeCell ref="A2:J2"/>
  </mergeCells>
  <phoneticPr fontId="19" type="noConversion"/>
  <pageMargins left="0.7" right="0.7" top="0.75" bottom="0.75" header="0.3" footer="0.3"/>
  <pageSetup paperSize="9" orientation="portrait" horizontalDpi="0" verticalDpi="0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4"/>
  <sheetViews>
    <sheetView view="pageBreakPreview" zoomScale="85" zoomScaleNormal="85" zoomScaleSheetLayoutView="85" workbookViewId="0">
      <selection activeCell="C8" sqref="C8:D8"/>
    </sheetView>
  </sheetViews>
  <sheetFormatPr defaultRowHeight="14.4" x14ac:dyDescent="0.3"/>
  <cols>
    <col min="1" max="1" width="5.88671875" bestFit="1" customWidth="1"/>
    <col min="2" max="2" width="32.109375" bestFit="1" customWidth="1"/>
    <col min="3" max="3" width="10.5546875" bestFit="1" customWidth="1"/>
    <col min="4" max="4" width="10.88671875" bestFit="1" customWidth="1"/>
    <col min="5" max="5" width="5.44140625" bestFit="1" customWidth="1"/>
    <col min="6" max="6" width="6.44140625" bestFit="1" customWidth="1"/>
    <col min="7" max="7" width="9.33203125" bestFit="1" customWidth="1"/>
    <col min="8" max="8" width="6" bestFit="1" customWidth="1"/>
    <col min="9" max="9" width="4.88671875" bestFit="1" customWidth="1"/>
    <col min="10" max="10" width="4.33203125" bestFit="1" customWidth="1"/>
    <col min="11" max="11" width="4.88671875" bestFit="1" customWidth="1"/>
    <col min="12" max="12" width="5.6640625" bestFit="1" customWidth="1"/>
    <col min="13" max="13" width="12.5546875" customWidth="1"/>
    <col min="14" max="14" width="8.44140625" bestFit="1" customWidth="1"/>
    <col min="15" max="15" width="6.6640625" bestFit="1" customWidth="1"/>
    <col min="16" max="16" width="9.33203125" bestFit="1" customWidth="1"/>
    <col min="17" max="17" width="8" bestFit="1" customWidth="1"/>
    <col min="18" max="19" width="10.5546875" bestFit="1" customWidth="1"/>
    <col min="20" max="20" width="52" customWidth="1"/>
  </cols>
  <sheetData>
    <row r="1" spans="1:20" ht="26.25" customHeight="1" x14ac:dyDescent="0.3">
      <c r="A1" s="230" t="s">
        <v>142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</row>
    <row r="2" spans="1:20" ht="15.6" x14ac:dyDescent="0.3">
      <c r="A2" s="231" t="s">
        <v>128</v>
      </c>
      <c r="B2" s="231" t="s">
        <v>47</v>
      </c>
      <c r="C2" s="224" t="s">
        <v>2</v>
      </c>
      <c r="D2" s="226"/>
      <c r="E2" s="231" t="s">
        <v>3</v>
      </c>
      <c r="F2" s="231"/>
      <c r="G2" s="231"/>
      <c r="H2" s="231"/>
      <c r="I2" s="231"/>
      <c r="J2" s="231"/>
      <c r="K2" s="231"/>
      <c r="L2" s="231"/>
      <c r="M2" s="232" t="s">
        <v>78</v>
      </c>
      <c r="N2" s="232" t="s">
        <v>113</v>
      </c>
      <c r="O2" s="232" t="s">
        <v>4</v>
      </c>
      <c r="P2" s="231" t="s">
        <v>79</v>
      </c>
      <c r="Q2" s="231" t="s">
        <v>80</v>
      </c>
      <c r="R2" s="231" t="s">
        <v>81</v>
      </c>
      <c r="S2" s="231" t="s">
        <v>82</v>
      </c>
      <c r="T2" s="231" t="s">
        <v>107</v>
      </c>
    </row>
    <row r="3" spans="1:20" ht="31.2" x14ac:dyDescent="0.3">
      <c r="A3" s="231"/>
      <c r="B3" s="231"/>
      <c r="C3" s="68" t="s">
        <v>51</v>
      </c>
      <c r="D3" s="68" t="s">
        <v>52</v>
      </c>
      <c r="E3" s="35" t="s">
        <v>83</v>
      </c>
      <c r="F3" s="35" t="s">
        <v>8</v>
      </c>
      <c r="G3" s="35" t="s">
        <v>84</v>
      </c>
      <c r="H3" s="35" t="s">
        <v>9</v>
      </c>
      <c r="I3" s="35" t="s">
        <v>85</v>
      </c>
      <c r="J3" s="35" t="s">
        <v>86</v>
      </c>
      <c r="K3" s="35" t="s">
        <v>10</v>
      </c>
      <c r="L3" s="35" t="s">
        <v>87</v>
      </c>
      <c r="M3" s="233"/>
      <c r="N3" s="233"/>
      <c r="O3" s="233"/>
      <c r="P3" s="231"/>
      <c r="Q3" s="231"/>
      <c r="R3" s="231"/>
      <c r="S3" s="231"/>
      <c r="T3" s="234"/>
    </row>
    <row r="4" spans="1:20" ht="15.6" x14ac:dyDescent="0.3">
      <c r="A4" s="35" t="s">
        <v>12</v>
      </c>
      <c r="B4" s="35" t="s">
        <v>13</v>
      </c>
      <c r="C4" s="35" t="s">
        <v>14</v>
      </c>
      <c r="D4" s="35" t="s">
        <v>15</v>
      </c>
      <c r="E4" s="35" t="s">
        <v>16</v>
      </c>
      <c r="F4" s="35" t="s">
        <v>17</v>
      </c>
      <c r="G4" s="35" t="s">
        <v>18</v>
      </c>
      <c r="H4" s="35" t="s">
        <v>19</v>
      </c>
      <c r="I4" s="35" t="s">
        <v>20</v>
      </c>
      <c r="J4" s="35" t="s">
        <v>21</v>
      </c>
      <c r="K4" s="35" t="s">
        <v>88</v>
      </c>
      <c r="L4" s="35" t="s">
        <v>89</v>
      </c>
      <c r="M4" s="35" t="s">
        <v>90</v>
      </c>
      <c r="N4" s="35" t="s">
        <v>91</v>
      </c>
      <c r="O4" s="35" t="s">
        <v>92</v>
      </c>
      <c r="P4" s="35" t="s">
        <v>93</v>
      </c>
      <c r="Q4" s="35" t="s">
        <v>94</v>
      </c>
      <c r="R4" s="35" t="s">
        <v>95</v>
      </c>
      <c r="S4" s="35" t="s">
        <v>96</v>
      </c>
      <c r="T4" s="35" t="s">
        <v>97</v>
      </c>
    </row>
    <row r="5" spans="1:20" ht="15" customHeight="1" x14ac:dyDescent="0.3">
      <c r="A5" s="227" t="s">
        <v>130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9"/>
    </row>
    <row r="6" spans="1:20" ht="32.25" customHeight="1" x14ac:dyDescent="0.3">
      <c r="A6" s="40">
        <v>1</v>
      </c>
      <c r="B6" s="172" t="s">
        <v>389</v>
      </c>
      <c r="C6" s="161">
        <v>90</v>
      </c>
      <c r="D6" s="170">
        <v>91</v>
      </c>
      <c r="E6" s="170">
        <v>0</v>
      </c>
      <c r="F6" s="170">
        <v>0</v>
      </c>
      <c r="G6" s="170">
        <v>0</v>
      </c>
      <c r="H6" s="170">
        <v>3</v>
      </c>
      <c r="I6" s="170">
        <v>0</v>
      </c>
      <c r="J6" s="170">
        <v>0</v>
      </c>
      <c r="K6" s="170">
        <v>0</v>
      </c>
      <c r="L6" s="170">
        <v>0</v>
      </c>
      <c r="M6" s="63">
        <v>3</v>
      </c>
      <c r="N6" s="63">
        <v>0</v>
      </c>
      <c r="O6" s="63">
        <v>88</v>
      </c>
      <c r="P6" s="159">
        <f t="shared" ref="P6:P23" si="0">IF(D6=0,"-",(M6/D6))</f>
        <v>3.2967032967032968E-2</v>
      </c>
      <c r="Q6" s="159">
        <f t="shared" ref="Q6:Q23" si="1">IF(D6=0,"-",(N6/D6))</f>
        <v>0</v>
      </c>
      <c r="R6" s="159">
        <f t="shared" ref="R6:R23" si="2">IF(D6=0,"-",(O6/D6))</f>
        <v>0.96703296703296704</v>
      </c>
      <c r="S6" s="159">
        <f t="shared" ref="S6:S23" si="3">IF(D6=0,"-",(Q6+R6))</f>
        <v>0.96703296703296704</v>
      </c>
      <c r="T6" s="171" t="s">
        <v>408</v>
      </c>
    </row>
    <row r="7" spans="1:20" ht="63.75" customHeight="1" x14ac:dyDescent="0.3">
      <c r="A7" s="40">
        <v>2</v>
      </c>
      <c r="B7" s="172" t="s">
        <v>390</v>
      </c>
      <c r="C7" s="161">
        <v>54</v>
      </c>
      <c r="D7" s="161">
        <v>54</v>
      </c>
      <c r="E7" s="170">
        <v>0</v>
      </c>
      <c r="F7" s="170">
        <v>0</v>
      </c>
      <c r="G7" s="170">
        <v>0</v>
      </c>
      <c r="H7" s="161">
        <v>4</v>
      </c>
      <c r="I7" s="170">
        <v>0</v>
      </c>
      <c r="J7" s="170">
        <v>0</v>
      </c>
      <c r="K7" s="170">
        <v>0</v>
      </c>
      <c r="L7" s="170">
        <v>0</v>
      </c>
      <c r="M7" s="63">
        <v>4</v>
      </c>
      <c r="N7" s="63">
        <v>0</v>
      </c>
      <c r="O7" s="63">
        <v>50</v>
      </c>
      <c r="P7" s="159">
        <f t="shared" si="0"/>
        <v>7.407407407407407E-2</v>
      </c>
      <c r="Q7" s="159">
        <f t="shared" si="1"/>
        <v>0</v>
      </c>
      <c r="R7" s="159">
        <f t="shared" si="2"/>
        <v>0.92592592592592593</v>
      </c>
      <c r="S7" s="159">
        <f t="shared" si="3"/>
        <v>0.92592592592592593</v>
      </c>
      <c r="T7" s="166" t="s">
        <v>409</v>
      </c>
    </row>
    <row r="8" spans="1:20" ht="225" x14ac:dyDescent="0.3">
      <c r="A8" s="40">
        <v>3</v>
      </c>
      <c r="B8" s="172" t="s">
        <v>391</v>
      </c>
      <c r="C8" s="161">
        <v>54</v>
      </c>
      <c r="D8" s="174">
        <v>55</v>
      </c>
      <c r="E8" s="170">
        <v>0</v>
      </c>
      <c r="F8" s="170">
        <v>0</v>
      </c>
      <c r="G8" s="170">
        <v>0</v>
      </c>
      <c r="H8" s="161">
        <v>6</v>
      </c>
      <c r="I8" s="170">
        <v>0</v>
      </c>
      <c r="J8" s="170">
        <v>0</v>
      </c>
      <c r="K8" s="170">
        <v>0</v>
      </c>
      <c r="L8" s="170">
        <v>0</v>
      </c>
      <c r="M8" s="63">
        <v>6</v>
      </c>
      <c r="N8" s="63">
        <v>0</v>
      </c>
      <c r="O8" s="63">
        <v>49</v>
      </c>
      <c r="P8" s="159">
        <f t="shared" si="0"/>
        <v>0.10909090909090909</v>
      </c>
      <c r="Q8" s="159">
        <f t="shared" si="1"/>
        <v>0</v>
      </c>
      <c r="R8" s="159">
        <f t="shared" si="2"/>
        <v>0.89090909090909087</v>
      </c>
      <c r="S8" s="159">
        <f t="shared" si="3"/>
        <v>0.89090909090909087</v>
      </c>
      <c r="T8" s="162" t="s">
        <v>410</v>
      </c>
    </row>
    <row r="9" spans="1:20" ht="15" x14ac:dyDescent="0.3">
      <c r="A9" s="40">
        <v>4</v>
      </c>
      <c r="B9" s="172" t="s">
        <v>392</v>
      </c>
      <c r="C9" s="161">
        <v>0</v>
      </c>
      <c r="D9" s="161">
        <v>0</v>
      </c>
      <c r="E9" s="170">
        <v>0</v>
      </c>
      <c r="F9" s="170">
        <v>0</v>
      </c>
      <c r="G9" s="170">
        <v>0</v>
      </c>
      <c r="H9" s="161">
        <v>0</v>
      </c>
      <c r="I9" s="170">
        <v>0</v>
      </c>
      <c r="J9" s="170">
        <v>0</v>
      </c>
      <c r="K9" s="170">
        <v>0</v>
      </c>
      <c r="L9" s="170">
        <v>0</v>
      </c>
      <c r="M9" s="63">
        <v>0</v>
      </c>
      <c r="N9" s="63">
        <v>0</v>
      </c>
      <c r="O9" s="63">
        <v>0</v>
      </c>
      <c r="P9" s="159" t="str">
        <f t="shared" si="0"/>
        <v>-</v>
      </c>
      <c r="Q9" s="159" t="str">
        <f t="shared" si="1"/>
        <v>-</v>
      </c>
      <c r="R9" s="159" t="str">
        <f t="shared" si="2"/>
        <v>-</v>
      </c>
      <c r="S9" s="159" t="str">
        <f t="shared" si="3"/>
        <v>-</v>
      </c>
      <c r="T9" s="22"/>
    </row>
    <row r="10" spans="1:20" ht="15" x14ac:dyDescent="0.3">
      <c r="A10" s="40">
        <v>5</v>
      </c>
      <c r="B10" s="172" t="s">
        <v>393</v>
      </c>
      <c r="C10" s="161">
        <v>0</v>
      </c>
      <c r="D10" s="161">
        <v>0</v>
      </c>
      <c r="E10" s="170">
        <v>0</v>
      </c>
      <c r="F10" s="170">
        <v>0</v>
      </c>
      <c r="G10" s="170">
        <v>0</v>
      </c>
      <c r="H10" s="161">
        <v>0</v>
      </c>
      <c r="I10" s="170">
        <v>0</v>
      </c>
      <c r="J10" s="170">
        <v>0</v>
      </c>
      <c r="K10" s="170">
        <v>0</v>
      </c>
      <c r="L10" s="170">
        <v>0</v>
      </c>
      <c r="M10" s="63">
        <v>0</v>
      </c>
      <c r="N10" s="63">
        <v>0</v>
      </c>
      <c r="O10" s="63">
        <v>0</v>
      </c>
      <c r="P10" s="159" t="str">
        <f t="shared" si="0"/>
        <v>-</v>
      </c>
      <c r="Q10" s="159" t="str">
        <f t="shared" si="1"/>
        <v>-</v>
      </c>
      <c r="R10" s="159" t="str">
        <f t="shared" si="2"/>
        <v>-</v>
      </c>
      <c r="S10" s="159" t="str">
        <f t="shared" si="3"/>
        <v>-</v>
      </c>
      <c r="T10" s="22"/>
    </row>
    <row r="11" spans="1:20" ht="15" x14ac:dyDescent="0.3">
      <c r="A11" s="40">
        <v>6</v>
      </c>
      <c r="B11" s="172" t="s">
        <v>394</v>
      </c>
      <c r="C11" s="161">
        <v>0</v>
      </c>
      <c r="D11" s="161">
        <v>0</v>
      </c>
      <c r="E11" s="170">
        <v>0</v>
      </c>
      <c r="F11" s="170">
        <v>0</v>
      </c>
      <c r="G11" s="170">
        <v>0</v>
      </c>
      <c r="H11" s="161">
        <v>0</v>
      </c>
      <c r="I11" s="170">
        <v>0</v>
      </c>
      <c r="J11" s="170">
        <v>0</v>
      </c>
      <c r="K11" s="170">
        <v>0</v>
      </c>
      <c r="L11" s="170">
        <v>0</v>
      </c>
      <c r="M11" s="63">
        <v>0</v>
      </c>
      <c r="N11" s="63">
        <v>0</v>
      </c>
      <c r="O11" s="63">
        <v>0</v>
      </c>
      <c r="P11" s="159" t="str">
        <f t="shared" si="0"/>
        <v>-</v>
      </c>
      <c r="Q11" s="159" t="str">
        <f t="shared" si="1"/>
        <v>-</v>
      </c>
      <c r="R11" s="159" t="str">
        <f t="shared" si="2"/>
        <v>-</v>
      </c>
      <c r="S11" s="159" t="str">
        <f t="shared" si="3"/>
        <v>-</v>
      </c>
      <c r="T11" s="22"/>
    </row>
    <row r="12" spans="1:20" ht="15" x14ac:dyDescent="0.3">
      <c r="A12" s="40">
        <v>7</v>
      </c>
      <c r="B12" s="172" t="s">
        <v>395</v>
      </c>
      <c r="C12" s="161">
        <v>0</v>
      </c>
      <c r="D12" s="161">
        <v>0</v>
      </c>
      <c r="E12" s="170">
        <v>0</v>
      </c>
      <c r="F12" s="170">
        <v>0</v>
      </c>
      <c r="G12" s="170">
        <v>0</v>
      </c>
      <c r="H12" s="161">
        <v>0</v>
      </c>
      <c r="I12" s="170">
        <v>0</v>
      </c>
      <c r="J12" s="170">
        <v>0</v>
      </c>
      <c r="K12" s="170">
        <v>0</v>
      </c>
      <c r="L12" s="170">
        <v>0</v>
      </c>
      <c r="M12" s="63">
        <v>0</v>
      </c>
      <c r="N12" s="63">
        <v>0</v>
      </c>
      <c r="O12" s="63">
        <v>0</v>
      </c>
      <c r="P12" s="159" t="str">
        <f t="shared" si="0"/>
        <v>-</v>
      </c>
      <c r="Q12" s="159" t="str">
        <f t="shared" si="1"/>
        <v>-</v>
      </c>
      <c r="R12" s="159" t="str">
        <f t="shared" si="2"/>
        <v>-</v>
      </c>
      <c r="S12" s="159" t="str">
        <f t="shared" si="3"/>
        <v>-</v>
      </c>
      <c r="T12" s="22"/>
    </row>
    <row r="13" spans="1:20" ht="15" x14ac:dyDescent="0.3">
      <c r="A13" s="40">
        <v>8</v>
      </c>
      <c r="B13" s="172" t="s">
        <v>396</v>
      </c>
      <c r="C13" s="161">
        <v>0</v>
      </c>
      <c r="D13" s="161">
        <v>0</v>
      </c>
      <c r="E13" s="170">
        <v>0</v>
      </c>
      <c r="F13" s="170">
        <v>0</v>
      </c>
      <c r="G13" s="170">
        <v>0</v>
      </c>
      <c r="H13" s="161">
        <v>0</v>
      </c>
      <c r="I13" s="170">
        <v>0</v>
      </c>
      <c r="J13" s="170">
        <v>0</v>
      </c>
      <c r="K13" s="170">
        <v>0</v>
      </c>
      <c r="L13" s="170">
        <v>0</v>
      </c>
      <c r="M13" s="63">
        <v>0</v>
      </c>
      <c r="N13" s="63">
        <v>0</v>
      </c>
      <c r="O13" s="63">
        <v>0</v>
      </c>
      <c r="P13" s="159" t="str">
        <f t="shared" si="0"/>
        <v>-</v>
      </c>
      <c r="Q13" s="159" t="str">
        <f t="shared" si="1"/>
        <v>-</v>
      </c>
      <c r="R13" s="159" t="str">
        <f t="shared" si="2"/>
        <v>-</v>
      </c>
      <c r="S13" s="159" t="str">
        <f t="shared" si="3"/>
        <v>-</v>
      </c>
      <c r="T13" s="22"/>
    </row>
    <row r="14" spans="1:20" ht="15.6" x14ac:dyDescent="0.3">
      <c r="A14" s="40">
        <v>9</v>
      </c>
      <c r="B14" s="172" t="s">
        <v>397</v>
      </c>
      <c r="C14" s="161">
        <v>24</v>
      </c>
      <c r="D14" s="161">
        <v>24</v>
      </c>
      <c r="E14" s="170">
        <v>0</v>
      </c>
      <c r="F14" s="170">
        <v>0</v>
      </c>
      <c r="G14" s="170">
        <v>0</v>
      </c>
      <c r="H14" s="161">
        <v>0</v>
      </c>
      <c r="I14" s="170">
        <v>0</v>
      </c>
      <c r="J14" s="170">
        <v>0</v>
      </c>
      <c r="K14" s="170">
        <v>0</v>
      </c>
      <c r="L14" s="170">
        <v>0</v>
      </c>
      <c r="M14" s="63">
        <v>0</v>
      </c>
      <c r="N14" s="63">
        <v>0</v>
      </c>
      <c r="O14" s="63">
        <v>24</v>
      </c>
      <c r="P14" s="159">
        <f t="shared" si="0"/>
        <v>0</v>
      </c>
      <c r="Q14" s="159">
        <f t="shared" si="1"/>
        <v>0</v>
      </c>
      <c r="R14" s="159">
        <f t="shared" si="2"/>
        <v>1</v>
      </c>
      <c r="S14" s="159">
        <f t="shared" si="3"/>
        <v>1</v>
      </c>
      <c r="T14" s="165"/>
    </row>
    <row r="15" spans="1:20" ht="15" x14ac:dyDescent="0.3">
      <c r="A15" s="40">
        <v>10</v>
      </c>
      <c r="B15" s="172" t="s">
        <v>398</v>
      </c>
      <c r="C15" s="161">
        <v>0</v>
      </c>
      <c r="D15" s="161">
        <v>0</v>
      </c>
      <c r="E15" s="170">
        <v>0</v>
      </c>
      <c r="F15" s="170">
        <v>0</v>
      </c>
      <c r="G15" s="170">
        <v>0</v>
      </c>
      <c r="H15" s="161">
        <v>0</v>
      </c>
      <c r="I15" s="170">
        <v>0</v>
      </c>
      <c r="J15" s="170">
        <v>0</v>
      </c>
      <c r="K15" s="170">
        <v>0</v>
      </c>
      <c r="L15" s="170">
        <v>0</v>
      </c>
      <c r="M15" s="63">
        <v>0</v>
      </c>
      <c r="N15" s="63">
        <v>0</v>
      </c>
      <c r="O15" s="63">
        <v>0</v>
      </c>
      <c r="P15" s="159" t="str">
        <f t="shared" si="0"/>
        <v>-</v>
      </c>
      <c r="Q15" s="159" t="str">
        <f t="shared" si="1"/>
        <v>-</v>
      </c>
      <c r="R15" s="159" t="str">
        <f t="shared" si="2"/>
        <v>-</v>
      </c>
      <c r="S15" s="159" t="str">
        <f t="shared" si="3"/>
        <v>-</v>
      </c>
      <c r="T15" s="22"/>
    </row>
    <row r="16" spans="1:20" ht="15" x14ac:dyDescent="0.3">
      <c r="A16" s="40">
        <v>11</v>
      </c>
      <c r="B16" s="172" t="s">
        <v>399</v>
      </c>
      <c r="C16" s="161">
        <v>0</v>
      </c>
      <c r="D16" s="161">
        <v>0</v>
      </c>
      <c r="E16" s="170">
        <v>0</v>
      </c>
      <c r="F16" s="170">
        <v>0</v>
      </c>
      <c r="G16" s="170">
        <v>0</v>
      </c>
      <c r="H16" s="161">
        <v>0</v>
      </c>
      <c r="I16" s="170">
        <v>0</v>
      </c>
      <c r="J16" s="170">
        <v>0</v>
      </c>
      <c r="K16" s="170">
        <v>0</v>
      </c>
      <c r="L16" s="170">
        <v>0</v>
      </c>
      <c r="M16" s="63">
        <v>0</v>
      </c>
      <c r="N16" s="63">
        <v>0</v>
      </c>
      <c r="O16" s="63">
        <v>0</v>
      </c>
      <c r="P16" s="159" t="str">
        <f t="shared" si="0"/>
        <v>-</v>
      </c>
      <c r="Q16" s="159" t="str">
        <f t="shared" si="1"/>
        <v>-</v>
      </c>
      <c r="R16" s="159" t="str">
        <f t="shared" si="2"/>
        <v>-</v>
      </c>
      <c r="S16" s="159" t="str">
        <f t="shared" si="3"/>
        <v>-</v>
      </c>
      <c r="T16" s="22"/>
    </row>
    <row r="17" spans="1:20" ht="15" x14ac:dyDescent="0.3">
      <c r="A17" s="40">
        <v>12</v>
      </c>
      <c r="B17" s="172" t="s">
        <v>400</v>
      </c>
      <c r="C17" s="161">
        <v>0</v>
      </c>
      <c r="D17" s="161">
        <v>0</v>
      </c>
      <c r="E17" s="170">
        <v>0</v>
      </c>
      <c r="F17" s="170">
        <v>0</v>
      </c>
      <c r="G17" s="170">
        <v>0</v>
      </c>
      <c r="H17" s="161">
        <v>0</v>
      </c>
      <c r="I17" s="170">
        <v>0</v>
      </c>
      <c r="J17" s="170">
        <v>0</v>
      </c>
      <c r="K17" s="170">
        <v>0</v>
      </c>
      <c r="L17" s="170">
        <v>0</v>
      </c>
      <c r="M17" s="63">
        <v>0</v>
      </c>
      <c r="N17" s="63">
        <v>0</v>
      </c>
      <c r="O17" s="63">
        <v>0</v>
      </c>
      <c r="P17" s="159" t="str">
        <f t="shared" si="0"/>
        <v>-</v>
      </c>
      <c r="Q17" s="159" t="str">
        <f t="shared" si="1"/>
        <v>-</v>
      </c>
      <c r="R17" s="159" t="str">
        <f t="shared" si="2"/>
        <v>-</v>
      </c>
      <c r="S17" s="159" t="str">
        <f t="shared" si="3"/>
        <v>-</v>
      </c>
      <c r="T17" s="162"/>
    </row>
    <row r="18" spans="1:20" ht="15" x14ac:dyDescent="0.3">
      <c r="A18" s="40">
        <v>13</v>
      </c>
      <c r="B18" s="172" t="s">
        <v>401</v>
      </c>
      <c r="C18" s="161">
        <v>0</v>
      </c>
      <c r="D18" s="161">
        <v>0</v>
      </c>
      <c r="E18" s="170">
        <v>0</v>
      </c>
      <c r="F18" s="170">
        <v>0</v>
      </c>
      <c r="G18" s="170">
        <v>0</v>
      </c>
      <c r="H18" s="161">
        <v>0</v>
      </c>
      <c r="I18" s="170">
        <v>0</v>
      </c>
      <c r="J18" s="170">
        <v>0</v>
      </c>
      <c r="K18" s="170">
        <v>0</v>
      </c>
      <c r="L18" s="170">
        <v>0</v>
      </c>
      <c r="M18" s="63">
        <v>0</v>
      </c>
      <c r="N18" s="63">
        <v>0</v>
      </c>
      <c r="O18" s="63">
        <v>0</v>
      </c>
      <c r="P18" s="159" t="str">
        <f t="shared" si="0"/>
        <v>-</v>
      </c>
      <c r="Q18" s="159" t="str">
        <f t="shared" si="1"/>
        <v>-</v>
      </c>
      <c r="R18" s="159" t="str">
        <f t="shared" si="2"/>
        <v>-</v>
      </c>
      <c r="S18" s="159" t="str">
        <f t="shared" si="3"/>
        <v>-</v>
      </c>
      <c r="T18" s="173"/>
    </row>
    <row r="19" spans="1:20" ht="15" x14ac:dyDescent="0.3">
      <c r="A19" s="40">
        <v>14</v>
      </c>
      <c r="B19" s="172" t="s">
        <v>402</v>
      </c>
      <c r="C19" s="161">
        <v>0</v>
      </c>
      <c r="D19" s="161">
        <v>0</v>
      </c>
      <c r="E19" s="170">
        <v>0</v>
      </c>
      <c r="F19" s="170">
        <v>0</v>
      </c>
      <c r="G19" s="170">
        <v>0</v>
      </c>
      <c r="H19" s="161">
        <v>0</v>
      </c>
      <c r="I19" s="170">
        <v>0</v>
      </c>
      <c r="J19" s="170">
        <v>0</v>
      </c>
      <c r="K19" s="170">
        <v>0</v>
      </c>
      <c r="L19" s="170">
        <v>0</v>
      </c>
      <c r="M19" s="63">
        <v>0</v>
      </c>
      <c r="N19" s="63">
        <v>0</v>
      </c>
      <c r="O19" s="63">
        <v>0</v>
      </c>
      <c r="P19" s="159" t="str">
        <f t="shared" si="0"/>
        <v>-</v>
      </c>
      <c r="Q19" s="159" t="str">
        <f t="shared" si="1"/>
        <v>-</v>
      </c>
      <c r="R19" s="159" t="str">
        <f t="shared" si="2"/>
        <v>-</v>
      </c>
      <c r="S19" s="159" t="str">
        <f t="shared" si="3"/>
        <v>-</v>
      </c>
      <c r="T19" s="22"/>
    </row>
    <row r="20" spans="1:20" ht="15" x14ac:dyDescent="0.3">
      <c r="A20" s="40">
        <v>15</v>
      </c>
      <c r="B20" s="172" t="s">
        <v>403</v>
      </c>
      <c r="C20" s="161">
        <v>0</v>
      </c>
      <c r="D20" s="161">
        <v>0</v>
      </c>
      <c r="E20" s="170">
        <v>0</v>
      </c>
      <c r="F20" s="170">
        <v>0</v>
      </c>
      <c r="G20" s="170">
        <v>0</v>
      </c>
      <c r="H20" s="161">
        <v>0</v>
      </c>
      <c r="I20" s="170">
        <v>0</v>
      </c>
      <c r="J20" s="170">
        <v>0</v>
      </c>
      <c r="K20" s="170">
        <v>0</v>
      </c>
      <c r="L20" s="170">
        <v>0</v>
      </c>
      <c r="M20" s="63">
        <v>0</v>
      </c>
      <c r="N20" s="63">
        <v>0</v>
      </c>
      <c r="O20" s="63">
        <v>0</v>
      </c>
      <c r="P20" s="159" t="str">
        <f t="shared" si="0"/>
        <v>-</v>
      </c>
      <c r="Q20" s="159" t="str">
        <f t="shared" si="1"/>
        <v>-</v>
      </c>
      <c r="R20" s="159" t="str">
        <f t="shared" si="2"/>
        <v>-</v>
      </c>
      <c r="S20" s="159" t="str">
        <f t="shared" si="3"/>
        <v>-</v>
      </c>
      <c r="T20" s="22"/>
    </row>
    <row r="21" spans="1:20" ht="15" x14ac:dyDescent="0.3">
      <c r="A21" s="40">
        <v>16</v>
      </c>
      <c r="B21" s="172" t="s">
        <v>404</v>
      </c>
      <c r="C21" s="161">
        <v>0</v>
      </c>
      <c r="D21" s="161">
        <v>0</v>
      </c>
      <c r="E21" s="170">
        <v>0</v>
      </c>
      <c r="F21" s="170">
        <v>0</v>
      </c>
      <c r="G21" s="170">
        <v>0</v>
      </c>
      <c r="H21" s="161">
        <v>0</v>
      </c>
      <c r="I21" s="170">
        <v>0</v>
      </c>
      <c r="J21" s="170">
        <v>0</v>
      </c>
      <c r="K21" s="170">
        <v>0</v>
      </c>
      <c r="L21" s="170">
        <v>0</v>
      </c>
      <c r="M21" s="63">
        <v>0</v>
      </c>
      <c r="N21" s="63">
        <v>0</v>
      </c>
      <c r="O21" s="63">
        <v>0</v>
      </c>
      <c r="P21" s="159" t="str">
        <f t="shared" si="0"/>
        <v>-</v>
      </c>
      <c r="Q21" s="159" t="str">
        <f t="shared" si="1"/>
        <v>-</v>
      </c>
      <c r="R21" s="159" t="str">
        <f t="shared" si="2"/>
        <v>-</v>
      </c>
      <c r="S21" s="159" t="str">
        <f t="shared" si="3"/>
        <v>-</v>
      </c>
      <c r="T21" s="22"/>
    </row>
    <row r="22" spans="1:20" ht="15" x14ac:dyDescent="0.3">
      <c r="A22" s="40">
        <v>17</v>
      </c>
      <c r="B22" s="172" t="s">
        <v>405</v>
      </c>
      <c r="C22" s="161">
        <v>39</v>
      </c>
      <c r="D22" s="161">
        <v>35</v>
      </c>
      <c r="E22" s="170">
        <v>0</v>
      </c>
      <c r="F22" s="170">
        <v>0</v>
      </c>
      <c r="G22" s="170">
        <v>0</v>
      </c>
      <c r="H22" s="161">
        <v>0</v>
      </c>
      <c r="I22" s="170">
        <v>0</v>
      </c>
      <c r="J22" s="170">
        <v>0</v>
      </c>
      <c r="K22" s="170">
        <v>0</v>
      </c>
      <c r="L22" s="170">
        <v>0</v>
      </c>
      <c r="M22" s="63">
        <v>2</v>
      </c>
      <c r="N22" s="63">
        <v>0</v>
      </c>
      <c r="O22" s="63">
        <v>33</v>
      </c>
      <c r="P22" s="159">
        <f t="shared" si="0"/>
        <v>5.7142857142857141E-2</v>
      </c>
      <c r="Q22" s="159">
        <f t="shared" si="1"/>
        <v>0</v>
      </c>
      <c r="R22" s="159">
        <f t="shared" si="2"/>
        <v>0.94285714285714284</v>
      </c>
      <c r="S22" s="159">
        <f t="shared" si="3"/>
        <v>0.94285714285714284</v>
      </c>
      <c r="T22" s="164" t="s">
        <v>411</v>
      </c>
    </row>
    <row r="23" spans="1:20" ht="15" x14ac:dyDescent="0.3">
      <c r="A23" s="40">
        <v>18</v>
      </c>
      <c r="B23" s="172" t="s">
        <v>406</v>
      </c>
      <c r="C23" s="161">
        <v>0</v>
      </c>
      <c r="D23" s="161">
        <v>0</v>
      </c>
      <c r="E23" s="170">
        <v>0</v>
      </c>
      <c r="F23" s="170">
        <v>0</v>
      </c>
      <c r="G23" s="170">
        <v>0</v>
      </c>
      <c r="H23" s="161">
        <v>0</v>
      </c>
      <c r="I23" s="170">
        <v>0</v>
      </c>
      <c r="J23" s="170">
        <v>0</v>
      </c>
      <c r="K23" s="170">
        <v>0</v>
      </c>
      <c r="L23" s="170">
        <v>0</v>
      </c>
      <c r="M23" s="63">
        <v>0</v>
      </c>
      <c r="N23" s="63">
        <v>0</v>
      </c>
      <c r="O23" s="63">
        <v>0</v>
      </c>
      <c r="P23" s="159" t="str">
        <f t="shared" si="0"/>
        <v>-</v>
      </c>
      <c r="Q23" s="159" t="str">
        <f t="shared" si="1"/>
        <v>-</v>
      </c>
      <c r="R23" s="159" t="str">
        <f t="shared" si="2"/>
        <v>-</v>
      </c>
      <c r="S23" s="159" t="str">
        <f t="shared" si="3"/>
        <v>-</v>
      </c>
      <c r="T23" s="163"/>
    </row>
    <row r="24" spans="1:20" ht="15" x14ac:dyDescent="0.3">
      <c r="A24" s="40">
        <v>19</v>
      </c>
      <c r="B24" s="172" t="s">
        <v>407</v>
      </c>
      <c r="C24" s="161">
        <v>0</v>
      </c>
      <c r="D24" s="161">
        <v>0</v>
      </c>
      <c r="E24" s="170">
        <v>0</v>
      </c>
      <c r="F24" s="170">
        <v>0</v>
      </c>
      <c r="G24" s="170">
        <v>0</v>
      </c>
      <c r="H24" s="161">
        <v>0</v>
      </c>
      <c r="I24" s="170">
        <v>0</v>
      </c>
      <c r="J24" s="170">
        <v>0</v>
      </c>
      <c r="K24" s="170">
        <v>0</v>
      </c>
      <c r="L24" s="170">
        <v>0</v>
      </c>
      <c r="M24" s="63">
        <v>0</v>
      </c>
      <c r="N24" s="63">
        <v>0</v>
      </c>
      <c r="O24" s="63">
        <v>0</v>
      </c>
      <c r="P24" s="159"/>
      <c r="Q24" s="159"/>
      <c r="R24" s="159"/>
      <c r="S24" s="159"/>
      <c r="T24" s="163"/>
    </row>
  </sheetData>
  <dataConsolidate>
    <dataRefs count="3">
      <dataRef ref="C6:O24" sheet="605" r:id="rId1"/>
      <dataRef ref="C6:O24" sheet="621" r:id="rId2"/>
      <dataRef ref="C6:O24" sheet="671" r:id="rId3"/>
    </dataRefs>
  </dataConsolidate>
  <mergeCells count="14">
    <mergeCell ref="A5:T5"/>
    <mergeCell ref="A1:T1"/>
    <mergeCell ref="A2:A3"/>
    <mergeCell ref="B2:B3"/>
    <mergeCell ref="C2:D2"/>
    <mergeCell ref="E2:L2"/>
    <mergeCell ref="M2:M3"/>
    <mergeCell ref="N2:N3"/>
    <mergeCell ref="O2:O3"/>
    <mergeCell ref="P2:P3"/>
    <mergeCell ref="Q2:Q3"/>
    <mergeCell ref="R2:R3"/>
    <mergeCell ref="S2:S3"/>
    <mergeCell ref="T2:T3"/>
  </mergeCells>
  <phoneticPr fontId="19" type="noConversion"/>
  <dataValidations count="1">
    <dataValidation type="whole" allowBlank="1" showInputMessage="1" showErrorMessage="1" sqref="C6:C24 D7:L24" xr:uid="{00000000-0002-0000-0300-000000000000}">
      <formula1>0</formula1>
      <formula2>50000</formula2>
    </dataValidation>
  </dataValidations>
  <pageMargins left="0.7" right="0.7" top="0.75" bottom="0.75" header="0.3" footer="0.3"/>
  <pageSetup paperSize="9" scale="58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76"/>
  <sheetViews>
    <sheetView view="pageBreakPreview" zoomScale="70" zoomScaleNormal="70" zoomScaleSheetLayoutView="70" workbookViewId="0">
      <selection activeCell="A73" sqref="A73:Q73"/>
    </sheetView>
  </sheetViews>
  <sheetFormatPr defaultRowHeight="14.4" x14ac:dyDescent="0.3"/>
  <cols>
    <col min="1" max="1" width="7.109375" bestFit="1" customWidth="1"/>
    <col min="2" max="2" width="26.109375" customWidth="1"/>
    <col min="3" max="4" width="12.44140625" bestFit="1" customWidth="1"/>
    <col min="5" max="5" width="8" bestFit="1" customWidth="1"/>
    <col min="6" max="6" width="6.88671875" bestFit="1" customWidth="1"/>
    <col min="7" max="7" width="9.6640625" bestFit="1" customWidth="1"/>
    <col min="8" max="8" width="21.88671875" bestFit="1" customWidth="1"/>
    <col min="9" max="9" width="6.6640625" bestFit="1" customWidth="1"/>
    <col min="10" max="10" width="20" bestFit="1" customWidth="1"/>
    <col min="11" max="11" width="13.44140625" bestFit="1" customWidth="1"/>
    <col min="12" max="12" width="13.109375" bestFit="1" customWidth="1"/>
    <col min="13" max="13" width="9.5546875" bestFit="1" customWidth="1"/>
    <col min="14" max="14" width="8.88671875" bestFit="1" customWidth="1"/>
    <col min="15" max="15" width="11.109375" bestFit="1" customWidth="1"/>
    <col min="16" max="16" width="10.88671875" bestFit="1" customWidth="1"/>
    <col min="17" max="17" width="53" style="175" customWidth="1"/>
  </cols>
  <sheetData>
    <row r="2" spans="1:17" ht="23.25" customHeight="1" x14ac:dyDescent="0.3">
      <c r="A2" s="236" t="s">
        <v>143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</row>
    <row r="3" spans="1:17" ht="15.6" x14ac:dyDescent="0.3">
      <c r="A3" s="231" t="s">
        <v>128</v>
      </c>
      <c r="B3" s="231" t="s">
        <v>111</v>
      </c>
      <c r="C3" s="231" t="s">
        <v>2</v>
      </c>
      <c r="D3" s="231"/>
      <c r="E3" s="231" t="s">
        <v>3</v>
      </c>
      <c r="F3" s="231"/>
      <c r="G3" s="231"/>
      <c r="H3" s="231"/>
      <c r="I3" s="231"/>
      <c r="J3" s="231" t="s">
        <v>78</v>
      </c>
      <c r="K3" s="231" t="s">
        <v>109</v>
      </c>
      <c r="L3" s="231" t="s">
        <v>108</v>
      </c>
      <c r="M3" s="231" t="s">
        <v>79</v>
      </c>
      <c r="N3" s="231" t="s">
        <v>80</v>
      </c>
      <c r="O3" s="231" t="s">
        <v>81</v>
      </c>
      <c r="P3" s="231" t="s">
        <v>82</v>
      </c>
      <c r="Q3" s="231" t="s">
        <v>107</v>
      </c>
    </row>
    <row r="4" spans="1:17" ht="39" customHeight="1" x14ac:dyDescent="0.3">
      <c r="A4" s="231"/>
      <c r="B4" s="231"/>
      <c r="C4" s="35" t="s">
        <v>51</v>
      </c>
      <c r="D4" s="35" t="s">
        <v>52</v>
      </c>
      <c r="E4" s="35" t="s">
        <v>140</v>
      </c>
      <c r="F4" s="35" t="s">
        <v>8</v>
      </c>
      <c r="G4" s="35" t="s">
        <v>84</v>
      </c>
      <c r="H4" s="193" t="s">
        <v>139</v>
      </c>
      <c r="I4" s="35" t="s">
        <v>87</v>
      </c>
      <c r="J4" s="231"/>
      <c r="K4" s="231"/>
      <c r="L4" s="231"/>
      <c r="M4" s="231"/>
      <c r="N4" s="231"/>
      <c r="O4" s="231"/>
      <c r="P4" s="231"/>
      <c r="Q4" s="234"/>
    </row>
    <row r="5" spans="1:17" ht="21" customHeight="1" x14ac:dyDescent="0.3">
      <c r="A5" s="62" t="s">
        <v>12</v>
      </c>
      <c r="B5" s="192" t="s">
        <v>13</v>
      </c>
      <c r="C5" s="62" t="s">
        <v>14</v>
      </c>
      <c r="D5" s="62" t="s">
        <v>15</v>
      </c>
      <c r="E5" s="62" t="s">
        <v>16</v>
      </c>
      <c r="F5" s="62" t="s">
        <v>17</v>
      </c>
      <c r="G5" s="62" t="s">
        <v>18</v>
      </c>
      <c r="H5" s="62" t="s">
        <v>19</v>
      </c>
      <c r="I5" s="62" t="s">
        <v>20</v>
      </c>
      <c r="J5" s="62" t="s">
        <v>21</v>
      </c>
      <c r="K5" s="62" t="s">
        <v>88</v>
      </c>
      <c r="L5" s="62" t="s">
        <v>89</v>
      </c>
      <c r="M5" s="62" t="s">
        <v>90</v>
      </c>
      <c r="N5" s="62" t="s">
        <v>91</v>
      </c>
      <c r="O5" s="62" t="s">
        <v>92</v>
      </c>
      <c r="P5" s="62" t="s">
        <v>93</v>
      </c>
      <c r="Q5" s="62" t="s">
        <v>94</v>
      </c>
    </row>
    <row r="6" spans="1:17" ht="39.75" customHeight="1" x14ac:dyDescent="0.3">
      <c r="A6" s="41">
        <v>1</v>
      </c>
      <c r="B6" s="24" t="s">
        <v>412</v>
      </c>
      <c r="C6" s="41">
        <v>157</v>
      </c>
      <c r="D6" s="41">
        <v>110</v>
      </c>
      <c r="E6" s="118">
        <v>0</v>
      </c>
      <c r="F6" s="118">
        <v>0</v>
      </c>
      <c r="G6" s="118">
        <v>2</v>
      </c>
      <c r="H6" s="118">
        <v>0</v>
      </c>
      <c r="I6" s="118">
        <v>0</v>
      </c>
      <c r="J6" s="118">
        <v>2</v>
      </c>
      <c r="K6" s="180">
        <v>0</v>
      </c>
      <c r="L6" s="160">
        <v>108</v>
      </c>
      <c r="M6" s="159">
        <f t="shared" ref="M6:M18" si="0">IF(D6=0,"-",(J6/D6))</f>
        <v>1.8181818181818181E-2</v>
      </c>
      <c r="N6" s="159">
        <v>0</v>
      </c>
      <c r="O6" s="159">
        <f t="shared" ref="O6:O18" si="1">IF(D6=0,"-",(L6/D6))</f>
        <v>0.98181818181818181</v>
      </c>
      <c r="P6" s="159">
        <f>IF(D6=0,"-",(N6+O6))</f>
        <v>0.98181818181818181</v>
      </c>
      <c r="Q6" s="22" t="s">
        <v>138</v>
      </c>
    </row>
    <row r="7" spans="1:17" ht="15.6" x14ac:dyDescent="0.3">
      <c r="A7" s="41">
        <v>2</v>
      </c>
      <c r="B7" s="24" t="s">
        <v>413</v>
      </c>
      <c r="C7" s="41">
        <v>350</v>
      </c>
      <c r="D7" s="41">
        <v>338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80">
        <v>0</v>
      </c>
      <c r="L7" s="160">
        <v>338</v>
      </c>
      <c r="M7" s="159">
        <f t="shared" si="0"/>
        <v>0</v>
      </c>
      <c r="N7" s="159">
        <v>0</v>
      </c>
      <c r="O7" s="159">
        <f t="shared" si="1"/>
        <v>1</v>
      </c>
      <c r="P7" s="159">
        <f>IF(D7=0,"-",(N7+O7))</f>
        <v>1</v>
      </c>
      <c r="Q7" s="183"/>
    </row>
    <row r="8" spans="1:17" ht="15.6" x14ac:dyDescent="0.3">
      <c r="A8" s="41">
        <v>3</v>
      </c>
      <c r="B8" s="24" t="s">
        <v>414</v>
      </c>
      <c r="C8" s="41">
        <v>907</v>
      </c>
      <c r="D8" s="41">
        <v>1092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80">
        <v>0</v>
      </c>
      <c r="L8" s="160">
        <v>1092</v>
      </c>
      <c r="M8" s="159">
        <f t="shared" si="0"/>
        <v>0</v>
      </c>
      <c r="N8" s="159">
        <v>0</v>
      </c>
      <c r="O8" s="159">
        <f t="shared" si="1"/>
        <v>1</v>
      </c>
      <c r="P8" s="159">
        <f>IF(D8=0,"-",(N8+O8))</f>
        <v>1</v>
      </c>
      <c r="Q8" s="183"/>
    </row>
    <row r="9" spans="1:17" ht="15.6" x14ac:dyDescent="0.3">
      <c r="A9" s="41">
        <v>4</v>
      </c>
      <c r="B9" s="24" t="s">
        <v>415</v>
      </c>
      <c r="C9" s="41">
        <v>34</v>
      </c>
      <c r="D9" s="41">
        <v>5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80">
        <v>0</v>
      </c>
      <c r="L9" s="160">
        <v>5</v>
      </c>
      <c r="M9" s="159">
        <f t="shared" si="0"/>
        <v>0</v>
      </c>
      <c r="N9" s="159">
        <v>0</v>
      </c>
      <c r="O9" s="159">
        <f t="shared" si="1"/>
        <v>1</v>
      </c>
      <c r="P9" s="159">
        <f>IF(D9=0,"-",(N9+O9))</f>
        <v>1</v>
      </c>
      <c r="Q9" s="165"/>
    </row>
    <row r="10" spans="1:17" ht="15.6" x14ac:dyDescent="0.3">
      <c r="A10" s="41">
        <v>5</v>
      </c>
      <c r="B10" s="24" t="s">
        <v>416</v>
      </c>
      <c r="C10" s="41">
        <v>24</v>
      </c>
      <c r="D10" s="41">
        <v>79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80">
        <v>0</v>
      </c>
      <c r="L10" s="160">
        <v>79</v>
      </c>
      <c r="M10" s="159">
        <f t="shared" si="0"/>
        <v>0</v>
      </c>
      <c r="N10" s="159">
        <v>0</v>
      </c>
      <c r="O10" s="159">
        <f t="shared" si="1"/>
        <v>1</v>
      </c>
      <c r="P10" s="159">
        <v>1</v>
      </c>
      <c r="Q10" s="165"/>
    </row>
    <row r="11" spans="1:17" ht="172.5" customHeight="1" x14ac:dyDescent="0.3">
      <c r="A11" s="41">
        <v>6</v>
      </c>
      <c r="B11" s="24" t="s">
        <v>417</v>
      </c>
      <c r="C11" s="41">
        <v>646</v>
      </c>
      <c r="D11" s="41">
        <v>847</v>
      </c>
      <c r="E11" s="118">
        <v>0</v>
      </c>
      <c r="F11" s="118">
        <v>0</v>
      </c>
      <c r="G11" s="118">
        <v>3</v>
      </c>
      <c r="H11" s="118">
        <v>0</v>
      </c>
      <c r="I11" s="118">
        <v>0</v>
      </c>
      <c r="J11" s="118">
        <v>3</v>
      </c>
      <c r="K11" s="180">
        <v>10</v>
      </c>
      <c r="L11" s="160">
        <v>834</v>
      </c>
      <c r="M11" s="159">
        <f t="shared" si="0"/>
        <v>3.5419126328217238E-3</v>
      </c>
      <c r="N11" s="159">
        <v>0</v>
      </c>
      <c r="O11" s="159">
        <f t="shared" si="1"/>
        <v>0.98465171192443923</v>
      </c>
      <c r="P11" s="159">
        <f t="shared" ref="P11:P18" si="2">IF(D11=0,"-",(N11+O11))</f>
        <v>0.98465171192443923</v>
      </c>
      <c r="Q11" s="22" t="s">
        <v>482</v>
      </c>
    </row>
    <row r="12" spans="1:17" ht="45" x14ac:dyDescent="0.3">
      <c r="A12" s="41">
        <v>7</v>
      </c>
      <c r="B12" s="24" t="s">
        <v>418</v>
      </c>
      <c r="C12" s="41">
        <v>0</v>
      </c>
      <c r="D12" s="118">
        <v>23</v>
      </c>
      <c r="E12" s="118">
        <v>0</v>
      </c>
      <c r="F12" s="118">
        <v>0</v>
      </c>
      <c r="G12" s="118">
        <v>1</v>
      </c>
      <c r="H12" s="118">
        <v>0</v>
      </c>
      <c r="I12" s="118">
        <v>0</v>
      </c>
      <c r="J12" s="118">
        <v>1</v>
      </c>
      <c r="K12" s="180">
        <v>0</v>
      </c>
      <c r="L12" s="160">
        <v>22</v>
      </c>
      <c r="M12" s="159">
        <f t="shared" si="0"/>
        <v>4.3478260869565216E-2</v>
      </c>
      <c r="N12" s="159">
        <v>0</v>
      </c>
      <c r="O12" s="159">
        <f t="shared" si="1"/>
        <v>0.95652173913043481</v>
      </c>
      <c r="P12" s="159">
        <f t="shared" si="2"/>
        <v>0.95652173913043481</v>
      </c>
      <c r="Q12" s="162" t="s">
        <v>137</v>
      </c>
    </row>
    <row r="13" spans="1:17" ht="15" x14ac:dyDescent="0.3">
      <c r="A13" s="41">
        <v>8</v>
      </c>
      <c r="B13" s="24" t="s">
        <v>419</v>
      </c>
      <c r="C13" s="118">
        <v>0</v>
      </c>
      <c r="D13" s="118">
        <v>519</v>
      </c>
      <c r="E13" s="118">
        <v>0</v>
      </c>
      <c r="F13" s="118">
        <v>0</v>
      </c>
      <c r="G13" s="118">
        <v>0</v>
      </c>
      <c r="H13" s="118">
        <v>0</v>
      </c>
      <c r="I13" s="118">
        <v>0</v>
      </c>
      <c r="J13" s="118">
        <v>0</v>
      </c>
      <c r="K13" s="180">
        <v>0</v>
      </c>
      <c r="L13" s="160">
        <v>519</v>
      </c>
      <c r="M13" s="189">
        <f t="shared" si="0"/>
        <v>0</v>
      </c>
      <c r="N13" s="159">
        <v>0</v>
      </c>
      <c r="O13" s="159">
        <f t="shared" si="1"/>
        <v>1</v>
      </c>
      <c r="P13" s="159">
        <f t="shared" si="2"/>
        <v>1</v>
      </c>
      <c r="Q13" s="22"/>
    </row>
    <row r="14" spans="1:17" ht="15.6" x14ac:dyDescent="0.3">
      <c r="A14" s="41">
        <v>9</v>
      </c>
      <c r="B14" s="24" t="s">
        <v>420</v>
      </c>
      <c r="C14" s="41">
        <v>128</v>
      </c>
      <c r="D14" s="41">
        <v>101</v>
      </c>
      <c r="E14" s="118">
        <v>0</v>
      </c>
      <c r="F14" s="118">
        <v>0</v>
      </c>
      <c r="G14" s="118">
        <v>0</v>
      </c>
      <c r="H14" s="118">
        <v>0</v>
      </c>
      <c r="I14" s="118">
        <v>0</v>
      </c>
      <c r="J14" s="118">
        <v>0</v>
      </c>
      <c r="K14" s="180">
        <v>0</v>
      </c>
      <c r="L14" s="160">
        <v>101</v>
      </c>
      <c r="M14" s="159">
        <f t="shared" si="0"/>
        <v>0</v>
      </c>
      <c r="N14" s="159">
        <v>0</v>
      </c>
      <c r="O14" s="159">
        <f t="shared" si="1"/>
        <v>1</v>
      </c>
      <c r="P14" s="159">
        <f t="shared" si="2"/>
        <v>1</v>
      </c>
      <c r="Q14" s="183"/>
    </row>
    <row r="15" spans="1:17" ht="52.5" customHeight="1" x14ac:dyDescent="0.3">
      <c r="A15" s="41">
        <v>10</v>
      </c>
      <c r="B15" s="24" t="s">
        <v>421</v>
      </c>
      <c r="C15" s="41">
        <v>3875</v>
      </c>
      <c r="D15" s="41">
        <v>4039</v>
      </c>
      <c r="E15" s="118">
        <v>0</v>
      </c>
      <c r="F15" s="118">
        <v>0</v>
      </c>
      <c r="G15" s="118">
        <v>1</v>
      </c>
      <c r="H15" s="118">
        <v>1</v>
      </c>
      <c r="I15" s="118">
        <v>0</v>
      </c>
      <c r="J15" s="118">
        <v>2</v>
      </c>
      <c r="K15" s="180">
        <v>0</v>
      </c>
      <c r="L15" s="160">
        <v>4037</v>
      </c>
      <c r="M15" s="159">
        <f t="shared" si="0"/>
        <v>4.9517207229512257E-4</v>
      </c>
      <c r="N15" s="159">
        <v>0</v>
      </c>
      <c r="O15" s="159">
        <f t="shared" si="1"/>
        <v>0.9995048279277049</v>
      </c>
      <c r="P15" s="159">
        <f t="shared" si="2"/>
        <v>0.9995048279277049</v>
      </c>
      <c r="Q15" s="22" t="s">
        <v>136</v>
      </c>
    </row>
    <row r="16" spans="1:17" ht="52.5" customHeight="1" x14ac:dyDescent="0.3">
      <c r="A16" s="41">
        <v>11</v>
      </c>
      <c r="B16" s="24" t="s">
        <v>422</v>
      </c>
      <c r="C16" s="41">
        <v>8</v>
      </c>
      <c r="D16" s="41">
        <v>125</v>
      </c>
      <c r="E16" s="118">
        <v>0</v>
      </c>
      <c r="F16" s="118">
        <v>0</v>
      </c>
      <c r="G16" s="118">
        <v>0</v>
      </c>
      <c r="H16" s="118">
        <v>0</v>
      </c>
      <c r="I16" s="118">
        <v>0</v>
      </c>
      <c r="J16" s="118">
        <v>0</v>
      </c>
      <c r="K16" s="180">
        <v>0</v>
      </c>
      <c r="L16" s="160">
        <v>125</v>
      </c>
      <c r="M16" s="159">
        <f t="shared" si="0"/>
        <v>0</v>
      </c>
      <c r="N16" s="159">
        <v>0</v>
      </c>
      <c r="O16" s="159">
        <f t="shared" si="1"/>
        <v>1</v>
      </c>
      <c r="P16" s="159">
        <f t="shared" si="2"/>
        <v>1</v>
      </c>
      <c r="Q16" s="191"/>
    </row>
    <row r="17" spans="1:17" ht="15.6" x14ac:dyDescent="0.3">
      <c r="A17" s="41">
        <v>12</v>
      </c>
      <c r="B17" s="24" t="s">
        <v>423</v>
      </c>
      <c r="C17" s="41">
        <v>106</v>
      </c>
      <c r="D17" s="41">
        <v>78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118">
        <v>0</v>
      </c>
      <c r="K17" s="180">
        <v>0</v>
      </c>
      <c r="L17" s="160">
        <v>78</v>
      </c>
      <c r="M17" s="159">
        <f t="shared" si="0"/>
        <v>0</v>
      </c>
      <c r="N17" s="159">
        <v>0</v>
      </c>
      <c r="O17" s="159">
        <f t="shared" si="1"/>
        <v>1</v>
      </c>
      <c r="P17" s="159">
        <f t="shared" si="2"/>
        <v>1</v>
      </c>
      <c r="Q17" s="182"/>
    </row>
    <row r="18" spans="1:17" ht="15.6" x14ac:dyDescent="0.3">
      <c r="A18" s="41">
        <v>13</v>
      </c>
      <c r="B18" s="24" t="s">
        <v>424</v>
      </c>
      <c r="C18" s="41">
        <v>0</v>
      </c>
      <c r="D18" s="41">
        <v>0</v>
      </c>
      <c r="E18" s="118">
        <v>0</v>
      </c>
      <c r="F18" s="118">
        <v>0</v>
      </c>
      <c r="G18" s="118">
        <v>0</v>
      </c>
      <c r="H18" s="118">
        <v>0</v>
      </c>
      <c r="I18" s="118">
        <v>0</v>
      </c>
      <c r="J18" s="118">
        <v>0</v>
      </c>
      <c r="K18" s="180">
        <v>0</v>
      </c>
      <c r="L18" s="160">
        <v>0</v>
      </c>
      <c r="M18" s="159" t="str">
        <f t="shared" si="0"/>
        <v>-</v>
      </c>
      <c r="N18" s="159" t="str">
        <f>IF(K18=0,"-",(K18/D18))</f>
        <v>-</v>
      </c>
      <c r="O18" s="159" t="str">
        <f t="shared" si="1"/>
        <v>-</v>
      </c>
      <c r="P18" s="159" t="str">
        <f t="shared" si="2"/>
        <v>-</v>
      </c>
      <c r="Q18" s="183"/>
    </row>
    <row r="19" spans="1:17" ht="15.6" x14ac:dyDescent="0.3">
      <c r="A19" s="41">
        <v>14</v>
      </c>
      <c r="B19" s="24" t="s">
        <v>425</v>
      </c>
      <c r="C19" s="41">
        <v>0</v>
      </c>
      <c r="D19" s="41">
        <v>2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118">
        <v>0</v>
      </c>
      <c r="K19" s="180">
        <v>0</v>
      </c>
      <c r="L19" s="160">
        <v>2</v>
      </c>
      <c r="M19" s="159">
        <f>IF(D57=0,"-",(J19/D57))</f>
        <v>0</v>
      </c>
      <c r="N19" s="159" t="str">
        <f>IF(K19=0,"-",(K19/D57))</f>
        <v>-</v>
      </c>
      <c r="O19" s="159">
        <f>IF(D57=0,"-",(L19/D57))</f>
        <v>9.2592592592592587E-3</v>
      </c>
      <c r="P19" s="159">
        <v>0</v>
      </c>
      <c r="Q19" s="165"/>
    </row>
    <row r="20" spans="1:17" ht="15.6" x14ac:dyDescent="0.3">
      <c r="A20" s="41">
        <v>15</v>
      </c>
      <c r="B20" s="24" t="s">
        <v>426</v>
      </c>
      <c r="C20" s="41">
        <v>123</v>
      </c>
      <c r="D20" s="41">
        <v>462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80">
        <v>0</v>
      </c>
      <c r="L20" s="160">
        <v>462</v>
      </c>
      <c r="M20" s="159">
        <f>IF(D20=0,"-",(J20/D20))</f>
        <v>0</v>
      </c>
      <c r="N20" s="159">
        <v>0</v>
      </c>
      <c r="O20" s="159">
        <f>IF(D20=0,"-",(L20/D20))</f>
        <v>1</v>
      </c>
      <c r="P20" s="159">
        <f>IF(D20=0,"-",(N20+O20))</f>
        <v>1</v>
      </c>
      <c r="Q20" s="190" t="s">
        <v>135</v>
      </c>
    </row>
    <row r="21" spans="1:17" ht="15.6" x14ac:dyDescent="0.3">
      <c r="A21" s="41">
        <v>16</v>
      </c>
      <c r="B21" s="24" t="s">
        <v>427</v>
      </c>
      <c r="C21" s="41">
        <v>1374</v>
      </c>
      <c r="D21" s="41">
        <v>1810</v>
      </c>
      <c r="E21" s="118">
        <v>0</v>
      </c>
      <c r="F21" s="118">
        <v>0</v>
      </c>
      <c r="G21" s="118">
        <v>0</v>
      </c>
      <c r="H21" s="118">
        <v>0</v>
      </c>
      <c r="I21" s="118">
        <v>0</v>
      </c>
      <c r="J21" s="118">
        <v>0</v>
      </c>
      <c r="K21" s="180">
        <v>0</v>
      </c>
      <c r="L21" s="160">
        <v>1810</v>
      </c>
      <c r="M21" s="159">
        <f>IF(D21=0,"-",(J21/D21))</f>
        <v>0</v>
      </c>
      <c r="N21" s="159">
        <v>0</v>
      </c>
      <c r="O21" s="159">
        <f>IF(D21=0,"-",(L21/D21))</f>
        <v>1</v>
      </c>
      <c r="P21" s="159">
        <f>IF(D21=0,"-",(N21+O21))</f>
        <v>1</v>
      </c>
      <c r="Q21" s="190"/>
    </row>
    <row r="22" spans="1:17" ht="15.6" x14ac:dyDescent="0.3">
      <c r="A22" s="41">
        <v>17</v>
      </c>
      <c r="B22" s="24" t="s">
        <v>428</v>
      </c>
      <c r="C22" s="118">
        <v>0</v>
      </c>
      <c r="D22" s="118">
        <v>244</v>
      </c>
      <c r="E22" s="118">
        <v>0</v>
      </c>
      <c r="F22" s="118">
        <v>0</v>
      </c>
      <c r="G22" s="118">
        <v>0</v>
      </c>
      <c r="H22" s="118">
        <v>0</v>
      </c>
      <c r="I22" s="118">
        <v>0</v>
      </c>
      <c r="J22" s="118">
        <v>0</v>
      </c>
      <c r="K22" s="180">
        <v>0</v>
      </c>
      <c r="L22" s="160">
        <v>244</v>
      </c>
      <c r="M22" s="159">
        <v>0</v>
      </c>
      <c r="N22" s="159">
        <v>0</v>
      </c>
      <c r="O22" s="159">
        <v>0</v>
      </c>
      <c r="P22" s="159">
        <v>0</v>
      </c>
      <c r="Q22" s="182"/>
    </row>
    <row r="23" spans="1:17" ht="15.6" x14ac:dyDescent="0.3">
      <c r="A23" s="41">
        <v>18</v>
      </c>
      <c r="B23" s="24" t="s">
        <v>429</v>
      </c>
      <c r="C23" s="118">
        <v>0</v>
      </c>
      <c r="D23" s="118">
        <v>0</v>
      </c>
      <c r="E23" s="118">
        <v>0</v>
      </c>
      <c r="F23" s="118">
        <v>0</v>
      </c>
      <c r="G23" s="118">
        <v>0</v>
      </c>
      <c r="H23" s="118">
        <v>0</v>
      </c>
      <c r="I23" s="118">
        <v>0</v>
      </c>
      <c r="J23" s="118">
        <v>0</v>
      </c>
      <c r="K23" s="180">
        <v>0</v>
      </c>
      <c r="L23" s="160">
        <v>0</v>
      </c>
      <c r="M23" s="159">
        <v>0</v>
      </c>
      <c r="N23" s="159">
        <v>0</v>
      </c>
      <c r="O23" s="159">
        <v>0</v>
      </c>
      <c r="P23" s="159">
        <v>0</v>
      </c>
      <c r="Q23" s="182"/>
    </row>
    <row r="24" spans="1:17" ht="15.6" x14ac:dyDescent="0.3">
      <c r="A24" s="41">
        <v>19</v>
      </c>
      <c r="B24" s="24" t="s">
        <v>430</v>
      </c>
      <c r="C24" s="118">
        <v>0</v>
      </c>
      <c r="D24" s="118">
        <v>0</v>
      </c>
      <c r="E24" s="118">
        <v>0</v>
      </c>
      <c r="F24" s="118">
        <v>0</v>
      </c>
      <c r="G24" s="118">
        <v>0</v>
      </c>
      <c r="H24" s="118">
        <v>0</v>
      </c>
      <c r="I24" s="118">
        <v>0</v>
      </c>
      <c r="J24" s="118">
        <v>0</v>
      </c>
      <c r="K24" s="180">
        <v>0</v>
      </c>
      <c r="L24" s="160">
        <v>0</v>
      </c>
      <c r="M24" s="159" t="str">
        <f>IF(D24=0,"-",(J24/D24))</f>
        <v>-</v>
      </c>
      <c r="N24" s="159" t="str">
        <f>IF(K24=0,"-",(K24/D24))</f>
        <v>-</v>
      </c>
      <c r="O24" s="159" t="str">
        <f>IF(D24=0,"-",(L24/D24))</f>
        <v>-</v>
      </c>
      <c r="P24" s="159" t="str">
        <f>IF(D24=0,"-",(N24+O24))</f>
        <v>-</v>
      </c>
      <c r="Q24" s="182"/>
    </row>
    <row r="25" spans="1:17" ht="15.6" x14ac:dyDescent="0.3">
      <c r="A25" s="41">
        <v>20</v>
      </c>
      <c r="B25" s="24" t="s">
        <v>431</v>
      </c>
      <c r="C25" s="118">
        <v>3079</v>
      </c>
      <c r="D25" s="118">
        <v>309</v>
      </c>
      <c r="E25" s="118">
        <v>0</v>
      </c>
      <c r="F25" s="118">
        <v>0</v>
      </c>
      <c r="G25" s="118">
        <v>0</v>
      </c>
      <c r="H25" s="118">
        <v>0</v>
      </c>
      <c r="I25" s="118">
        <v>0</v>
      </c>
      <c r="J25" s="118">
        <v>0</v>
      </c>
      <c r="K25" s="180">
        <v>0</v>
      </c>
      <c r="L25" s="160">
        <v>309</v>
      </c>
      <c r="M25" s="159">
        <f>IF(D25=0,"-",(J25/D25))</f>
        <v>0</v>
      </c>
      <c r="N25" s="159" t="str">
        <f>IF(K25=0,"-",(K25/D25))</f>
        <v>-</v>
      </c>
      <c r="O25" s="159">
        <f>IF(D25=0,"-",(L25/D25))</f>
        <v>1</v>
      </c>
      <c r="P25" s="159" t="e">
        <f>IF(D25=0,"-",(N25+O25))</f>
        <v>#VALUE!</v>
      </c>
      <c r="Q25" s="183"/>
    </row>
    <row r="26" spans="1:17" ht="69.75" customHeight="1" x14ac:dyDescent="0.3">
      <c r="A26" s="41">
        <v>21</v>
      </c>
      <c r="B26" s="24" t="s">
        <v>432</v>
      </c>
      <c r="C26" s="41">
        <v>2028</v>
      </c>
      <c r="D26" s="118">
        <v>4651</v>
      </c>
      <c r="E26" s="118">
        <v>0</v>
      </c>
      <c r="F26" s="118">
        <v>0</v>
      </c>
      <c r="G26" s="118">
        <v>0</v>
      </c>
      <c r="H26" s="118">
        <v>24</v>
      </c>
      <c r="I26" s="118">
        <v>0</v>
      </c>
      <c r="J26" s="118">
        <v>14</v>
      </c>
      <c r="K26" s="180">
        <v>0</v>
      </c>
      <c r="L26" s="160">
        <v>4626</v>
      </c>
      <c r="M26" s="159">
        <f>IF(D26=0,"-",(J26/D26))</f>
        <v>3.0101053536873792E-3</v>
      </c>
      <c r="N26" s="159" t="str">
        <f>IF(K26=0,"-",(K26/D26))</f>
        <v>-</v>
      </c>
      <c r="O26" s="159">
        <f>IF(D26=0,"-",(L26/D26))</f>
        <v>0.99462481186841545</v>
      </c>
      <c r="P26" s="159" t="e">
        <f>IF(D26=0,"-",(N26+O26))</f>
        <v>#VALUE!</v>
      </c>
      <c r="Q26" s="162" t="s">
        <v>483</v>
      </c>
    </row>
    <row r="27" spans="1:17" ht="30" x14ac:dyDescent="0.3">
      <c r="A27" s="41">
        <v>22</v>
      </c>
      <c r="B27" s="24" t="s">
        <v>433</v>
      </c>
      <c r="C27" s="118">
        <v>24800</v>
      </c>
      <c r="D27" s="118">
        <v>24401</v>
      </c>
      <c r="E27" s="118">
        <v>0</v>
      </c>
      <c r="F27" s="118">
        <v>0</v>
      </c>
      <c r="G27" s="118">
        <v>0</v>
      </c>
      <c r="H27" s="118">
        <v>10</v>
      </c>
      <c r="I27" s="118">
        <v>0</v>
      </c>
      <c r="J27" s="118">
        <v>10</v>
      </c>
      <c r="K27" s="180">
        <v>0</v>
      </c>
      <c r="L27" s="160">
        <v>24391</v>
      </c>
      <c r="M27" s="159">
        <f>IF(D27=0,"-",(J27/D27))</f>
        <v>4.0981926970206137E-4</v>
      </c>
      <c r="N27" s="159">
        <v>0</v>
      </c>
      <c r="O27" s="159">
        <f>IF(D27=0,"-",(L27/D27))</f>
        <v>0.99959018073029793</v>
      </c>
      <c r="P27" s="159">
        <f>IF(D27=0,"-",(N27+O27))</f>
        <v>0.99959018073029793</v>
      </c>
      <c r="Q27" s="166" t="s">
        <v>484</v>
      </c>
    </row>
    <row r="28" spans="1:17" ht="15.6" x14ac:dyDescent="0.3">
      <c r="A28" s="41">
        <v>23</v>
      </c>
      <c r="B28" s="24" t="s">
        <v>434</v>
      </c>
      <c r="C28" s="118">
        <v>0</v>
      </c>
      <c r="D28" s="118">
        <v>0</v>
      </c>
      <c r="E28" s="118">
        <v>0</v>
      </c>
      <c r="F28" s="118">
        <v>0</v>
      </c>
      <c r="G28" s="118">
        <v>0</v>
      </c>
      <c r="H28" s="118">
        <v>0</v>
      </c>
      <c r="I28" s="118">
        <v>0</v>
      </c>
      <c r="J28" s="118">
        <v>0</v>
      </c>
      <c r="K28" s="180">
        <v>0</v>
      </c>
      <c r="L28" s="160">
        <v>0</v>
      </c>
      <c r="M28" s="159">
        <v>0</v>
      </c>
      <c r="N28" s="159">
        <v>0</v>
      </c>
      <c r="O28" s="159">
        <v>0</v>
      </c>
      <c r="P28" s="159">
        <v>0</v>
      </c>
      <c r="Q28" s="181"/>
    </row>
    <row r="29" spans="1:17" ht="164.25" customHeight="1" x14ac:dyDescent="0.3">
      <c r="A29" s="41">
        <v>24</v>
      </c>
      <c r="B29" s="24" t="s">
        <v>435</v>
      </c>
      <c r="C29" s="118">
        <v>13575</v>
      </c>
      <c r="D29" s="118">
        <v>10489</v>
      </c>
      <c r="E29" s="118">
        <v>0</v>
      </c>
      <c r="F29" s="118">
        <v>0</v>
      </c>
      <c r="G29" s="118">
        <v>0</v>
      </c>
      <c r="H29" s="118">
        <v>351</v>
      </c>
      <c r="I29" s="118">
        <v>0</v>
      </c>
      <c r="J29" s="118">
        <v>351</v>
      </c>
      <c r="K29" s="180">
        <v>0</v>
      </c>
      <c r="L29" s="160">
        <v>10138</v>
      </c>
      <c r="M29" s="189">
        <f t="shared" ref="M29:M62" si="3">IF(D29=0,"-",(J29/D29))</f>
        <v>3.3463628563256742E-2</v>
      </c>
      <c r="N29" s="189">
        <v>0</v>
      </c>
      <c r="O29" s="189">
        <f t="shared" ref="O29:O56" si="4">IF(D29=0,"-",(L29/D29))</f>
        <v>0.9665363714367432</v>
      </c>
      <c r="P29" s="189">
        <f t="shared" ref="P29:P47" si="5">IF(D29=0,"-",(N29+O29))</f>
        <v>0.9665363714367432</v>
      </c>
      <c r="Q29" s="22" t="s">
        <v>486</v>
      </c>
    </row>
    <row r="30" spans="1:17" ht="30" x14ac:dyDescent="0.3">
      <c r="A30" s="41">
        <v>25</v>
      </c>
      <c r="B30" s="24" t="s">
        <v>436</v>
      </c>
      <c r="C30" s="41">
        <v>754</v>
      </c>
      <c r="D30" s="41">
        <v>223</v>
      </c>
      <c r="E30" s="118">
        <v>0</v>
      </c>
      <c r="F30" s="118">
        <v>0</v>
      </c>
      <c r="G30" s="118">
        <v>0</v>
      </c>
      <c r="H30" s="118">
        <v>20</v>
      </c>
      <c r="I30" s="118">
        <v>0</v>
      </c>
      <c r="J30" s="118">
        <v>20</v>
      </c>
      <c r="K30" s="180">
        <v>0</v>
      </c>
      <c r="L30" s="160">
        <v>203</v>
      </c>
      <c r="M30" s="159">
        <f t="shared" si="3"/>
        <v>8.9686098654708515E-2</v>
      </c>
      <c r="N30" s="159">
        <v>0</v>
      </c>
      <c r="O30" s="159">
        <f t="shared" si="4"/>
        <v>0.91031390134529144</v>
      </c>
      <c r="P30" s="159">
        <f t="shared" si="5"/>
        <v>0.91031390134529144</v>
      </c>
      <c r="Q30" s="166" t="s">
        <v>485</v>
      </c>
    </row>
    <row r="31" spans="1:17" ht="75" x14ac:dyDescent="0.3">
      <c r="A31" s="41">
        <v>26</v>
      </c>
      <c r="B31" s="24" t="s">
        <v>437</v>
      </c>
      <c r="C31" s="118">
        <v>1603</v>
      </c>
      <c r="D31" s="118">
        <v>1354</v>
      </c>
      <c r="E31" s="118">
        <v>0</v>
      </c>
      <c r="F31" s="118">
        <v>0</v>
      </c>
      <c r="G31" s="118">
        <v>0</v>
      </c>
      <c r="H31" s="118">
        <v>3</v>
      </c>
      <c r="I31" s="118">
        <v>0</v>
      </c>
      <c r="J31" s="118">
        <v>3</v>
      </c>
      <c r="K31" s="180">
        <v>0</v>
      </c>
      <c r="L31" s="160">
        <v>1351</v>
      </c>
      <c r="M31" s="159">
        <f t="shared" si="3"/>
        <v>2.2156573116691287E-3</v>
      </c>
      <c r="N31" s="159">
        <v>0</v>
      </c>
      <c r="O31" s="159">
        <f t="shared" si="4"/>
        <v>0.99778434268833083</v>
      </c>
      <c r="P31" s="159">
        <f t="shared" si="5"/>
        <v>0.99778434268833083</v>
      </c>
      <c r="Q31" s="164" t="s">
        <v>487</v>
      </c>
    </row>
    <row r="32" spans="1:17" ht="15.6" x14ac:dyDescent="0.3">
      <c r="A32" s="41">
        <v>27</v>
      </c>
      <c r="B32" s="24" t="s">
        <v>438</v>
      </c>
      <c r="C32" s="41">
        <v>497</v>
      </c>
      <c r="D32" s="41">
        <v>705</v>
      </c>
      <c r="E32" s="118">
        <v>0</v>
      </c>
      <c r="F32" s="118">
        <v>0</v>
      </c>
      <c r="G32" s="118">
        <v>0</v>
      </c>
      <c r="H32" s="118">
        <v>0</v>
      </c>
      <c r="I32" s="118">
        <v>0</v>
      </c>
      <c r="J32" s="118">
        <v>0</v>
      </c>
      <c r="K32" s="180">
        <v>0</v>
      </c>
      <c r="L32" s="160">
        <v>705</v>
      </c>
      <c r="M32" s="159">
        <f t="shared" si="3"/>
        <v>0</v>
      </c>
      <c r="N32" s="159">
        <v>0</v>
      </c>
      <c r="O32" s="159">
        <f t="shared" si="4"/>
        <v>1</v>
      </c>
      <c r="P32" s="159">
        <f t="shared" si="5"/>
        <v>1</v>
      </c>
      <c r="Q32" s="165"/>
    </row>
    <row r="33" spans="1:17" ht="15.6" x14ac:dyDescent="0.3">
      <c r="A33" s="41">
        <v>28</v>
      </c>
      <c r="B33" s="24" t="s">
        <v>439</v>
      </c>
      <c r="C33" s="41">
        <v>0</v>
      </c>
      <c r="D33" s="41">
        <v>0</v>
      </c>
      <c r="E33" s="118">
        <v>0</v>
      </c>
      <c r="F33" s="118">
        <v>0</v>
      </c>
      <c r="G33" s="118">
        <v>0</v>
      </c>
      <c r="H33" s="118">
        <v>0</v>
      </c>
      <c r="I33" s="118">
        <v>0</v>
      </c>
      <c r="J33" s="118">
        <v>0</v>
      </c>
      <c r="K33" s="180">
        <v>0</v>
      </c>
      <c r="L33" s="160">
        <v>0</v>
      </c>
      <c r="M33" s="159" t="str">
        <f t="shared" si="3"/>
        <v>-</v>
      </c>
      <c r="N33" s="159" t="str">
        <f t="shared" ref="N33:N38" si="6">IF(K33=0,"-",(K33/D33))</f>
        <v>-</v>
      </c>
      <c r="O33" s="159" t="str">
        <f t="shared" si="4"/>
        <v>-</v>
      </c>
      <c r="P33" s="159" t="str">
        <f t="shared" si="5"/>
        <v>-</v>
      </c>
      <c r="Q33" s="188"/>
    </row>
    <row r="34" spans="1:17" ht="15.6" x14ac:dyDescent="0.3">
      <c r="A34" s="41">
        <v>29</v>
      </c>
      <c r="B34" s="24" t="s">
        <v>440</v>
      </c>
      <c r="C34" s="41">
        <v>0</v>
      </c>
      <c r="D34" s="41">
        <v>36</v>
      </c>
      <c r="E34" s="118">
        <v>0</v>
      </c>
      <c r="F34" s="118">
        <v>0</v>
      </c>
      <c r="G34" s="118">
        <v>0</v>
      </c>
      <c r="H34" s="118">
        <v>0</v>
      </c>
      <c r="I34" s="118">
        <v>0</v>
      </c>
      <c r="J34" s="118">
        <v>0</v>
      </c>
      <c r="K34" s="180">
        <v>0</v>
      </c>
      <c r="L34" s="160">
        <v>36</v>
      </c>
      <c r="M34" s="159">
        <f t="shared" si="3"/>
        <v>0</v>
      </c>
      <c r="N34" s="159" t="str">
        <f t="shared" si="6"/>
        <v>-</v>
      </c>
      <c r="O34" s="159">
        <f t="shared" si="4"/>
        <v>1</v>
      </c>
      <c r="P34" s="159" t="e">
        <f t="shared" si="5"/>
        <v>#VALUE!</v>
      </c>
      <c r="Q34" s="183"/>
    </row>
    <row r="35" spans="1:17" ht="15.6" x14ac:dyDescent="0.3">
      <c r="A35" s="41">
        <v>30</v>
      </c>
      <c r="B35" s="24" t="s">
        <v>441</v>
      </c>
      <c r="C35" s="41">
        <v>10</v>
      </c>
      <c r="D35" s="41">
        <v>14</v>
      </c>
      <c r="E35" s="118">
        <v>0</v>
      </c>
      <c r="F35" s="118">
        <v>0</v>
      </c>
      <c r="G35" s="118">
        <v>0</v>
      </c>
      <c r="H35" s="118">
        <v>0</v>
      </c>
      <c r="I35" s="118">
        <v>0</v>
      </c>
      <c r="J35" s="118">
        <v>0</v>
      </c>
      <c r="K35" s="180">
        <v>0</v>
      </c>
      <c r="L35" s="160">
        <v>14</v>
      </c>
      <c r="M35" s="159">
        <f t="shared" si="3"/>
        <v>0</v>
      </c>
      <c r="N35" s="159" t="str">
        <f t="shared" si="6"/>
        <v>-</v>
      </c>
      <c r="O35" s="159">
        <f t="shared" si="4"/>
        <v>1</v>
      </c>
      <c r="P35" s="159" t="e">
        <f t="shared" si="5"/>
        <v>#VALUE!</v>
      </c>
      <c r="Q35" s="165"/>
    </row>
    <row r="36" spans="1:17" ht="15.6" x14ac:dyDescent="0.3">
      <c r="A36" s="41">
        <v>31</v>
      </c>
      <c r="B36" s="24" t="s">
        <v>442</v>
      </c>
      <c r="C36" s="41">
        <v>0</v>
      </c>
      <c r="D36" s="41">
        <v>0</v>
      </c>
      <c r="E36" s="118">
        <v>0</v>
      </c>
      <c r="F36" s="118">
        <v>0</v>
      </c>
      <c r="G36" s="118">
        <v>0</v>
      </c>
      <c r="H36" s="118">
        <v>0</v>
      </c>
      <c r="I36" s="118">
        <v>0</v>
      </c>
      <c r="J36" s="118">
        <v>0</v>
      </c>
      <c r="K36" s="180">
        <v>0</v>
      </c>
      <c r="L36" s="160">
        <v>0</v>
      </c>
      <c r="M36" s="159" t="str">
        <f t="shared" si="3"/>
        <v>-</v>
      </c>
      <c r="N36" s="159" t="str">
        <f t="shared" si="6"/>
        <v>-</v>
      </c>
      <c r="O36" s="159" t="str">
        <f t="shared" si="4"/>
        <v>-</v>
      </c>
      <c r="P36" s="159" t="str">
        <f t="shared" si="5"/>
        <v>-</v>
      </c>
      <c r="Q36" s="165"/>
    </row>
    <row r="37" spans="1:17" ht="15.6" x14ac:dyDescent="0.3">
      <c r="A37" s="41">
        <v>32</v>
      </c>
      <c r="B37" s="24" t="s">
        <v>443</v>
      </c>
      <c r="C37" s="41">
        <v>0</v>
      </c>
      <c r="D37" s="41">
        <v>0</v>
      </c>
      <c r="E37" s="118">
        <v>0</v>
      </c>
      <c r="F37" s="118">
        <v>0</v>
      </c>
      <c r="G37" s="118">
        <v>0</v>
      </c>
      <c r="H37" s="118">
        <v>0</v>
      </c>
      <c r="I37" s="118">
        <v>0</v>
      </c>
      <c r="J37" s="118">
        <v>0</v>
      </c>
      <c r="K37" s="180">
        <v>0</v>
      </c>
      <c r="L37" s="160">
        <v>0</v>
      </c>
      <c r="M37" s="159" t="str">
        <f t="shared" si="3"/>
        <v>-</v>
      </c>
      <c r="N37" s="159" t="str">
        <f t="shared" si="6"/>
        <v>-</v>
      </c>
      <c r="O37" s="159" t="str">
        <f t="shared" si="4"/>
        <v>-</v>
      </c>
      <c r="P37" s="159" t="str">
        <f t="shared" si="5"/>
        <v>-</v>
      </c>
      <c r="Q37" s="165"/>
    </row>
    <row r="38" spans="1:17" ht="15.6" x14ac:dyDescent="0.3">
      <c r="A38" s="41">
        <v>33</v>
      </c>
      <c r="B38" s="24" t="s">
        <v>444</v>
      </c>
      <c r="C38" s="41">
        <v>0</v>
      </c>
      <c r="D38" s="41">
        <v>0</v>
      </c>
      <c r="E38" s="118">
        <v>0</v>
      </c>
      <c r="F38" s="118">
        <v>0</v>
      </c>
      <c r="G38" s="118">
        <v>0</v>
      </c>
      <c r="H38" s="118">
        <v>0</v>
      </c>
      <c r="I38" s="118">
        <v>0</v>
      </c>
      <c r="J38" s="118">
        <v>0</v>
      </c>
      <c r="K38" s="180">
        <v>0</v>
      </c>
      <c r="L38" s="160">
        <v>0</v>
      </c>
      <c r="M38" s="159" t="str">
        <f t="shared" si="3"/>
        <v>-</v>
      </c>
      <c r="N38" s="159" t="str">
        <f t="shared" si="6"/>
        <v>-</v>
      </c>
      <c r="O38" s="159" t="str">
        <f t="shared" si="4"/>
        <v>-</v>
      </c>
      <c r="P38" s="159" t="str">
        <f t="shared" si="5"/>
        <v>-</v>
      </c>
      <c r="Q38" s="165"/>
    </row>
    <row r="39" spans="1:17" ht="30" x14ac:dyDescent="0.3">
      <c r="A39" s="41">
        <v>34</v>
      </c>
      <c r="B39" s="24" t="s">
        <v>445</v>
      </c>
      <c r="C39" s="41">
        <v>231</v>
      </c>
      <c r="D39" s="41">
        <v>220</v>
      </c>
      <c r="E39" s="118">
        <v>0</v>
      </c>
      <c r="F39" s="118">
        <v>0</v>
      </c>
      <c r="G39" s="118">
        <v>2</v>
      </c>
      <c r="H39" s="118">
        <v>1</v>
      </c>
      <c r="I39" s="118">
        <v>0</v>
      </c>
      <c r="J39" s="118">
        <v>3</v>
      </c>
      <c r="K39" s="180">
        <v>0</v>
      </c>
      <c r="L39" s="160">
        <v>217</v>
      </c>
      <c r="M39" s="159">
        <f t="shared" si="3"/>
        <v>1.3636363636363636E-2</v>
      </c>
      <c r="N39" s="159">
        <v>0</v>
      </c>
      <c r="O39" s="159">
        <f t="shared" si="4"/>
        <v>0.98636363636363633</v>
      </c>
      <c r="P39" s="159">
        <f t="shared" si="5"/>
        <v>0.98636363636363633</v>
      </c>
      <c r="Q39" s="162" t="s">
        <v>488</v>
      </c>
    </row>
    <row r="40" spans="1:17" ht="70.5" customHeight="1" x14ac:dyDescent="0.3">
      <c r="A40" s="41">
        <v>35</v>
      </c>
      <c r="B40" s="24" t="s">
        <v>446</v>
      </c>
      <c r="C40" s="41">
        <v>10</v>
      </c>
      <c r="D40" s="41">
        <v>13</v>
      </c>
      <c r="E40" s="118">
        <v>0</v>
      </c>
      <c r="F40" s="118">
        <v>0</v>
      </c>
      <c r="G40" s="118">
        <v>0</v>
      </c>
      <c r="H40" s="118">
        <v>0</v>
      </c>
      <c r="I40" s="118">
        <v>0</v>
      </c>
      <c r="J40" s="118">
        <v>0</v>
      </c>
      <c r="K40" s="180">
        <v>0</v>
      </c>
      <c r="L40" s="160">
        <v>13</v>
      </c>
      <c r="M40" s="159">
        <f t="shared" si="3"/>
        <v>0</v>
      </c>
      <c r="N40" s="159">
        <v>0</v>
      </c>
      <c r="O40" s="159">
        <f t="shared" si="4"/>
        <v>1</v>
      </c>
      <c r="P40" s="159">
        <f t="shared" si="5"/>
        <v>1</v>
      </c>
      <c r="Q40" s="183"/>
    </row>
    <row r="41" spans="1:17" ht="15.6" x14ac:dyDescent="0.3">
      <c r="A41" s="41">
        <v>36</v>
      </c>
      <c r="B41" s="24" t="s">
        <v>447</v>
      </c>
      <c r="C41" s="41">
        <v>0</v>
      </c>
      <c r="D41" s="41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80">
        <v>0</v>
      </c>
      <c r="L41" s="160">
        <v>0</v>
      </c>
      <c r="M41" s="159" t="str">
        <f t="shared" si="3"/>
        <v>-</v>
      </c>
      <c r="N41" s="159" t="str">
        <f>IF(K41=0,"-",(K41/D41))</f>
        <v>-</v>
      </c>
      <c r="O41" s="159" t="str">
        <f t="shared" si="4"/>
        <v>-</v>
      </c>
      <c r="P41" s="159" t="str">
        <f t="shared" si="5"/>
        <v>-</v>
      </c>
      <c r="Q41" s="165"/>
    </row>
    <row r="42" spans="1:17" ht="15.6" x14ac:dyDescent="0.3">
      <c r="A42" s="41">
        <v>37</v>
      </c>
      <c r="B42" s="24" t="s">
        <v>448</v>
      </c>
      <c r="C42" s="41">
        <v>8</v>
      </c>
      <c r="D42" s="41">
        <v>14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80">
        <v>0</v>
      </c>
      <c r="L42" s="160">
        <v>14</v>
      </c>
      <c r="M42" s="159">
        <f t="shared" si="3"/>
        <v>0</v>
      </c>
      <c r="N42" s="159" t="str">
        <f>IF(K42=0,"-",(K42/D42))</f>
        <v>-</v>
      </c>
      <c r="O42" s="159">
        <f t="shared" si="4"/>
        <v>1</v>
      </c>
      <c r="P42" s="159" t="e">
        <f t="shared" si="5"/>
        <v>#VALUE!</v>
      </c>
      <c r="Q42" s="187"/>
    </row>
    <row r="43" spans="1:17" ht="15.6" x14ac:dyDescent="0.3">
      <c r="A43" s="41">
        <v>38</v>
      </c>
      <c r="B43" s="24" t="s">
        <v>449</v>
      </c>
      <c r="C43" s="41">
        <v>274</v>
      </c>
      <c r="D43" s="41">
        <v>325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80">
        <v>0</v>
      </c>
      <c r="L43" s="160">
        <v>325</v>
      </c>
      <c r="M43" s="159">
        <f t="shared" si="3"/>
        <v>0</v>
      </c>
      <c r="N43" s="159">
        <v>0</v>
      </c>
      <c r="O43" s="159">
        <f t="shared" si="4"/>
        <v>1</v>
      </c>
      <c r="P43" s="159">
        <f t="shared" si="5"/>
        <v>1</v>
      </c>
      <c r="Q43" s="165"/>
    </row>
    <row r="44" spans="1:17" ht="15" x14ac:dyDescent="0.3">
      <c r="A44" s="41">
        <v>39</v>
      </c>
      <c r="B44" s="24" t="s">
        <v>450</v>
      </c>
      <c r="C44" s="41">
        <v>176</v>
      </c>
      <c r="D44" s="41">
        <v>168</v>
      </c>
      <c r="E44" s="118">
        <v>0</v>
      </c>
      <c r="F44" s="118">
        <v>0</v>
      </c>
      <c r="G44" s="118">
        <v>2</v>
      </c>
      <c r="H44" s="118">
        <v>0</v>
      </c>
      <c r="I44" s="118">
        <v>0</v>
      </c>
      <c r="J44" s="118">
        <v>2</v>
      </c>
      <c r="K44" s="180">
        <v>0</v>
      </c>
      <c r="L44" s="160">
        <v>166</v>
      </c>
      <c r="M44" s="159">
        <f t="shared" si="3"/>
        <v>1.1904761904761904E-2</v>
      </c>
      <c r="N44" s="159">
        <v>0</v>
      </c>
      <c r="O44" s="159">
        <f t="shared" si="4"/>
        <v>0.98809523809523814</v>
      </c>
      <c r="P44" s="159">
        <f t="shared" si="5"/>
        <v>0.98809523809523814</v>
      </c>
      <c r="Q44" s="166" t="s">
        <v>134</v>
      </c>
    </row>
    <row r="45" spans="1:17" ht="36" customHeight="1" x14ac:dyDescent="0.3">
      <c r="A45" s="41">
        <v>40</v>
      </c>
      <c r="B45" s="24" t="s">
        <v>451</v>
      </c>
      <c r="C45" s="41">
        <v>272</v>
      </c>
      <c r="D45" s="41">
        <v>150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80">
        <v>0</v>
      </c>
      <c r="L45" s="160">
        <v>150</v>
      </c>
      <c r="M45" s="159">
        <f t="shared" si="3"/>
        <v>0</v>
      </c>
      <c r="N45" s="159">
        <v>0</v>
      </c>
      <c r="O45" s="159">
        <f t="shared" si="4"/>
        <v>1</v>
      </c>
      <c r="P45" s="159">
        <f t="shared" si="5"/>
        <v>1</v>
      </c>
      <c r="Q45" s="162"/>
    </row>
    <row r="46" spans="1:17" ht="94.5" customHeight="1" x14ac:dyDescent="0.3">
      <c r="A46" s="41">
        <v>41</v>
      </c>
      <c r="B46" s="24" t="s">
        <v>452</v>
      </c>
      <c r="C46" s="41">
        <v>109</v>
      </c>
      <c r="D46" s="41">
        <v>112</v>
      </c>
      <c r="E46" s="118">
        <v>0</v>
      </c>
      <c r="F46" s="118">
        <v>0</v>
      </c>
      <c r="G46" s="118">
        <v>3</v>
      </c>
      <c r="H46" s="118">
        <v>2</v>
      </c>
      <c r="I46" s="118">
        <v>0</v>
      </c>
      <c r="J46" s="118">
        <v>5</v>
      </c>
      <c r="K46" s="180">
        <v>0</v>
      </c>
      <c r="L46" s="160">
        <v>107</v>
      </c>
      <c r="M46" s="159">
        <f t="shared" si="3"/>
        <v>4.4642857142857144E-2</v>
      </c>
      <c r="N46" s="159">
        <v>0</v>
      </c>
      <c r="O46" s="159">
        <f t="shared" si="4"/>
        <v>0.9553571428571429</v>
      </c>
      <c r="P46" s="159">
        <f t="shared" si="5"/>
        <v>0.9553571428571429</v>
      </c>
      <c r="Q46" s="186" t="s">
        <v>489</v>
      </c>
    </row>
    <row r="47" spans="1:17" ht="15.6" x14ac:dyDescent="0.3">
      <c r="A47" s="41">
        <v>42</v>
      </c>
      <c r="B47" s="24" t="s">
        <v>453</v>
      </c>
      <c r="C47" s="41">
        <v>0</v>
      </c>
      <c r="D47" s="41">
        <v>0</v>
      </c>
      <c r="E47" s="118">
        <v>0</v>
      </c>
      <c r="F47" s="118">
        <v>0</v>
      </c>
      <c r="G47" s="118">
        <v>0</v>
      </c>
      <c r="H47" s="118">
        <v>0</v>
      </c>
      <c r="I47" s="118">
        <v>0</v>
      </c>
      <c r="J47" s="118">
        <v>0</v>
      </c>
      <c r="K47" s="180">
        <v>0</v>
      </c>
      <c r="L47" s="160">
        <v>0</v>
      </c>
      <c r="M47" s="159" t="str">
        <f t="shared" si="3"/>
        <v>-</v>
      </c>
      <c r="N47" s="159">
        <v>0</v>
      </c>
      <c r="O47" s="159" t="str">
        <f t="shared" si="4"/>
        <v>-</v>
      </c>
      <c r="P47" s="159" t="str">
        <f t="shared" si="5"/>
        <v>-</v>
      </c>
      <c r="Q47" s="178"/>
    </row>
    <row r="48" spans="1:17" ht="15.6" x14ac:dyDescent="0.3">
      <c r="A48" s="41">
        <v>43</v>
      </c>
      <c r="B48" s="24" t="s">
        <v>454</v>
      </c>
      <c r="C48" s="41">
        <v>4</v>
      </c>
      <c r="D48" s="41">
        <v>4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8">
        <v>0</v>
      </c>
      <c r="K48" s="180">
        <v>0</v>
      </c>
      <c r="L48" s="160">
        <v>4</v>
      </c>
      <c r="M48" s="159">
        <f t="shared" si="3"/>
        <v>0</v>
      </c>
      <c r="N48" s="159" t="str">
        <f>IF(K48=0,"-",(K48/D48))</f>
        <v>-</v>
      </c>
      <c r="O48" s="159">
        <f t="shared" si="4"/>
        <v>1</v>
      </c>
      <c r="P48" s="159">
        <v>1</v>
      </c>
      <c r="Q48" s="165"/>
    </row>
    <row r="49" spans="1:17" ht="15.6" x14ac:dyDescent="0.3">
      <c r="A49" s="41">
        <v>44</v>
      </c>
      <c r="B49" s="24" t="s">
        <v>455</v>
      </c>
      <c r="C49" s="41">
        <v>8</v>
      </c>
      <c r="D49" s="41">
        <v>36</v>
      </c>
      <c r="E49" s="118">
        <v>0</v>
      </c>
      <c r="F49" s="118">
        <v>0</v>
      </c>
      <c r="G49" s="118">
        <v>0</v>
      </c>
      <c r="H49" s="118">
        <v>0</v>
      </c>
      <c r="I49" s="118">
        <v>0</v>
      </c>
      <c r="J49" s="118">
        <v>0</v>
      </c>
      <c r="K49" s="180">
        <v>0</v>
      </c>
      <c r="L49" s="160">
        <v>36</v>
      </c>
      <c r="M49" s="159">
        <f t="shared" si="3"/>
        <v>0</v>
      </c>
      <c r="N49" s="159" t="str">
        <f>IF(K49=0,"-",(K49/D49))</f>
        <v>-</v>
      </c>
      <c r="O49" s="159">
        <f t="shared" si="4"/>
        <v>1</v>
      </c>
      <c r="P49" s="159">
        <v>1</v>
      </c>
      <c r="Q49" s="165"/>
    </row>
    <row r="50" spans="1:17" ht="15.6" x14ac:dyDescent="0.3">
      <c r="A50" s="41">
        <v>45</v>
      </c>
      <c r="B50" s="24" t="s">
        <v>456</v>
      </c>
      <c r="C50" s="41">
        <v>0</v>
      </c>
      <c r="D50" s="41">
        <v>0</v>
      </c>
      <c r="E50" s="118">
        <v>0</v>
      </c>
      <c r="F50" s="118">
        <v>0</v>
      </c>
      <c r="G50" s="118">
        <v>0</v>
      </c>
      <c r="H50" s="118">
        <v>0</v>
      </c>
      <c r="I50" s="118">
        <v>0</v>
      </c>
      <c r="J50" s="118">
        <v>0</v>
      </c>
      <c r="K50" s="180">
        <v>0</v>
      </c>
      <c r="L50" s="160">
        <v>0</v>
      </c>
      <c r="M50" s="159" t="str">
        <f t="shared" si="3"/>
        <v>-</v>
      </c>
      <c r="N50" s="159" t="str">
        <f>IF(K50=0,"-",(K50/D50))</f>
        <v>-</v>
      </c>
      <c r="O50" s="159" t="str">
        <f t="shared" si="4"/>
        <v>-</v>
      </c>
      <c r="P50" s="159" t="str">
        <f t="shared" ref="P50:P55" si="7">IF(D50=0,"-",(N50+O50))</f>
        <v>-</v>
      </c>
      <c r="Q50" s="185"/>
    </row>
    <row r="51" spans="1:17" ht="15.6" x14ac:dyDescent="0.3">
      <c r="A51" s="41">
        <v>46</v>
      </c>
      <c r="B51" s="24" t="s">
        <v>457</v>
      </c>
      <c r="C51" s="41">
        <v>0</v>
      </c>
      <c r="D51" s="41">
        <v>0</v>
      </c>
      <c r="E51" s="118">
        <v>0</v>
      </c>
      <c r="F51" s="118">
        <v>0</v>
      </c>
      <c r="G51" s="118">
        <v>0</v>
      </c>
      <c r="H51" s="118">
        <v>0</v>
      </c>
      <c r="I51" s="118">
        <v>0</v>
      </c>
      <c r="J51" s="118">
        <v>0</v>
      </c>
      <c r="K51" s="180">
        <v>0</v>
      </c>
      <c r="L51" s="160">
        <v>0</v>
      </c>
      <c r="M51" s="159" t="str">
        <f t="shared" si="3"/>
        <v>-</v>
      </c>
      <c r="N51" s="159" t="str">
        <f>IF(K51=0,"-",(K51/D51))</f>
        <v>-</v>
      </c>
      <c r="O51" s="159" t="str">
        <f t="shared" si="4"/>
        <v>-</v>
      </c>
      <c r="P51" s="159" t="str">
        <f t="shared" si="7"/>
        <v>-</v>
      </c>
      <c r="Q51" s="165"/>
    </row>
    <row r="52" spans="1:17" ht="15" x14ac:dyDescent="0.3">
      <c r="A52" s="41">
        <v>47</v>
      </c>
      <c r="B52" s="24" t="s">
        <v>458</v>
      </c>
      <c r="C52" s="41">
        <v>29</v>
      </c>
      <c r="D52" s="41">
        <v>149</v>
      </c>
      <c r="E52" s="118">
        <v>0</v>
      </c>
      <c r="F52" s="118">
        <v>0</v>
      </c>
      <c r="G52" s="118">
        <v>0</v>
      </c>
      <c r="H52" s="118">
        <v>0</v>
      </c>
      <c r="I52" s="118">
        <v>0</v>
      </c>
      <c r="J52" s="118">
        <v>0</v>
      </c>
      <c r="K52" s="180">
        <v>0</v>
      </c>
      <c r="L52" s="160">
        <v>149</v>
      </c>
      <c r="M52" s="159">
        <f t="shared" si="3"/>
        <v>0</v>
      </c>
      <c r="N52" s="159">
        <v>0</v>
      </c>
      <c r="O52" s="159">
        <f t="shared" si="4"/>
        <v>1</v>
      </c>
      <c r="P52" s="159">
        <f t="shared" si="7"/>
        <v>1</v>
      </c>
      <c r="Q52" s="162"/>
    </row>
    <row r="53" spans="1:17" ht="15" x14ac:dyDescent="0.3">
      <c r="A53" s="41">
        <v>48</v>
      </c>
      <c r="B53" s="24" t="s">
        <v>459</v>
      </c>
      <c r="C53" s="41">
        <v>109</v>
      </c>
      <c r="D53" s="41">
        <v>193</v>
      </c>
      <c r="E53" s="118">
        <v>0</v>
      </c>
      <c r="F53" s="118">
        <v>0</v>
      </c>
      <c r="G53" s="118">
        <v>0</v>
      </c>
      <c r="H53" s="118">
        <v>0</v>
      </c>
      <c r="I53" s="118">
        <v>22</v>
      </c>
      <c r="J53" s="118">
        <v>22</v>
      </c>
      <c r="K53" s="180">
        <v>0</v>
      </c>
      <c r="L53" s="160">
        <v>171</v>
      </c>
      <c r="M53" s="159">
        <f t="shared" si="3"/>
        <v>0.11398963730569948</v>
      </c>
      <c r="N53" s="159">
        <v>0</v>
      </c>
      <c r="O53" s="159">
        <f t="shared" si="4"/>
        <v>0.88601036269430056</v>
      </c>
      <c r="P53" s="159">
        <f t="shared" si="7"/>
        <v>0.88601036269430056</v>
      </c>
      <c r="Q53" s="184" t="s">
        <v>490</v>
      </c>
    </row>
    <row r="54" spans="1:17" ht="15.6" x14ac:dyDescent="0.3">
      <c r="A54" s="41">
        <v>49</v>
      </c>
      <c r="B54" s="24" t="s">
        <v>460</v>
      </c>
      <c r="C54" s="41">
        <v>274</v>
      </c>
      <c r="D54" s="41">
        <v>216</v>
      </c>
      <c r="E54" s="118">
        <v>0</v>
      </c>
      <c r="F54" s="118">
        <v>0</v>
      </c>
      <c r="G54" s="118">
        <v>0</v>
      </c>
      <c r="H54" s="118">
        <v>0</v>
      </c>
      <c r="I54" s="118">
        <v>0</v>
      </c>
      <c r="J54" s="118">
        <v>0</v>
      </c>
      <c r="K54" s="180">
        <v>0</v>
      </c>
      <c r="L54" s="160">
        <v>216</v>
      </c>
      <c r="M54" s="159">
        <f t="shared" si="3"/>
        <v>0</v>
      </c>
      <c r="N54" s="159">
        <v>0</v>
      </c>
      <c r="O54" s="159">
        <f t="shared" si="4"/>
        <v>1</v>
      </c>
      <c r="P54" s="159">
        <f t="shared" si="7"/>
        <v>1</v>
      </c>
      <c r="Q54" s="165"/>
    </row>
    <row r="55" spans="1:17" ht="15.6" x14ac:dyDescent="0.3">
      <c r="A55" s="41">
        <v>50</v>
      </c>
      <c r="B55" s="24" t="s">
        <v>461</v>
      </c>
      <c r="C55" s="41">
        <v>46</v>
      </c>
      <c r="D55" s="41">
        <v>48</v>
      </c>
      <c r="E55" s="118">
        <v>0</v>
      </c>
      <c r="F55" s="118">
        <v>0</v>
      </c>
      <c r="G55" s="118">
        <v>0</v>
      </c>
      <c r="H55" s="118">
        <v>0</v>
      </c>
      <c r="I55" s="118">
        <v>0</v>
      </c>
      <c r="J55" s="118">
        <v>0</v>
      </c>
      <c r="K55" s="180">
        <v>0</v>
      </c>
      <c r="L55" s="160">
        <v>48</v>
      </c>
      <c r="M55" s="159">
        <f t="shared" si="3"/>
        <v>0</v>
      </c>
      <c r="N55" s="159" t="str">
        <f>IF(K55=0,"-",(K55/D55))</f>
        <v>-</v>
      </c>
      <c r="O55" s="159">
        <f t="shared" si="4"/>
        <v>1</v>
      </c>
      <c r="P55" s="159" t="e">
        <f t="shared" si="7"/>
        <v>#VALUE!</v>
      </c>
      <c r="Q55" s="165"/>
    </row>
    <row r="56" spans="1:17" ht="15.6" x14ac:dyDescent="0.3">
      <c r="A56" s="41">
        <v>51</v>
      </c>
      <c r="B56" s="24" t="s">
        <v>462</v>
      </c>
      <c r="C56" s="41">
        <v>0</v>
      </c>
      <c r="D56" s="41">
        <v>7</v>
      </c>
      <c r="E56" s="118">
        <v>0</v>
      </c>
      <c r="F56" s="118">
        <v>0</v>
      </c>
      <c r="G56" s="118">
        <v>0</v>
      </c>
      <c r="H56" s="118">
        <v>0</v>
      </c>
      <c r="I56" s="118">
        <v>0</v>
      </c>
      <c r="J56" s="118">
        <v>0</v>
      </c>
      <c r="K56" s="180">
        <v>0</v>
      </c>
      <c r="L56" s="160">
        <v>7</v>
      </c>
      <c r="M56" s="159">
        <f t="shared" si="3"/>
        <v>0</v>
      </c>
      <c r="N56" s="159" t="str">
        <f>IF(K56=0,"-",(K56/D56))</f>
        <v>-</v>
      </c>
      <c r="O56" s="159">
        <f t="shared" si="4"/>
        <v>1</v>
      </c>
      <c r="P56" s="159">
        <v>1</v>
      </c>
      <c r="Q56" s="165"/>
    </row>
    <row r="57" spans="1:17" ht="15.6" x14ac:dyDescent="0.3">
      <c r="A57" s="41">
        <v>52</v>
      </c>
      <c r="B57" s="24" t="s">
        <v>463</v>
      </c>
      <c r="C57" s="41">
        <v>283</v>
      </c>
      <c r="D57" s="41">
        <v>216</v>
      </c>
      <c r="E57" s="118">
        <v>0</v>
      </c>
      <c r="F57" s="118">
        <v>0</v>
      </c>
      <c r="G57" s="118">
        <v>0</v>
      </c>
      <c r="H57" s="118">
        <v>0</v>
      </c>
      <c r="I57" s="118">
        <v>0</v>
      </c>
      <c r="J57" s="118">
        <v>0</v>
      </c>
      <c r="K57" s="180">
        <v>0</v>
      </c>
      <c r="L57" s="160">
        <v>216</v>
      </c>
      <c r="M57" s="159">
        <f t="shared" si="3"/>
        <v>0</v>
      </c>
      <c r="N57" s="159">
        <v>0</v>
      </c>
      <c r="O57" s="159">
        <v>1</v>
      </c>
      <c r="P57" s="159">
        <v>1</v>
      </c>
      <c r="Q57" s="165"/>
    </row>
    <row r="58" spans="1:17" ht="15.6" x14ac:dyDescent="0.3">
      <c r="A58" s="41">
        <v>53</v>
      </c>
      <c r="B58" s="24" t="s">
        <v>464</v>
      </c>
      <c r="C58" s="41">
        <v>0</v>
      </c>
      <c r="D58" s="41">
        <v>13</v>
      </c>
      <c r="E58" s="118">
        <v>0</v>
      </c>
      <c r="F58" s="118">
        <v>0</v>
      </c>
      <c r="G58" s="118">
        <v>0</v>
      </c>
      <c r="H58" s="118">
        <v>0</v>
      </c>
      <c r="I58" s="118">
        <v>0</v>
      </c>
      <c r="J58" s="118">
        <v>0</v>
      </c>
      <c r="K58" s="180">
        <v>0</v>
      </c>
      <c r="L58" s="160">
        <v>13</v>
      </c>
      <c r="M58" s="159">
        <f t="shared" si="3"/>
        <v>0</v>
      </c>
      <c r="N58" s="159" t="str">
        <f>IF(K58=0,"-",(K58/D58))</f>
        <v>-</v>
      </c>
      <c r="O58" s="159">
        <f>IF(D58=0,"-",(L58/D58))</f>
        <v>1</v>
      </c>
      <c r="P58" s="159" t="e">
        <f>IF(D58=0,"-",(N58+O58))</f>
        <v>#VALUE!</v>
      </c>
      <c r="Q58" s="165"/>
    </row>
    <row r="59" spans="1:17" ht="15" x14ac:dyDescent="0.3">
      <c r="A59" s="41">
        <v>54</v>
      </c>
      <c r="B59" s="24" t="s">
        <v>465</v>
      </c>
      <c r="C59" s="41">
        <v>213</v>
      </c>
      <c r="D59" s="41">
        <v>232</v>
      </c>
      <c r="E59" s="118">
        <v>0</v>
      </c>
      <c r="F59" s="118">
        <v>0</v>
      </c>
      <c r="G59" s="118">
        <v>0</v>
      </c>
      <c r="H59" s="118">
        <v>0</v>
      </c>
      <c r="I59" s="118">
        <v>0</v>
      </c>
      <c r="J59" s="118">
        <v>0</v>
      </c>
      <c r="K59" s="180">
        <v>0</v>
      </c>
      <c r="L59" s="160">
        <v>232</v>
      </c>
      <c r="M59" s="159">
        <f t="shared" si="3"/>
        <v>0</v>
      </c>
      <c r="N59" s="159">
        <v>0</v>
      </c>
      <c r="O59" s="159">
        <f>IF(D59=0,"-",(L59/D59))</f>
        <v>1</v>
      </c>
      <c r="P59" s="159">
        <f>IF(D59=0,"-",(N59+O59))</f>
        <v>1</v>
      </c>
      <c r="Q59" s="162"/>
    </row>
    <row r="60" spans="1:17" ht="15.6" x14ac:dyDescent="0.3">
      <c r="A60" s="41">
        <v>55</v>
      </c>
      <c r="B60" s="24" t="s">
        <v>466</v>
      </c>
      <c r="C60" s="41">
        <v>264</v>
      </c>
      <c r="D60" s="41">
        <v>214</v>
      </c>
      <c r="E60" s="118">
        <v>0</v>
      </c>
      <c r="F60" s="118">
        <v>0</v>
      </c>
      <c r="G60" s="118">
        <v>0</v>
      </c>
      <c r="H60" s="118">
        <v>0</v>
      </c>
      <c r="I60" s="118">
        <v>0</v>
      </c>
      <c r="J60" s="118">
        <v>0</v>
      </c>
      <c r="K60" s="180">
        <v>0</v>
      </c>
      <c r="L60" s="160">
        <v>214</v>
      </c>
      <c r="M60" s="159">
        <f t="shared" si="3"/>
        <v>0</v>
      </c>
      <c r="N60" s="159">
        <v>0</v>
      </c>
      <c r="O60" s="159">
        <f>IF(D60=0,"-",(L60/D60))</f>
        <v>1</v>
      </c>
      <c r="P60" s="159">
        <f>IF(D60=0,"-",(N60+O60))</f>
        <v>1</v>
      </c>
      <c r="Q60" s="183"/>
    </row>
    <row r="61" spans="1:17" ht="15.6" x14ac:dyDescent="0.3">
      <c r="A61" s="41">
        <v>56</v>
      </c>
      <c r="B61" s="24" t="s">
        <v>467</v>
      </c>
      <c r="C61" s="41">
        <v>0</v>
      </c>
      <c r="D61" s="41">
        <v>0</v>
      </c>
      <c r="E61" s="118">
        <v>0</v>
      </c>
      <c r="F61" s="118">
        <v>0</v>
      </c>
      <c r="G61" s="118">
        <v>0</v>
      </c>
      <c r="H61" s="118">
        <v>0</v>
      </c>
      <c r="I61" s="118">
        <v>0</v>
      </c>
      <c r="J61" s="118">
        <v>0</v>
      </c>
      <c r="K61" s="180">
        <v>0</v>
      </c>
      <c r="L61" s="160">
        <v>0</v>
      </c>
      <c r="M61" s="159" t="str">
        <f t="shared" si="3"/>
        <v>-</v>
      </c>
      <c r="N61" s="159" t="str">
        <f>IF(K61=0,"-",(K61/D61))</f>
        <v>-</v>
      </c>
      <c r="O61" s="159" t="str">
        <f>IF(D61=0,"-",(L61/D61))</f>
        <v>-</v>
      </c>
      <c r="P61" s="159" t="str">
        <f>IF(D61=0,"-",(N61+O61))</f>
        <v>-</v>
      </c>
      <c r="Q61" s="165"/>
    </row>
    <row r="62" spans="1:17" ht="15.6" x14ac:dyDescent="0.3">
      <c r="A62" s="41">
        <v>57</v>
      </c>
      <c r="B62" s="24" t="s">
        <v>468</v>
      </c>
      <c r="C62" s="41">
        <v>308</v>
      </c>
      <c r="D62" s="41">
        <v>283</v>
      </c>
      <c r="E62" s="118">
        <v>0</v>
      </c>
      <c r="F62" s="118">
        <v>0</v>
      </c>
      <c r="G62" s="118">
        <v>0</v>
      </c>
      <c r="H62" s="118">
        <v>0</v>
      </c>
      <c r="I62" s="118">
        <v>0</v>
      </c>
      <c r="J62" s="118">
        <v>0</v>
      </c>
      <c r="K62" s="180">
        <v>0</v>
      </c>
      <c r="L62" s="160">
        <v>283</v>
      </c>
      <c r="M62" s="159">
        <f t="shared" si="3"/>
        <v>0</v>
      </c>
      <c r="N62" s="159">
        <v>0</v>
      </c>
      <c r="O62" s="159">
        <f>IF(D62=0,"-",(L62/D62))</f>
        <v>1</v>
      </c>
      <c r="P62" s="159">
        <f>IF(D62=0,"-",(N62+O62))</f>
        <v>1</v>
      </c>
      <c r="Q62" s="182"/>
    </row>
    <row r="63" spans="1:17" ht="15.6" x14ac:dyDescent="0.3">
      <c r="A63" s="41">
        <v>58</v>
      </c>
      <c r="B63" s="24" t="s">
        <v>469</v>
      </c>
      <c r="C63" s="41">
        <v>0</v>
      </c>
      <c r="D63" s="41">
        <v>0</v>
      </c>
      <c r="E63" s="118">
        <v>0</v>
      </c>
      <c r="F63" s="118">
        <v>0</v>
      </c>
      <c r="G63" s="118">
        <v>0</v>
      </c>
      <c r="H63" s="118">
        <v>0</v>
      </c>
      <c r="I63" s="118">
        <v>0</v>
      </c>
      <c r="J63" s="118">
        <v>0</v>
      </c>
      <c r="K63" s="180">
        <v>0</v>
      </c>
      <c r="L63" s="160">
        <v>0</v>
      </c>
      <c r="M63" s="159"/>
      <c r="N63" s="159"/>
      <c r="O63" s="159"/>
      <c r="P63" s="159"/>
      <c r="Q63" s="182"/>
    </row>
    <row r="64" spans="1:17" ht="35.25" customHeight="1" x14ac:dyDescent="0.3">
      <c r="A64" s="41">
        <v>59</v>
      </c>
      <c r="B64" s="24" t="s">
        <v>470</v>
      </c>
      <c r="C64" s="41">
        <v>5301</v>
      </c>
      <c r="D64" s="41">
        <v>4674</v>
      </c>
      <c r="E64" s="118">
        <v>0</v>
      </c>
      <c r="F64" s="118">
        <v>0</v>
      </c>
      <c r="G64" s="118">
        <v>25</v>
      </c>
      <c r="H64" s="118">
        <v>0</v>
      </c>
      <c r="I64" s="118">
        <v>0</v>
      </c>
      <c r="J64" s="118">
        <v>25</v>
      </c>
      <c r="K64" s="180">
        <v>0</v>
      </c>
      <c r="L64" s="160">
        <v>4649</v>
      </c>
      <c r="M64" s="159">
        <f>IF(D64=0,"-",(J64/D64))</f>
        <v>5.3487376979032952E-3</v>
      </c>
      <c r="N64" s="159">
        <v>0</v>
      </c>
      <c r="O64" s="159">
        <f>IF(D64=0,"-",(L64/D64))</f>
        <v>0.99465126230209666</v>
      </c>
      <c r="P64" s="159">
        <f>IF(D64=0,"-",(N64+O64))</f>
        <v>0.99465126230209666</v>
      </c>
      <c r="Q64" s="164" t="s">
        <v>491</v>
      </c>
    </row>
    <row r="65" spans="1:17" ht="48" customHeight="1" x14ac:dyDescent="0.3">
      <c r="A65" s="41">
        <v>60</v>
      </c>
      <c r="B65" s="24" t="s">
        <v>471</v>
      </c>
      <c r="C65" s="41">
        <v>0</v>
      </c>
      <c r="D65" s="41">
        <v>489</v>
      </c>
      <c r="E65" s="118">
        <v>0</v>
      </c>
      <c r="F65" s="118">
        <v>0</v>
      </c>
      <c r="G65" s="118">
        <v>1</v>
      </c>
      <c r="H65" s="118">
        <v>0</v>
      </c>
      <c r="I65" s="118">
        <v>0</v>
      </c>
      <c r="J65" s="118">
        <v>1</v>
      </c>
      <c r="K65" s="180">
        <v>0</v>
      </c>
      <c r="L65" s="160">
        <v>488</v>
      </c>
      <c r="M65" s="159">
        <v>0</v>
      </c>
      <c r="N65" s="159">
        <v>0</v>
      </c>
      <c r="O65" s="159">
        <v>0</v>
      </c>
      <c r="P65" s="159">
        <v>0</v>
      </c>
      <c r="Q65" s="22" t="s">
        <v>133</v>
      </c>
    </row>
    <row r="66" spans="1:17" ht="23.25" customHeight="1" x14ac:dyDescent="0.3">
      <c r="A66" s="41">
        <v>61</v>
      </c>
      <c r="B66" s="24" t="s">
        <v>472</v>
      </c>
      <c r="C66" s="41">
        <v>0</v>
      </c>
      <c r="D66" s="41">
        <v>26</v>
      </c>
      <c r="E66" s="118">
        <v>0</v>
      </c>
      <c r="F66" s="118">
        <v>0</v>
      </c>
      <c r="G66" s="118">
        <v>0</v>
      </c>
      <c r="H66" s="118">
        <v>0</v>
      </c>
      <c r="I66" s="118">
        <v>0</v>
      </c>
      <c r="J66" s="118">
        <v>0</v>
      </c>
      <c r="K66" s="180">
        <v>0</v>
      </c>
      <c r="L66" s="160">
        <v>26</v>
      </c>
      <c r="M66" s="159">
        <v>0</v>
      </c>
      <c r="N66" s="159">
        <v>0</v>
      </c>
      <c r="O66" s="159">
        <v>0</v>
      </c>
      <c r="P66" s="159">
        <v>0</v>
      </c>
      <c r="Q66" s="181"/>
    </row>
    <row r="67" spans="1:17" ht="15" x14ac:dyDescent="0.3">
      <c r="A67" s="41">
        <v>62</v>
      </c>
      <c r="B67" s="24" t="s">
        <v>473</v>
      </c>
      <c r="C67" s="118">
        <v>56</v>
      </c>
      <c r="D67" s="118">
        <v>64</v>
      </c>
      <c r="E67" s="118">
        <v>0</v>
      </c>
      <c r="F67" s="118">
        <v>0</v>
      </c>
      <c r="G67" s="118">
        <v>1</v>
      </c>
      <c r="H67" s="118">
        <v>0</v>
      </c>
      <c r="I67" s="118">
        <v>0</v>
      </c>
      <c r="J67" s="118">
        <v>1</v>
      </c>
      <c r="K67" s="180">
        <v>0</v>
      </c>
      <c r="L67" s="160">
        <v>63</v>
      </c>
      <c r="M67" s="159">
        <f>IF(D67=0,"-",(J67/D67))</f>
        <v>1.5625E-2</v>
      </c>
      <c r="N67" s="159">
        <v>0</v>
      </c>
      <c r="O67" s="159">
        <f>IF(D67=0,"-",(L67/D67))</f>
        <v>0.984375</v>
      </c>
      <c r="P67" s="159">
        <f>IF(D67=0,"-",(N67+O67))</f>
        <v>0.984375</v>
      </c>
      <c r="Q67" s="22" t="s">
        <v>132</v>
      </c>
    </row>
    <row r="68" spans="1:17" ht="15.6" x14ac:dyDescent="0.3">
      <c r="A68" s="41">
        <v>63</v>
      </c>
      <c r="B68" s="24" t="s">
        <v>474</v>
      </c>
      <c r="C68" s="118">
        <v>66</v>
      </c>
      <c r="D68" s="118">
        <v>75</v>
      </c>
      <c r="E68" s="118">
        <v>0</v>
      </c>
      <c r="F68" s="118">
        <v>0</v>
      </c>
      <c r="G68" s="118">
        <v>0</v>
      </c>
      <c r="H68" s="118">
        <v>0</v>
      </c>
      <c r="I68" s="118">
        <v>0</v>
      </c>
      <c r="J68" s="118">
        <v>0</v>
      </c>
      <c r="K68" s="180">
        <v>0</v>
      </c>
      <c r="L68" s="160">
        <v>75</v>
      </c>
      <c r="M68" s="159">
        <v>0</v>
      </c>
      <c r="N68" s="159">
        <v>0</v>
      </c>
      <c r="O68" s="159">
        <v>1</v>
      </c>
      <c r="P68" s="159">
        <v>1</v>
      </c>
      <c r="Q68" s="181"/>
    </row>
    <row r="69" spans="1:17" ht="15.6" x14ac:dyDescent="0.3">
      <c r="A69" s="41">
        <v>64</v>
      </c>
      <c r="B69" s="24" t="s">
        <v>475</v>
      </c>
      <c r="C69" s="118">
        <v>0</v>
      </c>
      <c r="D69" s="118">
        <v>0</v>
      </c>
      <c r="E69" s="118">
        <v>0</v>
      </c>
      <c r="F69" s="118">
        <v>0</v>
      </c>
      <c r="G69" s="118">
        <v>0</v>
      </c>
      <c r="H69" s="118">
        <v>0</v>
      </c>
      <c r="I69" s="118">
        <v>0</v>
      </c>
      <c r="J69" s="118">
        <v>0</v>
      </c>
      <c r="K69" s="180">
        <v>0</v>
      </c>
      <c r="L69" s="160">
        <v>0</v>
      </c>
      <c r="M69" s="159">
        <v>0</v>
      </c>
      <c r="N69" s="159">
        <v>0</v>
      </c>
      <c r="O69" s="159">
        <v>0</v>
      </c>
      <c r="P69" s="159">
        <v>0</v>
      </c>
      <c r="Q69" s="181"/>
    </row>
    <row r="70" spans="1:17" ht="15.6" x14ac:dyDescent="0.3">
      <c r="A70" s="41">
        <v>65</v>
      </c>
      <c r="B70" s="24" t="s">
        <v>476</v>
      </c>
      <c r="C70" s="41">
        <v>680</v>
      </c>
      <c r="D70" s="118">
        <v>1151</v>
      </c>
      <c r="E70" s="118">
        <v>0</v>
      </c>
      <c r="F70" s="118">
        <v>0</v>
      </c>
      <c r="G70" s="118">
        <v>0</v>
      </c>
      <c r="H70" s="118">
        <v>0</v>
      </c>
      <c r="I70" s="118">
        <v>0</v>
      </c>
      <c r="J70" s="118">
        <v>0</v>
      </c>
      <c r="K70" s="180">
        <v>0</v>
      </c>
      <c r="L70" s="160">
        <v>1151</v>
      </c>
      <c r="M70" s="159">
        <f>IF(D70=0,"-",(J70/D70))</f>
        <v>0</v>
      </c>
      <c r="N70" s="159">
        <v>0</v>
      </c>
      <c r="O70" s="179">
        <v>1</v>
      </c>
      <c r="P70" s="159">
        <v>1</v>
      </c>
      <c r="Q70" s="165"/>
    </row>
    <row r="71" spans="1:17" ht="15.6" x14ac:dyDescent="0.3">
      <c r="A71" s="41">
        <v>66</v>
      </c>
      <c r="B71" s="24" t="s">
        <v>477</v>
      </c>
      <c r="C71" s="41">
        <v>42</v>
      </c>
      <c r="D71" s="41">
        <v>65</v>
      </c>
      <c r="E71" s="118">
        <v>0</v>
      </c>
      <c r="F71" s="118">
        <v>0</v>
      </c>
      <c r="G71" s="118">
        <v>0</v>
      </c>
      <c r="H71" s="118">
        <v>0</v>
      </c>
      <c r="I71" s="118">
        <v>0</v>
      </c>
      <c r="J71" s="118">
        <v>0</v>
      </c>
      <c r="K71" s="180">
        <v>0</v>
      </c>
      <c r="L71" s="160">
        <v>65</v>
      </c>
      <c r="M71" s="159">
        <f>IF(D71=0,"-",(J71/D71))</f>
        <v>0</v>
      </c>
      <c r="N71" s="159">
        <v>0</v>
      </c>
      <c r="O71" s="179">
        <v>1</v>
      </c>
      <c r="P71" s="159">
        <v>1</v>
      </c>
      <c r="Q71" s="178"/>
    </row>
    <row r="72" spans="1:17" ht="15.6" x14ac:dyDescent="0.3">
      <c r="A72" s="41">
        <v>67</v>
      </c>
      <c r="B72" s="24" t="s">
        <v>478</v>
      </c>
      <c r="C72" s="41">
        <v>2751</v>
      </c>
      <c r="D72" s="41">
        <v>2312</v>
      </c>
      <c r="E72" s="118">
        <v>0</v>
      </c>
      <c r="F72" s="118">
        <v>0</v>
      </c>
      <c r="G72" s="118">
        <v>0</v>
      </c>
      <c r="H72" s="118">
        <v>0</v>
      </c>
      <c r="I72" s="118">
        <v>0</v>
      </c>
      <c r="J72" s="118">
        <v>0</v>
      </c>
      <c r="K72" s="180">
        <v>0</v>
      </c>
      <c r="L72" s="160">
        <v>2312</v>
      </c>
      <c r="M72" s="159">
        <f>IF(D72=0,"-",(J72/D72))</f>
        <v>0</v>
      </c>
      <c r="N72" s="159">
        <v>0</v>
      </c>
      <c r="O72" s="179">
        <v>1</v>
      </c>
      <c r="P72" s="179">
        <v>1</v>
      </c>
      <c r="Q72" s="178"/>
    </row>
    <row r="73" spans="1:17" ht="27.75" customHeight="1" x14ac:dyDescent="0.3">
      <c r="A73" s="235" t="s">
        <v>131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</row>
    <row r="74" spans="1:17" ht="15" x14ac:dyDescent="0.3">
      <c r="A74" s="41">
        <v>68</v>
      </c>
      <c r="B74" s="54" t="s">
        <v>479</v>
      </c>
      <c r="C74" s="118">
        <v>955</v>
      </c>
      <c r="D74" s="118">
        <v>129</v>
      </c>
      <c r="E74" s="161">
        <v>0</v>
      </c>
      <c r="F74" s="161">
        <v>0</v>
      </c>
      <c r="G74" s="161">
        <v>0</v>
      </c>
      <c r="H74" s="161">
        <v>0</v>
      </c>
      <c r="I74" s="161">
        <v>0</v>
      </c>
      <c r="J74" s="161">
        <v>0</v>
      </c>
      <c r="K74" s="161">
        <v>0</v>
      </c>
      <c r="L74" s="160">
        <f>IF(D74=0,"-",D74-(J74+K74))</f>
        <v>129</v>
      </c>
      <c r="M74" s="160" t="s">
        <v>115</v>
      </c>
      <c r="N74" s="40">
        <v>0</v>
      </c>
      <c r="O74" s="177">
        <f>IF(D74=0,"-",(L74/D74))</f>
        <v>1</v>
      </c>
      <c r="P74" s="177">
        <f>IF(D74=0,"-",(N74+O74))</f>
        <v>1</v>
      </c>
      <c r="Q74" s="176"/>
    </row>
    <row r="75" spans="1:17" ht="23.25" customHeight="1" x14ac:dyDescent="0.3">
      <c r="A75" s="41">
        <v>69</v>
      </c>
      <c r="B75" s="54" t="s">
        <v>480</v>
      </c>
      <c r="C75" s="118">
        <v>13</v>
      </c>
      <c r="D75" s="118">
        <v>26</v>
      </c>
      <c r="E75" s="161">
        <v>0</v>
      </c>
      <c r="F75" s="161">
        <v>0</v>
      </c>
      <c r="G75" s="161">
        <v>0</v>
      </c>
      <c r="H75" s="161">
        <v>0</v>
      </c>
      <c r="I75" s="161">
        <v>0</v>
      </c>
      <c r="J75" s="161">
        <v>0</v>
      </c>
      <c r="K75" s="161">
        <v>0</v>
      </c>
      <c r="L75" s="160">
        <f>IF(D75=0,"-",D75-(J75+K75))</f>
        <v>26</v>
      </c>
      <c r="M75" s="160" t="s">
        <v>115</v>
      </c>
      <c r="N75" s="40">
        <v>0</v>
      </c>
      <c r="O75" s="177">
        <f>IF(D75=0,"-",(L75/D75))</f>
        <v>1</v>
      </c>
      <c r="P75" s="177">
        <f>IF(D75=0,"-",(N75+O75))</f>
        <v>1</v>
      </c>
      <c r="Q75" s="176"/>
    </row>
    <row r="76" spans="1:17" ht="23.25" customHeight="1" x14ac:dyDescent="0.3">
      <c r="A76" s="41">
        <v>70</v>
      </c>
      <c r="B76" s="54" t="s">
        <v>481</v>
      </c>
      <c r="C76" s="118">
        <v>12</v>
      </c>
      <c r="D76" s="118">
        <v>12</v>
      </c>
      <c r="E76" s="161">
        <v>0</v>
      </c>
      <c r="F76" s="161">
        <v>0</v>
      </c>
      <c r="G76" s="161">
        <v>0</v>
      </c>
      <c r="H76" s="161">
        <v>0</v>
      </c>
      <c r="I76" s="161">
        <v>0</v>
      </c>
      <c r="J76" s="161">
        <v>0</v>
      </c>
      <c r="K76" s="161">
        <v>0</v>
      </c>
      <c r="L76" s="160">
        <f>IF(D76=0,"-",D76-(J76+K76))</f>
        <v>12</v>
      </c>
      <c r="M76" s="160" t="s">
        <v>115</v>
      </c>
      <c r="N76" s="40">
        <v>0</v>
      </c>
      <c r="O76" s="177">
        <f>IF(D76=0,"-",(L76/D76))</f>
        <v>1</v>
      </c>
      <c r="P76" s="177">
        <f>IF(D76=0,"-",(N76+O76))</f>
        <v>1</v>
      </c>
      <c r="Q76" s="176"/>
    </row>
  </sheetData>
  <protectedRanges>
    <protectedRange sqref="B73" name="Range1_1_1"/>
    <protectedRange sqref="B74:B76" name="Range1_2"/>
  </protectedRanges>
  <dataConsolidate>
    <dataRefs count="7">
      <dataRef ref="C6:L72" sheet="4CZW" r:id="rId1"/>
      <dataRef ref="C6:L72" sheet="605" r:id="rId2"/>
      <dataRef ref="C6:L72" sheet="621" r:id="rId3"/>
      <dataRef ref="C6:L72" sheet="671" r:id="rId4"/>
      <dataRef ref="C6:L72" sheet="7004" r:id="rId5"/>
      <dataRef ref="C6:L72" sheet="FRI" r:id="rId6"/>
      <dataRef ref="C6:L72" sheet="SATA" r:id="rId7"/>
    </dataRefs>
  </dataConsolidate>
  <mergeCells count="14">
    <mergeCell ref="A73:Q73"/>
    <mergeCell ref="O3:O4"/>
    <mergeCell ref="P3:P4"/>
    <mergeCell ref="Q3:Q4"/>
    <mergeCell ref="A2:Q2"/>
    <mergeCell ref="A3:A4"/>
    <mergeCell ref="B3:B4"/>
    <mergeCell ref="C3:D3"/>
    <mergeCell ref="E3:I3"/>
    <mergeCell ref="J3:J4"/>
    <mergeCell ref="K3:K4"/>
    <mergeCell ref="L3:L4"/>
    <mergeCell ref="M3:M4"/>
    <mergeCell ref="N3:N4"/>
  </mergeCells>
  <phoneticPr fontId="19" type="noConversion"/>
  <dataValidations count="3">
    <dataValidation allowBlank="1" showInputMessage="1" showErrorMessage="1" promptTitle="FORMULA USED" prompt="Don't Ammend Here" sqref="B6:B72" xr:uid="{00000000-0002-0000-0400-000000000000}"/>
    <dataValidation type="whole" allowBlank="1" showInputMessage="1" showErrorMessage="1" errorTitle="Value Between 0 to 200000" sqref="L74:L76 L6:L72" xr:uid="{00000000-0002-0000-0400-000001000000}">
      <formula1>0</formula1>
      <formula2>200000</formula2>
    </dataValidation>
    <dataValidation type="whole" allowBlank="1" showInputMessage="1" showErrorMessage="1" sqref="N74:N76 K74:K76 C74:I76 C6:I72" xr:uid="{00000000-0002-0000-0400-000002000000}">
      <formula1>0</formula1>
      <formula2>50000</formula2>
    </dataValidation>
  </dataValidations>
  <pageMargins left="0.7" right="0.7" top="0.75" bottom="0.75" header="0.3" footer="0.3"/>
  <pageSetup paperSize="5" scale="62" orientation="landscape" r:id="rId8"/>
  <rowBreaks count="3" manualBreakCount="3">
    <brk id="25" max="21" man="1"/>
    <brk id="27" max="23" man="1"/>
    <brk id="44" max="23" man="1"/>
  </rowBreaks>
  <colBreaks count="1" manualBreakCount="1">
    <brk id="17" min="1" max="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view="pageBreakPreview" zoomScale="60" zoomScaleNormal="91" workbookViewId="0">
      <selection activeCell="J21" sqref="J21"/>
    </sheetView>
  </sheetViews>
  <sheetFormatPr defaultColWidth="9.109375" defaultRowHeight="15.6" x14ac:dyDescent="0.3"/>
  <cols>
    <col min="1" max="1" width="7.33203125" style="167" customWidth="1"/>
    <col min="2" max="2" width="15.6640625" style="167" bestFit="1" customWidth="1"/>
    <col min="3" max="3" width="14" style="167" customWidth="1"/>
    <col min="4" max="4" width="14.33203125" style="167" customWidth="1"/>
    <col min="5" max="5" width="13.33203125" style="167" customWidth="1"/>
    <col min="6" max="6" width="13.88671875" style="167" customWidth="1"/>
    <col min="7" max="7" width="22.109375" style="167" customWidth="1"/>
    <col min="8" max="8" width="13.44140625" style="167" customWidth="1"/>
    <col min="9" max="9" width="13.109375" style="167" customWidth="1"/>
    <col min="10" max="10" width="19.5546875" style="167" customWidth="1"/>
    <col min="11" max="11" width="18.6640625" style="167" customWidth="1"/>
    <col min="12" max="12" width="44.6640625" style="167" bestFit="1" customWidth="1"/>
    <col min="13" max="16384" width="9.109375" style="167"/>
  </cols>
  <sheetData>
    <row r="1" spans="1:12" x14ac:dyDescent="0.3">
      <c r="A1" s="238" t="s">
        <v>129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</row>
    <row r="2" spans="1:12" x14ac:dyDescent="0.3">
      <c r="A2" s="239" t="s">
        <v>128</v>
      </c>
      <c r="B2" s="241" t="s">
        <v>127</v>
      </c>
      <c r="C2" s="242" t="s">
        <v>2</v>
      </c>
      <c r="D2" s="243"/>
      <c r="E2" s="244" t="s">
        <v>126</v>
      </c>
      <c r="F2" s="245"/>
      <c r="G2" s="245"/>
      <c r="H2" s="245"/>
      <c r="I2" s="246"/>
      <c r="J2" s="241" t="s">
        <v>125</v>
      </c>
      <c r="K2" s="248" t="s">
        <v>124</v>
      </c>
      <c r="L2" s="241" t="s">
        <v>123</v>
      </c>
    </row>
    <row r="3" spans="1:12" ht="31.2" x14ac:dyDescent="0.3">
      <c r="A3" s="240"/>
      <c r="B3" s="240"/>
      <c r="C3" s="158" t="s">
        <v>122</v>
      </c>
      <c r="D3" s="158" t="s">
        <v>121</v>
      </c>
      <c r="E3" s="158" t="s">
        <v>120</v>
      </c>
      <c r="F3" s="158" t="s">
        <v>119</v>
      </c>
      <c r="G3" s="158" t="s">
        <v>118</v>
      </c>
      <c r="H3" s="158" t="s">
        <v>117</v>
      </c>
      <c r="I3" s="158" t="s">
        <v>116</v>
      </c>
      <c r="J3" s="247"/>
      <c r="K3" s="247"/>
      <c r="L3" s="247"/>
    </row>
    <row r="4" spans="1:12" x14ac:dyDescent="0.3">
      <c r="A4" s="60">
        <v>1</v>
      </c>
      <c r="B4" s="66" t="s">
        <v>492</v>
      </c>
      <c r="C4" s="168" t="s">
        <v>115</v>
      </c>
      <c r="D4" s="168" t="s">
        <v>115</v>
      </c>
      <c r="E4" s="168" t="s">
        <v>115</v>
      </c>
      <c r="F4" s="168" t="s">
        <v>115</v>
      </c>
      <c r="G4" s="168" t="s">
        <v>115</v>
      </c>
      <c r="H4" s="168" t="s">
        <v>115</v>
      </c>
      <c r="I4" s="168" t="s">
        <v>115</v>
      </c>
      <c r="J4" s="168" t="s">
        <v>115</v>
      </c>
      <c r="K4" s="168" t="s">
        <v>115</v>
      </c>
      <c r="L4" s="168" t="s">
        <v>115</v>
      </c>
    </row>
    <row r="5" spans="1:12" x14ac:dyDescent="0.3">
      <c r="A5" s="60">
        <v>2</v>
      </c>
      <c r="B5" s="66" t="s">
        <v>493</v>
      </c>
      <c r="C5" s="168" t="s">
        <v>115</v>
      </c>
      <c r="D5" s="168" t="s">
        <v>115</v>
      </c>
      <c r="E5" s="168" t="s">
        <v>115</v>
      </c>
      <c r="F5" s="168" t="s">
        <v>115</v>
      </c>
      <c r="G5" s="168" t="s">
        <v>115</v>
      </c>
      <c r="H5" s="168" t="s">
        <v>115</v>
      </c>
      <c r="I5" s="168" t="s">
        <v>115</v>
      </c>
      <c r="J5" s="168" t="s">
        <v>115</v>
      </c>
      <c r="K5" s="168" t="s">
        <v>115</v>
      </c>
      <c r="L5" s="168" t="s">
        <v>115</v>
      </c>
    </row>
    <row r="6" spans="1:12" x14ac:dyDescent="0.3">
      <c r="A6" s="60">
        <v>3</v>
      </c>
      <c r="B6" s="66" t="s">
        <v>494</v>
      </c>
      <c r="C6" s="168" t="s">
        <v>115</v>
      </c>
      <c r="D6" s="168" t="s">
        <v>115</v>
      </c>
      <c r="E6" s="168" t="s">
        <v>115</v>
      </c>
      <c r="F6" s="168" t="s">
        <v>115</v>
      </c>
      <c r="G6" s="168" t="s">
        <v>115</v>
      </c>
      <c r="H6" s="168" t="s">
        <v>115</v>
      </c>
      <c r="I6" s="168" t="s">
        <v>115</v>
      </c>
      <c r="J6" s="168" t="s">
        <v>115</v>
      </c>
      <c r="K6" s="168" t="s">
        <v>115</v>
      </c>
      <c r="L6" s="168" t="s">
        <v>115</v>
      </c>
    </row>
    <row r="7" spans="1:12" x14ac:dyDescent="0.3">
      <c r="A7" s="60">
        <v>4</v>
      </c>
      <c r="B7" s="66" t="s">
        <v>495</v>
      </c>
      <c r="C7" s="168" t="s">
        <v>115</v>
      </c>
      <c r="D7" s="168" t="s">
        <v>115</v>
      </c>
      <c r="E7" s="168" t="s">
        <v>115</v>
      </c>
      <c r="F7" s="168" t="s">
        <v>115</v>
      </c>
      <c r="G7" s="168" t="s">
        <v>115</v>
      </c>
      <c r="H7" s="168" t="s">
        <v>115</v>
      </c>
      <c r="I7" s="168" t="s">
        <v>115</v>
      </c>
      <c r="J7" s="168" t="s">
        <v>115</v>
      </c>
      <c r="K7" s="168" t="s">
        <v>115</v>
      </c>
      <c r="L7" s="168" t="s">
        <v>115</v>
      </c>
    </row>
    <row r="8" spans="1:12" x14ac:dyDescent="0.3">
      <c r="A8" s="60">
        <v>5</v>
      </c>
      <c r="B8" s="66" t="s">
        <v>496</v>
      </c>
      <c r="C8" s="168" t="s">
        <v>115</v>
      </c>
      <c r="D8" s="168" t="s">
        <v>115</v>
      </c>
      <c r="E8" s="168" t="s">
        <v>115</v>
      </c>
      <c r="F8" s="168" t="s">
        <v>115</v>
      </c>
      <c r="G8" s="168" t="s">
        <v>115</v>
      </c>
      <c r="H8" s="168" t="s">
        <v>115</v>
      </c>
      <c r="I8" s="168" t="s">
        <v>115</v>
      </c>
      <c r="J8" s="168" t="s">
        <v>115</v>
      </c>
      <c r="K8" s="168" t="s">
        <v>115</v>
      </c>
      <c r="L8" s="168" t="s">
        <v>115</v>
      </c>
    </row>
    <row r="9" spans="1:12" x14ac:dyDescent="0.3">
      <c r="A9" s="60">
        <v>6</v>
      </c>
      <c r="B9" s="66" t="s">
        <v>497</v>
      </c>
      <c r="C9" s="168" t="s">
        <v>115</v>
      </c>
      <c r="D9" s="168">
        <v>7</v>
      </c>
      <c r="E9" s="168" t="s">
        <v>115</v>
      </c>
      <c r="F9" s="168">
        <v>1</v>
      </c>
      <c r="G9" s="168" t="s">
        <v>115</v>
      </c>
      <c r="H9" s="168" t="s">
        <v>115</v>
      </c>
      <c r="I9" s="168" t="s">
        <v>115</v>
      </c>
      <c r="J9" s="168">
        <v>1</v>
      </c>
      <c r="K9" s="168">
        <v>6</v>
      </c>
      <c r="L9" s="168" t="s">
        <v>115</v>
      </c>
    </row>
    <row r="10" spans="1:12" x14ac:dyDescent="0.3">
      <c r="A10" s="60">
        <v>7</v>
      </c>
      <c r="B10" s="66" t="s">
        <v>498</v>
      </c>
      <c r="C10" s="168" t="s">
        <v>115</v>
      </c>
      <c r="D10" s="168" t="s">
        <v>115</v>
      </c>
      <c r="E10" s="168" t="s">
        <v>115</v>
      </c>
      <c r="F10" s="168" t="s">
        <v>115</v>
      </c>
      <c r="G10" s="168" t="s">
        <v>115</v>
      </c>
      <c r="H10" s="168" t="s">
        <v>115</v>
      </c>
      <c r="I10" s="168" t="s">
        <v>115</v>
      </c>
      <c r="J10" s="168" t="s">
        <v>115</v>
      </c>
      <c r="K10" s="168" t="s">
        <v>115</v>
      </c>
      <c r="L10" s="168" t="s">
        <v>115</v>
      </c>
    </row>
    <row r="11" spans="1:12" x14ac:dyDescent="0.3">
      <c r="A11" s="60">
        <v>8</v>
      </c>
      <c r="B11" s="66" t="s">
        <v>499</v>
      </c>
      <c r="C11" s="168" t="s">
        <v>115</v>
      </c>
      <c r="D11" s="168">
        <v>252</v>
      </c>
      <c r="E11" s="168" t="s">
        <v>115</v>
      </c>
      <c r="F11" s="168">
        <v>9</v>
      </c>
      <c r="G11" s="168" t="s">
        <v>115</v>
      </c>
      <c r="H11" s="168" t="s">
        <v>115</v>
      </c>
      <c r="I11" s="168" t="s">
        <v>115</v>
      </c>
      <c r="J11" s="168">
        <v>9</v>
      </c>
      <c r="K11" s="168">
        <v>243</v>
      </c>
      <c r="L11" s="66" t="s">
        <v>114</v>
      </c>
    </row>
    <row r="12" spans="1:12" x14ac:dyDescent="0.3">
      <c r="A12" s="60">
        <v>9</v>
      </c>
      <c r="B12" s="66" t="s">
        <v>500</v>
      </c>
      <c r="C12" s="168" t="s">
        <v>115</v>
      </c>
      <c r="D12" s="168">
        <v>616</v>
      </c>
      <c r="E12" s="168" t="s">
        <v>115</v>
      </c>
      <c r="F12" s="168">
        <v>2</v>
      </c>
      <c r="G12" s="168" t="s">
        <v>115</v>
      </c>
      <c r="H12" s="168" t="s">
        <v>115</v>
      </c>
      <c r="I12" s="168" t="s">
        <v>115</v>
      </c>
      <c r="J12" s="168">
        <v>2</v>
      </c>
      <c r="K12" s="168">
        <v>614</v>
      </c>
      <c r="L12" s="66" t="s">
        <v>114</v>
      </c>
    </row>
    <row r="13" spans="1:12" x14ac:dyDescent="0.3">
      <c r="A13" s="60">
        <v>10</v>
      </c>
      <c r="B13" s="66" t="s">
        <v>501</v>
      </c>
      <c r="C13" s="168" t="s">
        <v>115</v>
      </c>
      <c r="D13" s="168">
        <v>537</v>
      </c>
      <c r="E13" s="168" t="s">
        <v>115</v>
      </c>
      <c r="F13" s="168">
        <v>40</v>
      </c>
      <c r="G13" s="168" t="s">
        <v>115</v>
      </c>
      <c r="H13" s="168" t="s">
        <v>115</v>
      </c>
      <c r="I13" s="168" t="s">
        <v>115</v>
      </c>
      <c r="J13" s="168">
        <v>40</v>
      </c>
      <c r="K13" s="168">
        <v>497</v>
      </c>
      <c r="L13" s="66" t="s">
        <v>114</v>
      </c>
    </row>
    <row r="14" spans="1:12" x14ac:dyDescent="0.3">
      <c r="A14" s="60">
        <v>11</v>
      </c>
      <c r="B14" s="66" t="s">
        <v>502</v>
      </c>
      <c r="C14" s="168" t="s">
        <v>115</v>
      </c>
      <c r="D14" s="168">
        <v>10</v>
      </c>
      <c r="E14" s="168" t="s">
        <v>115</v>
      </c>
      <c r="F14" s="168">
        <v>2</v>
      </c>
      <c r="G14" s="168" t="s">
        <v>115</v>
      </c>
      <c r="H14" s="168" t="s">
        <v>115</v>
      </c>
      <c r="I14" s="168" t="s">
        <v>115</v>
      </c>
      <c r="J14" s="168">
        <v>2</v>
      </c>
      <c r="K14" s="168">
        <v>8</v>
      </c>
      <c r="L14" s="66" t="s">
        <v>114</v>
      </c>
    </row>
    <row r="15" spans="1:12" x14ac:dyDescent="0.3">
      <c r="A15" s="60">
        <v>12</v>
      </c>
      <c r="B15" s="66" t="s">
        <v>503</v>
      </c>
      <c r="C15" s="168" t="s">
        <v>115</v>
      </c>
      <c r="D15" s="168">
        <v>118</v>
      </c>
      <c r="E15" s="168" t="s">
        <v>115</v>
      </c>
      <c r="F15" s="168">
        <v>6</v>
      </c>
      <c r="G15" s="168" t="s">
        <v>115</v>
      </c>
      <c r="H15" s="168" t="s">
        <v>115</v>
      </c>
      <c r="I15" s="168" t="s">
        <v>115</v>
      </c>
      <c r="J15" s="168">
        <v>6</v>
      </c>
      <c r="K15" s="168">
        <v>112</v>
      </c>
      <c r="L15" s="66" t="s">
        <v>114</v>
      </c>
    </row>
    <row r="16" spans="1:12" x14ac:dyDescent="0.3">
      <c r="A16" s="60">
        <v>13</v>
      </c>
      <c r="B16" s="66" t="s">
        <v>504</v>
      </c>
      <c r="C16" s="168" t="s">
        <v>115</v>
      </c>
      <c r="D16" s="168">
        <v>120</v>
      </c>
      <c r="E16" s="168" t="s">
        <v>115</v>
      </c>
      <c r="F16" s="168">
        <v>7</v>
      </c>
      <c r="G16" s="168" t="s">
        <v>115</v>
      </c>
      <c r="H16" s="168" t="s">
        <v>115</v>
      </c>
      <c r="I16" s="168" t="s">
        <v>115</v>
      </c>
      <c r="J16" s="168">
        <v>7</v>
      </c>
      <c r="K16" s="168">
        <v>113</v>
      </c>
      <c r="L16" s="66" t="s">
        <v>114</v>
      </c>
    </row>
    <row r="17" spans="1:12" x14ac:dyDescent="0.3">
      <c r="A17" s="60">
        <v>14</v>
      </c>
      <c r="B17" s="66" t="s">
        <v>505</v>
      </c>
      <c r="C17" s="168" t="s">
        <v>115</v>
      </c>
      <c r="D17" s="168">
        <v>48</v>
      </c>
      <c r="E17" s="168" t="s">
        <v>115</v>
      </c>
      <c r="F17" s="168" t="s">
        <v>115</v>
      </c>
      <c r="G17" s="168" t="s">
        <v>115</v>
      </c>
      <c r="H17" s="168" t="s">
        <v>115</v>
      </c>
      <c r="I17" s="168" t="s">
        <v>115</v>
      </c>
      <c r="J17" s="168" t="s">
        <v>115</v>
      </c>
      <c r="K17" s="168" t="s">
        <v>115</v>
      </c>
      <c r="L17" s="169"/>
    </row>
    <row r="18" spans="1:12" x14ac:dyDescent="0.3">
      <c r="A18" s="60">
        <v>15</v>
      </c>
      <c r="B18" s="66" t="s">
        <v>506</v>
      </c>
      <c r="C18" s="168" t="s">
        <v>115</v>
      </c>
      <c r="D18" s="168">
        <v>54</v>
      </c>
      <c r="E18" s="168" t="s">
        <v>115</v>
      </c>
      <c r="F18" s="168">
        <v>4</v>
      </c>
      <c r="G18" s="168" t="s">
        <v>115</v>
      </c>
      <c r="H18" s="168" t="s">
        <v>115</v>
      </c>
      <c r="I18" s="168" t="s">
        <v>115</v>
      </c>
      <c r="J18" s="168">
        <v>4</v>
      </c>
      <c r="K18" s="168">
        <v>50</v>
      </c>
      <c r="L18" s="66" t="s">
        <v>114</v>
      </c>
    </row>
    <row r="19" spans="1:12" x14ac:dyDescent="0.3">
      <c r="A19" s="60">
        <v>16</v>
      </c>
      <c r="B19" s="66" t="s">
        <v>507</v>
      </c>
      <c r="C19" s="168" t="s">
        <v>115</v>
      </c>
      <c r="D19" s="168">
        <v>54</v>
      </c>
      <c r="E19" s="168" t="s">
        <v>115</v>
      </c>
      <c r="F19" s="168">
        <v>5</v>
      </c>
      <c r="G19" s="168" t="s">
        <v>115</v>
      </c>
      <c r="H19" s="168" t="s">
        <v>115</v>
      </c>
      <c r="I19" s="168" t="s">
        <v>115</v>
      </c>
      <c r="J19" s="168">
        <v>5</v>
      </c>
      <c r="K19" s="168">
        <v>49</v>
      </c>
      <c r="L19" s="66" t="s">
        <v>114</v>
      </c>
    </row>
    <row r="20" spans="1:12" x14ac:dyDescent="0.3">
      <c r="A20" s="60">
        <v>17</v>
      </c>
      <c r="B20" s="66" t="s">
        <v>508</v>
      </c>
      <c r="C20" s="168" t="s">
        <v>115</v>
      </c>
      <c r="D20" s="168">
        <v>677</v>
      </c>
      <c r="E20" s="168" t="s">
        <v>115</v>
      </c>
      <c r="F20" s="168">
        <v>4</v>
      </c>
      <c r="G20" s="168" t="s">
        <v>115</v>
      </c>
      <c r="H20" s="168" t="s">
        <v>115</v>
      </c>
      <c r="I20" s="168" t="s">
        <v>115</v>
      </c>
      <c r="J20" s="168">
        <v>4</v>
      </c>
      <c r="K20" s="168">
        <v>673</v>
      </c>
      <c r="L20" s="66" t="s">
        <v>114</v>
      </c>
    </row>
    <row r="21" spans="1:12" x14ac:dyDescent="0.3">
      <c r="A21" s="60">
        <v>18</v>
      </c>
      <c r="B21" s="66" t="s">
        <v>509</v>
      </c>
      <c r="C21" s="168" t="s">
        <v>115</v>
      </c>
      <c r="D21" s="168">
        <v>410</v>
      </c>
      <c r="E21" s="168" t="s">
        <v>115</v>
      </c>
      <c r="F21" s="168">
        <v>2</v>
      </c>
      <c r="G21" s="168" t="s">
        <v>115</v>
      </c>
      <c r="H21" s="168" t="s">
        <v>115</v>
      </c>
      <c r="I21" s="168" t="s">
        <v>115</v>
      </c>
      <c r="J21" s="168">
        <v>2</v>
      </c>
      <c r="K21" s="168">
        <v>408</v>
      </c>
      <c r="L21" s="66" t="s">
        <v>114</v>
      </c>
    </row>
    <row r="22" spans="1:12" x14ac:dyDescent="0.3">
      <c r="A22" s="60">
        <v>19</v>
      </c>
      <c r="B22" s="66" t="s">
        <v>510</v>
      </c>
      <c r="C22" s="168" t="s">
        <v>115</v>
      </c>
      <c r="D22" s="168">
        <v>10</v>
      </c>
      <c r="E22" s="168" t="s">
        <v>115</v>
      </c>
      <c r="F22" s="168" t="s">
        <v>115</v>
      </c>
      <c r="G22" s="168" t="s">
        <v>115</v>
      </c>
      <c r="H22" s="168" t="s">
        <v>115</v>
      </c>
      <c r="I22" s="168" t="s">
        <v>115</v>
      </c>
      <c r="J22" s="168" t="s">
        <v>115</v>
      </c>
      <c r="K22" s="168" t="s">
        <v>115</v>
      </c>
      <c r="L22" s="169"/>
    </row>
    <row r="23" spans="1:12" x14ac:dyDescent="0.3">
      <c r="A23" s="60">
        <v>20</v>
      </c>
      <c r="B23" s="66" t="s">
        <v>511</v>
      </c>
      <c r="C23" s="168" t="s">
        <v>115</v>
      </c>
      <c r="D23" s="60">
        <v>305</v>
      </c>
      <c r="E23" s="168" t="s">
        <v>115</v>
      </c>
      <c r="F23" s="168">
        <v>6</v>
      </c>
      <c r="G23" s="168" t="s">
        <v>115</v>
      </c>
      <c r="H23" s="168" t="s">
        <v>115</v>
      </c>
      <c r="I23" s="168" t="s">
        <v>115</v>
      </c>
      <c r="J23" s="168">
        <v>6</v>
      </c>
      <c r="K23" s="168">
        <v>299</v>
      </c>
      <c r="L23" s="66" t="s">
        <v>114</v>
      </c>
    </row>
    <row r="24" spans="1:12" x14ac:dyDescent="0.3">
      <c r="A24" s="60">
        <v>21</v>
      </c>
      <c r="B24" s="66" t="s">
        <v>512</v>
      </c>
      <c r="C24" s="168" t="s">
        <v>115</v>
      </c>
      <c r="D24" s="60">
        <v>8</v>
      </c>
      <c r="E24" s="168" t="s">
        <v>115</v>
      </c>
      <c r="F24" s="168">
        <v>5</v>
      </c>
      <c r="G24" s="168" t="s">
        <v>115</v>
      </c>
      <c r="H24" s="168" t="s">
        <v>115</v>
      </c>
      <c r="I24" s="168" t="s">
        <v>115</v>
      </c>
      <c r="J24" s="168">
        <v>5</v>
      </c>
      <c r="K24" s="168">
        <v>3</v>
      </c>
      <c r="L24" s="66" t="s">
        <v>114</v>
      </c>
    </row>
    <row r="25" spans="1:12" x14ac:dyDescent="0.3">
      <c r="A25" s="60">
        <v>22</v>
      </c>
      <c r="B25" s="66" t="s">
        <v>513</v>
      </c>
      <c r="C25" s="168" t="s">
        <v>115</v>
      </c>
      <c r="D25" s="60">
        <v>32</v>
      </c>
      <c r="E25" s="168" t="s">
        <v>115</v>
      </c>
      <c r="F25" s="168">
        <v>5</v>
      </c>
      <c r="G25" s="168" t="s">
        <v>115</v>
      </c>
      <c r="H25" s="168" t="s">
        <v>115</v>
      </c>
      <c r="I25" s="168" t="s">
        <v>115</v>
      </c>
      <c r="J25" s="168">
        <v>5</v>
      </c>
      <c r="K25" s="168">
        <v>27</v>
      </c>
      <c r="L25" s="66" t="s">
        <v>114</v>
      </c>
    </row>
    <row r="26" spans="1:12" x14ac:dyDescent="0.3">
      <c r="A26" s="60">
        <v>23</v>
      </c>
      <c r="B26" s="66" t="s">
        <v>514</v>
      </c>
      <c r="C26" s="168" t="s">
        <v>115</v>
      </c>
      <c r="D26" s="60">
        <v>81</v>
      </c>
      <c r="E26" s="168" t="s">
        <v>115</v>
      </c>
      <c r="F26" s="168" t="s">
        <v>115</v>
      </c>
      <c r="G26" s="168" t="s">
        <v>115</v>
      </c>
      <c r="H26" s="168" t="s">
        <v>115</v>
      </c>
      <c r="I26" s="168" t="s">
        <v>115</v>
      </c>
      <c r="J26" s="168" t="s">
        <v>115</v>
      </c>
      <c r="K26" s="168" t="s">
        <v>115</v>
      </c>
      <c r="L26" s="168" t="s">
        <v>115</v>
      </c>
    </row>
    <row r="27" spans="1:12" x14ac:dyDescent="0.3">
      <c r="A27" s="60">
        <v>24</v>
      </c>
      <c r="B27" s="66" t="s">
        <v>515</v>
      </c>
      <c r="C27" s="168" t="s">
        <v>115</v>
      </c>
      <c r="D27" s="60">
        <v>230</v>
      </c>
      <c r="E27" s="168" t="s">
        <v>115</v>
      </c>
      <c r="F27" s="168" t="s">
        <v>115</v>
      </c>
      <c r="G27" s="168" t="s">
        <v>115</v>
      </c>
      <c r="H27" s="168" t="s">
        <v>115</v>
      </c>
      <c r="I27" s="168" t="s">
        <v>115</v>
      </c>
      <c r="J27" s="168" t="s">
        <v>115</v>
      </c>
      <c r="K27" s="168" t="s">
        <v>115</v>
      </c>
      <c r="L27" s="168" t="s">
        <v>115</v>
      </c>
    </row>
    <row r="28" spans="1:12" x14ac:dyDescent="0.3">
      <c r="A28" s="60">
        <v>25</v>
      </c>
      <c r="B28" s="66" t="s">
        <v>516</v>
      </c>
      <c r="C28" s="168" t="s">
        <v>115</v>
      </c>
      <c r="D28" s="60">
        <v>15</v>
      </c>
      <c r="E28" s="168" t="s">
        <v>115</v>
      </c>
      <c r="F28" s="168" t="s">
        <v>115</v>
      </c>
      <c r="G28" s="168" t="s">
        <v>115</v>
      </c>
      <c r="H28" s="168" t="s">
        <v>115</v>
      </c>
      <c r="I28" s="168" t="s">
        <v>115</v>
      </c>
      <c r="J28" s="168" t="s">
        <v>115</v>
      </c>
      <c r="K28" s="168" t="s">
        <v>115</v>
      </c>
      <c r="L28" s="168" t="s">
        <v>115</v>
      </c>
    </row>
    <row r="29" spans="1:12" x14ac:dyDescent="0.3">
      <c r="A29" s="60">
        <v>26</v>
      </c>
      <c r="B29" s="66" t="s">
        <v>517</v>
      </c>
      <c r="C29" s="168" t="s">
        <v>115</v>
      </c>
      <c r="D29" s="60">
        <v>103</v>
      </c>
      <c r="E29" s="168" t="s">
        <v>115</v>
      </c>
      <c r="F29" s="168" t="s">
        <v>115</v>
      </c>
      <c r="G29" s="168" t="s">
        <v>115</v>
      </c>
      <c r="H29" s="168" t="s">
        <v>115</v>
      </c>
      <c r="I29" s="168" t="s">
        <v>115</v>
      </c>
      <c r="J29" s="168" t="s">
        <v>115</v>
      </c>
      <c r="K29" s="168" t="s">
        <v>115</v>
      </c>
      <c r="L29" s="168" t="s">
        <v>115</v>
      </c>
    </row>
    <row r="30" spans="1:12" x14ac:dyDescent="0.3">
      <c r="A30" s="60">
        <v>27</v>
      </c>
      <c r="B30" s="66" t="s">
        <v>518</v>
      </c>
      <c r="C30" s="168" t="s">
        <v>115</v>
      </c>
      <c r="D30" s="60">
        <v>1</v>
      </c>
      <c r="E30" s="168" t="s">
        <v>115</v>
      </c>
      <c r="F30" s="168" t="s">
        <v>115</v>
      </c>
      <c r="G30" s="168" t="s">
        <v>115</v>
      </c>
      <c r="H30" s="168" t="s">
        <v>115</v>
      </c>
      <c r="I30" s="168" t="s">
        <v>115</v>
      </c>
      <c r="J30" s="168" t="s">
        <v>115</v>
      </c>
      <c r="K30" s="168" t="s">
        <v>115</v>
      </c>
      <c r="L30" s="168" t="s">
        <v>115</v>
      </c>
    </row>
    <row r="31" spans="1:12" x14ac:dyDescent="0.3">
      <c r="A31" s="60">
        <v>28</v>
      </c>
      <c r="B31" s="66" t="s">
        <v>519</v>
      </c>
      <c r="C31" s="168" t="s">
        <v>115</v>
      </c>
      <c r="D31" s="60">
        <v>70</v>
      </c>
      <c r="E31" s="168" t="s">
        <v>115</v>
      </c>
      <c r="F31" s="168" t="s">
        <v>115</v>
      </c>
      <c r="G31" s="168" t="s">
        <v>115</v>
      </c>
      <c r="H31" s="168" t="s">
        <v>115</v>
      </c>
      <c r="I31" s="168" t="s">
        <v>115</v>
      </c>
      <c r="J31" s="168" t="s">
        <v>115</v>
      </c>
      <c r="K31" s="168" t="s">
        <v>115</v>
      </c>
      <c r="L31" s="168" t="s">
        <v>115</v>
      </c>
    </row>
    <row r="32" spans="1:12" x14ac:dyDescent="0.3">
      <c r="A32" s="60">
        <v>29</v>
      </c>
      <c r="B32" s="66" t="s">
        <v>520</v>
      </c>
      <c r="C32" s="168" t="s">
        <v>115</v>
      </c>
      <c r="D32" s="60">
        <v>13</v>
      </c>
      <c r="E32" s="168" t="s">
        <v>115</v>
      </c>
      <c r="F32" s="168" t="s">
        <v>115</v>
      </c>
      <c r="G32" s="168" t="s">
        <v>115</v>
      </c>
      <c r="H32" s="168" t="s">
        <v>115</v>
      </c>
      <c r="I32" s="168" t="s">
        <v>115</v>
      </c>
      <c r="J32" s="168" t="s">
        <v>115</v>
      </c>
      <c r="K32" s="168" t="s">
        <v>115</v>
      </c>
      <c r="L32" s="168" t="s">
        <v>115</v>
      </c>
    </row>
    <row r="33" spans="1:12" x14ac:dyDescent="0.3">
      <c r="A33" s="60">
        <v>30</v>
      </c>
      <c r="B33" s="66" t="s">
        <v>521</v>
      </c>
      <c r="C33" s="168" t="s">
        <v>115</v>
      </c>
      <c r="D33" s="60">
        <v>167</v>
      </c>
      <c r="E33" s="168" t="s">
        <v>115</v>
      </c>
      <c r="F33" s="168">
        <v>4</v>
      </c>
      <c r="G33" s="168" t="s">
        <v>115</v>
      </c>
      <c r="H33" s="168" t="s">
        <v>115</v>
      </c>
      <c r="I33" s="168" t="s">
        <v>115</v>
      </c>
      <c r="J33" s="168">
        <v>4</v>
      </c>
      <c r="K33" s="168">
        <v>163</v>
      </c>
      <c r="L33" s="66" t="s">
        <v>114</v>
      </c>
    </row>
  </sheetData>
  <mergeCells count="8">
    <mergeCell ref="A1:L1"/>
    <mergeCell ref="A2:A3"/>
    <mergeCell ref="B2:B3"/>
    <mergeCell ref="C2:D2"/>
    <mergeCell ref="E2:I2"/>
    <mergeCell ref="J2:J3"/>
    <mergeCell ref="K2:K3"/>
    <mergeCell ref="L2:L3"/>
  </mergeCells>
  <phoneticPr fontId="19" type="noConversion"/>
  <pageMargins left="0.7" right="0.7" top="0.75" bottom="0.75" header="0.3" footer="0.3"/>
  <pageSetup paperSize="9" scale="4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2"/>
  <sheetViews>
    <sheetView tabSelected="1" zoomScale="55" zoomScaleNormal="55" workbookViewId="0">
      <selection activeCell="U16" sqref="U16"/>
    </sheetView>
  </sheetViews>
  <sheetFormatPr defaultColWidth="9.109375" defaultRowHeight="15.6" x14ac:dyDescent="0.3"/>
  <cols>
    <col min="1" max="1" width="6.5546875" style="69" bestFit="1" customWidth="1"/>
    <col min="2" max="2" width="9.109375" style="69"/>
    <col min="3" max="3" width="41.44140625" style="69" customWidth="1"/>
    <col min="4" max="4" width="8.88671875" style="69" customWidth="1"/>
    <col min="5" max="5" width="14.44140625" style="69" customWidth="1"/>
    <col min="6" max="6" width="6" style="71" customWidth="1"/>
    <col min="7" max="7" width="18" style="71" customWidth="1"/>
    <col min="8" max="8" width="6" style="71" customWidth="1"/>
    <col min="9" max="9" width="11.5546875" style="71" customWidth="1"/>
    <col min="10" max="10" width="9.33203125" style="71" customWidth="1"/>
    <col min="11" max="11" width="15.44140625" style="69" bestFit="1" customWidth="1"/>
    <col min="12" max="12" width="13.44140625" style="69" customWidth="1"/>
    <col min="13" max="13" width="13.6640625" style="69" bestFit="1" customWidth="1"/>
    <col min="14" max="14" width="20.33203125" style="70" customWidth="1"/>
    <col min="15" max="15" width="11.5546875" style="69" customWidth="1"/>
    <col min="16" max="16" width="60.44140625" style="69" customWidth="1"/>
    <col min="17" max="16384" width="9.109375" style="69"/>
  </cols>
  <sheetData>
    <row r="1" spans="1:16" ht="23.25" customHeight="1" x14ac:dyDescent="0.3">
      <c r="O1" s="157"/>
      <c r="P1" s="157"/>
    </row>
    <row r="2" spans="1:16" s="156" customFormat="1" x14ac:dyDescent="0.3">
      <c r="A2" s="214" t="s">
        <v>112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1:16" s="73" customFormat="1" ht="15.75" customHeight="1" x14ac:dyDescent="0.3">
      <c r="A3" s="139" t="s">
        <v>46</v>
      </c>
      <c r="B3" s="155" t="s">
        <v>111</v>
      </c>
      <c r="C3" s="154"/>
      <c r="D3" s="153" t="s">
        <v>2</v>
      </c>
      <c r="E3" s="152"/>
      <c r="F3" s="139" t="s">
        <v>110</v>
      </c>
      <c r="G3" s="139"/>
      <c r="H3" s="139"/>
      <c r="I3" s="151" t="s">
        <v>78</v>
      </c>
      <c r="J3" s="150" t="s">
        <v>109</v>
      </c>
      <c r="K3" s="149" t="s">
        <v>108</v>
      </c>
      <c r="L3" s="124" t="s">
        <v>79</v>
      </c>
      <c r="M3" s="124" t="s">
        <v>80</v>
      </c>
      <c r="N3" s="140" t="s">
        <v>81</v>
      </c>
      <c r="O3" s="124" t="s">
        <v>82</v>
      </c>
      <c r="P3" s="124" t="s">
        <v>107</v>
      </c>
    </row>
    <row r="4" spans="1:16" s="73" customFormat="1" ht="56.25" customHeight="1" x14ac:dyDescent="0.3">
      <c r="A4" s="139"/>
      <c r="B4" s="148"/>
      <c r="C4" s="147"/>
      <c r="D4" s="146" t="s">
        <v>6</v>
      </c>
      <c r="E4" s="146" t="s">
        <v>52</v>
      </c>
      <c r="F4" s="144" t="s">
        <v>84</v>
      </c>
      <c r="G4" s="145" t="s">
        <v>106</v>
      </c>
      <c r="H4" s="144" t="s">
        <v>87</v>
      </c>
      <c r="I4" s="143"/>
      <c r="J4" s="142"/>
      <c r="K4" s="141"/>
      <c r="L4" s="124"/>
      <c r="M4" s="124"/>
      <c r="N4" s="140"/>
      <c r="O4" s="124"/>
      <c r="P4" s="139"/>
    </row>
    <row r="5" spans="1:16" s="112" customFormat="1" ht="39" customHeight="1" x14ac:dyDescent="0.3">
      <c r="A5" s="64" t="s">
        <v>12</v>
      </c>
      <c r="B5" s="201" t="s">
        <v>13</v>
      </c>
      <c r="C5" s="201"/>
      <c r="D5" s="17" t="s">
        <v>14</v>
      </c>
      <c r="E5" s="17" t="s">
        <v>15</v>
      </c>
      <c r="F5" s="67" t="s">
        <v>16</v>
      </c>
      <c r="G5" s="11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17" t="s">
        <v>88</v>
      </c>
      <c r="M5" s="17" t="s">
        <v>89</v>
      </c>
      <c r="N5" s="17" t="s">
        <v>90</v>
      </c>
      <c r="O5" s="17" t="s">
        <v>91</v>
      </c>
      <c r="P5" s="17" t="s">
        <v>92</v>
      </c>
    </row>
    <row r="6" spans="1:16" ht="15" customHeight="1" x14ac:dyDescent="0.3">
      <c r="A6" s="211">
        <v>1</v>
      </c>
      <c r="B6" s="202" t="s">
        <v>412</v>
      </c>
      <c r="C6" s="202"/>
      <c r="D6" s="136"/>
      <c r="E6" s="136"/>
      <c r="F6" s="132"/>
      <c r="G6" s="132"/>
      <c r="H6" s="132"/>
      <c r="I6" s="138"/>
      <c r="J6" s="132"/>
      <c r="K6" s="136"/>
      <c r="L6" s="136"/>
      <c r="M6" s="136"/>
      <c r="N6" s="137"/>
      <c r="O6" s="136"/>
      <c r="P6" s="131"/>
    </row>
    <row r="7" spans="1:16" s="70" customFormat="1" x14ac:dyDescent="0.3">
      <c r="A7" s="212"/>
      <c r="B7" s="201" t="s">
        <v>12</v>
      </c>
      <c r="C7" s="201" t="s">
        <v>522</v>
      </c>
      <c r="D7" s="79"/>
      <c r="E7" s="79"/>
      <c r="F7" s="79"/>
      <c r="G7" s="79"/>
      <c r="H7" s="79"/>
      <c r="I7" s="79"/>
      <c r="J7" s="17"/>
      <c r="K7" s="79"/>
      <c r="L7" s="76"/>
      <c r="M7" s="76"/>
      <c r="N7" s="76"/>
      <c r="O7" s="76"/>
      <c r="P7" s="103"/>
    </row>
    <row r="8" spans="1:16" x14ac:dyDescent="0.3">
      <c r="A8" s="212"/>
      <c r="B8" s="201" t="s">
        <v>13</v>
      </c>
      <c r="C8" s="201" t="s">
        <v>523</v>
      </c>
      <c r="D8" s="133"/>
      <c r="E8" s="133"/>
      <c r="F8" s="79"/>
      <c r="G8" s="79"/>
      <c r="H8" s="79"/>
      <c r="I8" s="79"/>
      <c r="J8" s="17"/>
      <c r="K8" s="79"/>
      <c r="L8" s="76"/>
      <c r="M8" s="76"/>
      <c r="N8" s="76"/>
      <c r="O8" s="76"/>
      <c r="P8" s="103"/>
    </row>
    <row r="9" spans="1:16" x14ac:dyDescent="0.3">
      <c r="A9" s="212"/>
      <c r="B9" s="201" t="s">
        <v>14</v>
      </c>
      <c r="C9" s="201" t="s">
        <v>524</v>
      </c>
      <c r="D9" s="133"/>
      <c r="E9" s="133"/>
      <c r="F9" s="79"/>
      <c r="G9" s="79"/>
      <c r="H9" s="79"/>
      <c r="I9" s="79"/>
      <c r="J9" s="17"/>
      <c r="K9" s="79"/>
      <c r="L9" s="76"/>
      <c r="M9" s="76"/>
      <c r="N9" s="76"/>
      <c r="O9" s="76"/>
      <c r="P9" s="102"/>
    </row>
    <row r="10" spans="1:16" x14ac:dyDescent="0.3">
      <c r="A10" s="212"/>
      <c r="B10" s="201" t="s">
        <v>15</v>
      </c>
      <c r="C10" s="201" t="s">
        <v>525</v>
      </c>
      <c r="D10" s="133"/>
      <c r="E10" s="133"/>
      <c r="F10" s="79"/>
      <c r="G10" s="79"/>
      <c r="H10" s="79"/>
      <c r="I10" s="79"/>
      <c r="J10" s="17"/>
      <c r="K10" s="79"/>
      <c r="L10" s="76"/>
      <c r="M10" s="76"/>
      <c r="N10" s="76"/>
      <c r="O10" s="76"/>
      <c r="P10" s="102"/>
    </row>
    <row r="11" spans="1:16" x14ac:dyDescent="0.3">
      <c r="A11" s="213"/>
      <c r="B11" s="201" t="s">
        <v>16</v>
      </c>
      <c r="C11" s="201" t="s">
        <v>526</v>
      </c>
      <c r="D11" s="133"/>
      <c r="E11" s="133"/>
      <c r="F11" s="79"/>
      <c r="G11" s="79"/>
      <c r="H11" s="79"/>
      <c r="I11" s="79"/>
      <c r="J11" s="17"/>
      <c r="K11" s="79"/>
      <c r="L11" s="76"/>
      <c r="M11" s="76"/>
      <c r="N11" s="76"/>
      <c r="O11" s="76"/>
      <c r="P11" s="102"/>
    </row>
    <row r="12" spans="1:16" ht="15.75" customHeight="1" x14ac:dyDescent="0.3">
      <c r="A12" s="211">
        <v>2</v>
      </c>
      <c r="B12" s="202" t="s">
        <v>413</v>
      </c>
      <c r="C12" s="202"/>
      <c r="D12" s="133"/>
      <c r="E12" s="133"/>
      <c r="F12" s="79"/>
      <c r="G12" s="79"/>
      <c r="H12" s="79"/>
      <c r="I12" s="134"/>
      <c r="J12" s="134"/>
      <c r="K12" s="79"/>
      <c r="L12" s="76"/>
      <c r="M12" s="76"/>
      <c r="N12" s="76"/>
      <c r="O12" s="76"/>
      <c r="P12" s="96"/>
    </row>
    <row r="13" spans="1:16" x14ac:dyDescent="0.3">
      <c r="A13" s="212"/>
      <c r="B13" s="201" t="s">
        <v>12</v>
      </c>
      <c r="C13" s="201" t="s">
        <v>527</v>
      </c>
      <c r="D13" s="133"/>
      <c r="E13" s="133"/>
      <c r="F13" s="79"/>
      <c r="G13" s="79"/>
      <c r="H13" s="79"/>
      <c r="I13" s="79"/>
      <c r="J13" s="17"/>
      <c r="K13" s="79"/>
      <c r="L13" s="76"/>
      <c r="M13" s="76"/>
      <c r="N13" s="76"/>
      <c r="O13" s="76"/>
    </row>
    <row r="14" spans="1:16" x14ac:dyDescent="0.3">
      <c r="A14" s="212"/>
      <c r="B14" s="201" t="s">
        <v>13</v>
      </c>
      <c r="C14" s="201" t="s">
        <v>528</v>
      </c>
      <c r="D14" s="133"/>
      <c r="E14" s="133"/>
      <c r="F14" s="79"/>
      <c r="G14" s="79"/>
      <c r="H14" s="79"/>
      <c r="I14" s="79"/>
      <c r="J14" s="17"/>
      <c r="K14" s="79"/>
      <c r="L14" s="76"/>
      <c r="M14" s="76"/>
      <c r="N14" s="76"/>
      <c r="O14" s="76"/>
      <c r="P14" s="74"/>
    </row>
    <row r="15" spans="1:16" x14ac:dyDescent="0.3">
      <c r="A15" s="213"/>
      <c r="B15" s="201" t="s">
        <v>14</v>
      </c>
      <c r="C15" s="201" t="s">
        <v>529</v>
      </c>
      <c r="D15" s="133"/>
      <c r="E15" s="133"/>
      <c r="F15" s="79"/>
      <c r="G15" s="79"/>
      <c r="H15" s="79"/>
      <c r="I15" s="79"/>
      <c r="J15" s="17"/>
      <c r="K15" s="79"/>
      <c r="L15" s="76"/>
      <c r="M15" s="76"/>
      <c r="N15" s="76"/>
      <c r="O15" s="76"/>
      <c r="P15" s="74"/>
    </row>
    <row r="16" spans="1:16" ht="15" customHeight="1" x14ac:dyDescent="0.3">
      <c r="A16" s="211">
        <v>3</v>
      </c>
      <c r="B16" s="202" t="s">
        <v>414</v>
      </c>
      <c r="C16" s="202"/>
      <c r="D16" s="133"/>
      <c r="E16" s="133"/>
      <c r="F16" s="79"/>
      <c r="G16" s="79"/>
      <c r="H16" s="79"/>
      <c r="I16" s="79"/>
      <c r="J16" s="132"/>
      <c r="K16" s="79"/>
      <c r="L16" s="76"/>
      <c r="M16" s="76"/>
      <c r="N16" s="76"/>
      <c r="O16" s="76"/>
      <c r="P16" s="131"/>
    </row>
    <row r="17" spans="1:16" x14ac:dyDescent="0.3">
      <c r="A17" s="212"/>
      <c r="B17" s="201" t="s">
        <v>12</v>
      </c>
      <c r="C17" s="201" t="s">
        <v>530</v>
      </c>
      <c r="D17" s="133"/>
      <c r="E17" s="133"/>
      <c r="F17" s="79"/>
      <c r="G17" s="79"/>
      <c r="H17" s="79"/>
      <c r="I17" s="79"/>
      <c r="J17" s="17"/>
      <c r="K17" s="79"/>
      <c r="L17" s="76"/>
      <c r="M17" s="76"/>
      <c r="N17" s="76"/>
      <c r="O17" s="76"/>
      <c r="P17" s="74"/>
    </row>
    <row r="18" spans="1:16" x14ac:dyDescent="0.3">
      <c r="A18" s="212"/>
      <c r="B18" s="201" t="s">
        <v>13</v>
      </c>
      <c r="C18" s="201" t="s">
        <v>531</v>
      </c>
      <c r="D18" s="133"/>
      <c r="E18" s="133"/>
      <c r="F18" s="79"/>
      <c r="G18" s="79"/>
      <c r="H18" s="79"/>
      <c r="I18" s="79"/>
      <c r="J18" s="17"/>
      <c r="K18" s="79"/>
      <c r="L18" s="76"/>
      <c r="M18" s="76"/>
      <c r="N18" s="76"/>
      <c r="O18" s="76"/>
      <c r="P18" s="102"/>
    </row>
    <row r="19" spans="1:16" x14ac:dyDescent="0.3">
      <c r="A19" s="212"/>
      <c r="B19" s="201" t="s">
        <v>14</v>
      </c>
      <c r="C19" s="201" t="s">
        <v>532</v>
      </c>
      <c r="D19" s="133"/>
      <c r="E19" s="133"/>
      <c r="F19" s="79"/>
      <c r="G19" s="79"/>
      <c r="H19" s="79"/>
      <c r="I19" s="79"/>
      <c r="J19" s="17"/>
      <c r="K19" s="79"/>
      <c r="L19" s="76"/>
      <c r="M19" s="76"/>
      <c r="N19" s="76"/>
      <c r="O19" s="76"/>
      <c r="P19" s="102"/>
    </row>
    <row r="20" spans="1:16" x14ac:dyDescent="0.3">
      <c r="A20" s="212"/>
      <c r="B20" s="201" t="s">
        <v>15</v>
      </c>
      <c r="C20" s="201" t="s">
        <v>533</v>
      </c>
      <c r="D20" s="133"/>
      <c r="E20" s="133"/>
      <c r="F20" s="79"/>
      <c r="G20" s="79"/>
      <c r="H20" s="79"/>
      <c r="I20" s="79"/>
      <c r="J20" s="17"/>
      <c r="K20" s="79"/>
      <c r="L20" s="76"/>
      <c r="M20" s="76"/>
      <c r="N20" s="76"/>
      <c r="O20" s="76"/>
      <c r="P20" s="135"/>
    </row>
    <row r="21" spans="1:16" x14ac:dyDescent="0.3">
      <c r="A21" s="213"/>
      <c r="B21" s="201" t="s">
        <v>15</v>
      </c>
      <c r="C21" s="201" t="s">
        <v>534</v>
      </c>
      <c r="D21" s="133"/>
      <c r="E21" s="133"/>
      <c r="F21" s="79"/>
      <c r="G21" s="79"/>
      <c r="H21" s="79"/>
      <c r="I21" s="79"/>
      <c r="J21" s="17"/>
      <c r="K21" s="79"/>
      <c r="L21" s="76"/>
      <c r="M21" s="76"/>
      <c r="N21" s="76"/>
      <c r="O21" s="76"/>
      <c r="P21" s="135"/>
    </row>
    <row r="22" spans="1:16" ht="15.75" customHeight="1" x14ac:dyDescent="0.3">
      <c r="A22" s="211">
        <v>4</v>
      </c>
      <c r="B22" s="202" t="s">
        <v>415</v>
      </c>
      <c r="C22" s="202"/>
      <c r="D22" s="133"/>
      <c r="E22" s="133"/>
      <c r="F22" s="79"/>
      <c r="G22" s="79"/>
      <c r="H22" s="79"/>
      <c r="I22" s="79"/>
      <c r="J22" s="134"/>
      <c r="K22" s="79"/>
      <c r="L22" s="76"/>
      <c r="M22" s="76"/>
      <c r="N22" s="76"/>
      <c r="O22" s="76"/>
      <c r="P22" s="96"/>
    </row>
    <row r="23" spans="1:16" x14ac:dyDescent="0.3">
      <c r="A23" s="212"/>
      <c r="B23" s="201" t="s">
        <v>12</v>
      </c>
      <c r="C23" s="201" t="s">
        <v>535</v>
      </c>
      <c r="D23" s="133"/>
      <c r="E23" s="133"/>
      <c r="F23" s="79"/>
      <c r="G23" s="79"/>
      <c r="H23" s="79"/>
      <c r="I23" s="79"/>
      <c r="J23" s="17"/>
      <c r="K23" s="79"/>
      <c r="L23" s="76"/>
      <c r="M23" s="76"/>
      <c r="N23" s="76"/>
      <c r="O23" s="76"/>
      <c r="P23" s="102"/>
    </row>
    <row r="24" spans="1:16" x14ac:dyDescent="0.3">
      <c r="A24" s="212"/>
      <c r="B24" s="201" t="s">
        <v>13</v>
      </c>
      <c r="C24" s="201" t="s">
        <v>536</v>
      </c>
      <c r="D24" s="133"/>
      <c r="E24" s="133"/>
      <c r="F24" s="79"/>
      <c r="G24" s="79"/>
      <c r="H24" s="79"/>
      <c r="I24" s="79"/>
      <c r="J24" s="17"/>
      <c r="K24" s="79"/>
      <c r="L24" s="76"/>
      <c r="M24" s="76"/>
      <c r="N24" s="76"/>
      <c r="O24" s="76"/>
      <c r="P24" s="102"/>
    </row>
    <row r="25" spans="1:16" x14ac:dyDescent="0.3">
      <c r="A25" s="212"/>
      <c r="B25" s="201" t="s">
        <v>14</v>
      </c>
      <c r="C25" s="201" t="s">
        <v>537</v>
      </c>
      <c r="D25" s="133"/>
      <c r="E25" s="133"/>
      <c r="F25" s="79"/>
      <c r="G25" s="79"/>
      <c r="H25" s="79"/>
      <c r="I25" s="79"/>
      <c r="J25" s="17"/>
      <c r="K25" s="79"/>
      <c r="L25" s="76"/>
      <c r="M25" s="76"/>
      <c r="N25" s="76"/>
      <c r="O25" s="76"/>
      <c r="P25" s="102"/>
    </row>
    <row r="26" spans="1:16" x14ac:dyDescent="0.3">
      <c r="A26" s="213"/>
      <c r="B26" s="201" t="s">
        <v>15</v>
      </c>
      <c r="C26" s="201" t="s">
        <v>538</v>
      </c>
      <c r="D26" s="133"/>
      <c r="E26" s="133"/>
      <c r="F26" s="79"/>
      <c r="G26" s="79"/>
      <c r="H26" s="79"/>
      <c r="I26" s="79"/>
      <c r="J26" s="17"/>
      <c r="K26" s="79"/>
      <c r="L26" s="76"/>
      <c r="M26" s="76"/>
      <c r="N26" s="76"/>
      <c r="O26" s="76"/>
      <c r="P26" s="102"/>
    </row>
    <row r="27" spans="1:16" ht="15.75" customHeight="1" x14ac:dyDescent="0.3">
      <c r="A27" s="211">
        <v>5</v>
      </c>
      <c r="B27" s="202" t="s">
        <v>416</v>
      </c>
      <c r="C27" s="201"/>
      <c r="D27" s="133"/>
      <c r="E27" s="133"/>
      <c r="F27" s="79"/>
      <c r="G27" s="79"/>
      <c r="H27" s="79"/>
      <c r="I27" s="79"/>
      <c r="J27" s="134"/>
      <c r="K27" s="79"/>
      <c r="L27" s="76"/>
      <c r="M27" s="76"/>
      <c r="N27" s="76"/>
      <c r="O27" s="76"/>
      <c r="P27" s="96"/>
    </row>
    <row r="28" spans="1:16" x14ac:dyDescent="0.3">
      <c r="A28" s="212"/>
      <c r="B28" s="201" t="s">
        <v>12</v>
      </c>
      <c r="C28" s="201" t="s">
        <v>539</v>
      </c>
      <c r="D28" s="133"/>
      <c r="E28" s="133"/>
      <c r="F28" s="79"/>
      <c r="G28" s="79"/>
      <c r="H28" s="79"/>
      <c r="I28" s="79"/>
      <c r="J28" s="17"/>
      <c r="K28" s="79"/>
      <c r="L28" s="76"/>
      <c r="M28" s="76"/>
      <c r="N28" s="76"/>
      <c r="O28" s="76"/>
      <c r="P28" s="102"/>
    </row>
    <row r="29" spans="1:16" x14ac:dyDescent="0.3">
      <c r="A29" s="213"/>
      <c r="B29" s="201" t="s">
        <v>13</v>
      </c>
      <c r="C29" s="201" t="s">
        <v>540</v>
      </c>
      <c r="D29" s="133"/>
      <c r="E29" s="133"/>
      <c r="F29" s="79"/>
      <c r="G29" s="79"/>
      <c r="H29" s="79"/>
      <c r="I29" s="79"/>
      <c r="J29" s="17"/>
      <c r="K29" s="79"/>
      <c r="L29" s="76"/>
      <c r="M29" s="76"/>
      <c r="N29" s="76"/>
      <c r="O29" s="76"/>
      <c r="P29" s="102"/>
    </row>
    <row r="30" spans="1:16" ht="15.75" customHeight="1" x14ac:dyDescent="0.3">
      <c r="A30" s="211">
        <v>6</v>
      </c>
      <c r="B30" s="202" t="s">
        <v>417</v>
      </c>
      <c r="C30" s="202"/>
      <c r="D30" s="133"/>
      <c r="E30" s="133"/>
      <c r="F30" s="79"/>
      <c r="G30" s="79"/>
      <c r="H30" s="79"/>
      <c r="I30" s="79"/>
      <c r="J30" s="134"/>
      <c r="K30" s="79"/>
      <c r="L30" s="76"/>
      <c r="M30" s="76"/>
      <c r="N30" s="76"/>
      <c r="O30" s="76"/>
      <c r="P30" s="96"/>
    </row>
    <row r="31" spans="1:16" x14ac:dyDescent="0.3">
      <c r="A31" s="212"/>
      <c r="B31" s="201" t="s">
        <v>12</v>
      </c>
      <c r="C31" s="201" t="s">
        <v>541</v>
      </c>
      <c r="D31" s="133"/>
      <c r="E31" s="133"/>
      <c r="F31" s="79"/>
      <c r="G31" s="79"/>
      <c r="H31" s="79"/>
      <c r="I31" s="79"/>
      <c r="J31" s="17"/>
      <c r="K31" s="79"/>
      <c r="L31" s="76"/>
      <c r="M31" s="76"/>
      <c r="N31" s="76"/>
      <c r="O31" s="76"/>
      <c r="P31" s="102"/>
    </row>
    <row r="32" spans="1:16" x14ac:dyDescent="0.3">
      <c r="A32" s="212"/>
      <c r="B32" s="201" t="s">
        <v>13</v>
      </c>
      <c r="C32" s="201" t="s">
        <v>542</v>
      </c>
      <c r="D32" s="133"/>
      <c r="E32" s="133"/>
      <c r="F32" s="79"/>
      <c r="G32" s="79"/>
      <c r="H32" s="79"/>
      <c r="I32" s="79"/>
      <c r="J32" s="17"/>
      <c r="K32" s="79"/>
      <c r="L32" s="76"/>
      <c r="M32" s="76"/>
      <c r="N32" s="76"/>
      <c r="O32" s="76"/>
      <c r="P32" s="102"/>
    </row>
    <row r="33" spans="1:16" x14ac:dyDescent="0.3">
      <c r="A33" s="212"/>
      <c r="B33" s="201" t="s">
        <v>14</v>
      </c>
      <c r="C33" s="201" t="s">
        <v>543</v>
      </c>
      <c r="D33" s="133"/>
      <c r="E33" s="133"/>
      <c r="F33" s="79"/>
      <c r="G33" s="79"/>
      <c r="H33" s="79"/>
      <c r="I33" s="79"/>
      <c r="J33" s="17"/>
      <c r="K33" s="79"/>
      <c r="L33" s="76"/>
      <c r="M33" s="76"/>
      <c r="N33" s="76"/>
      <c r="O33" s="76"/>
      <c r="P33" s="102"/>
    </row>
    <row r="34" spans="1:16" x14ac:dyDescent="0.3">
      <c r="A34" s="212"/>
      <c r="B34" s="201" t="s">
        <v>15</v>
      </c>
      <c r="C34" s="201" t="s">
        <v>544</v>
      </c>
      <c r="D34" s="133"/>
      <c r="E34" s="133"/>
      <c r="F34" s="79"/>
      <c r="G34" s="79"/>
      <c r="H34" s="79"/>
      <c r="I34" s="79"/>
      <c r="J34" s="17"/>
      <c r="K34" s="79"/>
      <c r="L34" s="76"/>
      <c r="M34" s="76"/>
      <c r="N34" s="76"/>
      <c r="O34" s="76"/>
      <c r="P34" s="102"/>
    </row>
    <row r="35" spans="1:16" x14ac:dyDescent="0.3">
      <c r="A35" s="213"/>
      <c r="B35" s="201" t="s">
        <v>16</v>
      </c>
      <c r="C35" s="201" t="s">
        <v>545</v>
      </c>
      <c r="D35" s="133"/>
      <c r="E35" s="133"/>
      <c r="F35" s="79"/>
      <c r="G35" s="79"/>
      <c r="H35" s="79"/>
      <c r="I35" s="79"/>
      <c r="J35" s="17"/>
      <c r="K35" s="79"/>
      <c r="L35" s="76"/>
      <c r="M35" s="76"/>
      <c r="N35" s="76"/>
      <c r="O35" s="76"/>
      <c r="P35" s="102"/>
    </row>
    <row r="36" spans="1:16" ht="15.75" customHeight="1" x14ac:dyDescent="0.3">
      <c r="A36" s="211">
        <v>7</v>
      </c>
      <c r="B36" s="202" t="s">
        <v>418</v>
      </c>
      <c r="C36" s="201"/>
      <c r="D36" s="133"/>
      <c r="E36" s="133"/>
      <c r="F36" s="79"/>
      <c r="G36" s="79"/>
      <c r="H36" s="79"/>
      <c r="I36" s="79"/>
      <c r="J36" s="134"/>
      <c r="K36" s="79"/>
      <c r="L36" s="76"/>
      <c r="M36" s="76"/>
      <c r="N36" s="76"/>
      <c r="O36" s="76"/>
      <c r="P36" s="96"/>
    </row>
    <row r="37" spans="1:16" x14ac:dyDescent="0.3">
      <c r="A37" s="212"/>
      <c r="B37" s="201" t="s">
        <v>12</v>
      </c>
      <c r="C37" s="201" t="s">
        <v>546</v>
      </c>
      <c r="D37" s="133"/>
      <c r="E37" s="133"/>
      <c r="F37" s="79"/>
      <c r="G37" s="79"/>
      <c r="H37" s="79"/>
      <c r="I37" s="79"/>
      <c r="J37" s="17"/>
      <c r="K37" s="79"/>
      <c r="L37" s="76"/>
      <c r="M37" s="76"/>
      <c r="N37" s="76"/>
      <c r="O37" s="76"/>
      <c r="P37" s="102"/>
    </row>
    <row r="38" spans="1:16" x14ac:dyDescent="0.3">
      <c r="A38" s="212"/>
      <c r="B38" s="201" t="s">
        <v>13</v>
      </c>
      <c r="C38" s="201" t="s">
        <v>547</v>
      </c>
      <c r="D38" s="133"/>
      <c r="E38" s="133"/>
      <c r="F38" s="79"/>
      <c r="G38" s="79"/>
      <c r="H38" s="79"/>
      <c r="I38" s="79"/>
      <c r="J38" s="17"/>
      <c r="K38" s="79"/>
      <c r="L38" s="76"/>
      <c r="M38" s="76"/>
      <c r="N38" s="76"/>
      <c r="O38" s="76"/>
      <c r="P38" s="102"/>
    </row>
    <row r="39" spans="1:16" x14ac:dyDescent="0.3">
      <c r="A39" s="212"/>
      <c r="B39" s="201" t="s">
        <v>14</v>
      </c>
      <c r="C39" s="201" t="s">
        <v>548</v>
      </c>
      <c r="D39" s="133"/>
      <c r="E39" s="133"/>
      <c r="F39" s="79"/>
      <c r="G39" s="79"/>
      <c r="H39" s="79"/>
      <c r="I39" s="79"/>
      <c r="J39" s="17"/>
      <c r="K39" s="79"/>
      <c r="L39" s="76"/>
      <c r="M39" s="76"/>
      <c r="N39" s="76"/>
      <c r="O39" s="76"/>
      <c r="P39" s="102"/>
    </row>
    <row r="40" spans="1:16" x14ac:dyDescent="0.3">
      <c r="A40" s="213"/>
      <c r="B40" s="201" t="s">
        <v>15</v>
      </c>
      <c r="C40" s="201" t="s">
        <v>549</v>
      </c>
      <c r="D40" s="133"/>
      <c r="E40" s="133"/>
      <c r="F40" s="79"/>
      <c r="G40" s="79"/>
      <c r="H40" s="79"/>
      <c r="I40" s="79"/>
      <c r="J40" s="17"/>
      <c r="K40" s="79"/>
      <c r="L40" s="76"/>
      <c r="M40" s="76"/>
      <c r="N40" s="76"/>
      <c r="O40" s="76"/>
      <c r="P40" s="102"/>
    </row>
    <row r="41" spans="1:16" ht="15.75" customHeight="1" x14ac:dyDescent="0.3">
      <c r="A41" s="211">
        <v>8</v>
      </c>
      <c r="B41" s="202" t="s">
        <v>419</v>
      </c>
      <c r="C41" s="201"/>
      <c r="D41" s="133"/>
      <c r="E41" s="133"/>
      <c r="F41" s="79"/>
      <c r="G41" s="79"/>
      <c r="H41" s="79"/>
      <c r="I41" s="79"/>
      <c r="J41" s="134"/>
      <c r="K41" s="79"/>
      <c r="L41" s="76"/>
      <c r="M41" s="76"/>
      <c r="N41" s="76"/>
      <c r="O41" s="76"/>
      <c r="P41" s="96"/>
    </row>
    <row r="42" spans="1:16" x14ac:dyDescent="0.3">
      <c r="A42" s="212"/>
      <c r="B42" s="201" t="s">
        <v>12</v>
      </c>
      <c r="C42" s="201" t="s">
        <v>550</v>
      </c>
      <c r="D42" s="133"/>
      <c r="E42" s="133"/>
      <c r="F42" s="79"/>
      <c r="G42" s="79"/>
      <c r="H42" s="79"/>
      <c r="I42" s="79"/>
      <c r="J42" s="17"/>
      <c r="K42" s="79"/>
      <c r="L42" s="76"/>
      <c r="M42" s="76"/>
      <c r="N42" s="76"/>
      <c r="O42" s="76"/>
      <c r="P42" s="102"/>
    </row>
    <row r="43" spans="1:16" x14ac:dyDescent="0.3">
      <c r="A43" s="213"/>
      <c r="B43" s="201" t="s">
        <v>13</v>
      </c>
      <c r="C43" s="201" t="s">
        <v>551</v>
      </c>
      <c r="D43" s="133"/>
      <c r="E43" s="133"/>
      <c r="F43" s="79"/>
      <c r="G43" s="79"/>
      <c r="H43" s="79"/>
      <c r="I43" s="79"/>
      <c r="J43" s="17"/>
      <c r="K43" s="79"/>
      <c r="L43" s="76"/>
      <c r="M43" s="76"/>
      <c r="N43" s="76"/>
      <c r="O43" s="76"/>
      <c r="P43" s="102"/>
    </row>
    <row r="44" spans="1:16" ht="15.75" customHeight="1" x14ac:dyDescent="0.3">
      <c r="A44" s="211">
        <v>9</v>
      </c>
      <c r="B44" s="202" t="s">
        <v>420</v>
      </c>
      <c r="C44" s="201"/>
      <c r="D44" s="133"/>
      <c r="E44" s="133"/>
      <c r="F44" s="79"/>
      <c r="G44" s="79"/>
      <c r="H44" s="79"/>
      <c r="I44" s="79"/>
      <c r="J44" s="134"/>
      <c r="K44" s="79"/>
      <c r="L44" s="76"/>
      <c r="M44" s="76"/>
      <c r="N44" s="76"/>
      <c r="O44" s="76"/>
      <c r="P44" s="96"/>
    </row>
    <row r="45" spans="1:16" x14ac:dyDescent="0.3">
      <c r="A45" s="212"/>
      <c r="B45" s="201" t="s">
        <v>12</v>
      </c>
      <c r="C45" s="201" t="s">
        <v>552</v>
      </c>
      <c r="D45" s="133"/>
      <c r="E45" s="133"/>
      <c r="F45" s="79"/>
      <c r="G45" s="79"/>
      <c r="H45" s="79"/>
      <c r="I45" s="79"/>
      <c r="J45" s="17"/>
      <c r="K45" s="79"/>
      <c r="L45" s="76"/>
      <c r="M45" s="76"/>
      <c r="N45" s="76"/>
      <c r="O45" s="76"/>
      <c r="P45" s="102"/>
    </row>
    <row r="46" spans="1:16" x14ac:dyDescent="0.3">
      <c r="A46" s="212"/>
      <c r="B46" s="201" t="s">
        <v>13</v>
      </c>
      <c r="C46" s="201" t="s">
        <v>553</v>
      </c>
      <c r="D46" s="133"/>
      <c r="E46" s="133"/>
      <c r="F46" s="79"/>
      <c r="G46" s="79"/>
      <c r="H46" s="79"/>
      <c r="I46" s="79"/>
      <c r="J46" s="17"/>
      <c r="K46" s="79"/>
      <c r="L46" s="76"/>
      <c r="M46" s="76"/>
      <c r="N46" s="76"/>
      <c r="O46" s="76"/>
      <c r="P46" s="102"/>
    </row>
    <row r="47" spans="1:16" x14ac:dyDescent="0.3">
      <c r="A47" s="212"/>
      <c r="B47" s="201" t="s">
        <v>14</v>
      </c>
      <c r="C47" s="201" t="s">
        <v>554</v>
      </c>
      <c r="D47" s="133"/>
      <c r="E47" s="133"/>
      <c r="F47" s="79"/>
      <c r="G47" s="79"/>
      <c r="H47" s="79"/>
      <c r="I47" s="79"/>
      <c r="J47" s="17"/>
      <c r="K47" s="79"/>
      <c r="L47" s="76"/>
      <c r="M47" s="76"/>
      <c r="N47" s="76"/>
      <c r="O47" s="76"/>
      <c r="P47" s="102"/>
    </row>
    <row r="48" spans="1:16" x14ac:dyDescent="0.3">
      <c r="A48" s="213"/>
      <c r="B48" s="201" t="s">
        <v>15</v>
      </c>
      <c r="C48" s="201" t="s">
        <v>555</v>
      </c>
      <c r="D48" s="133"/>
      <c r="E48" s="133"/>
      <c r="F48" s="79"/>
      <c r="G48" s="79"/>
      <c r="H48" s="79"/>
      <c r="I48" s="79"/>
      <c r="J48" s="17"/>
      <c r="K48" s="79"/>
      <c r="L48" s="76"/>
      <c r="M48" s="76"/>
      <c r="N48" s="76"/>
      <c r="O48" s="76"/>
      <c r="P48" s="102"/>
    </row>
    <row r="49" spans="1:16" ht="15.75" customHeight="1" x14ac:dyDescent="0.3">
      <c r="A49" s="211">
        <v>10</v>
      </c>
      <c r="B49" s="202" t="s">
        <v>421</v>
      </c>
      <c r="C49" s="201"/>
      <c r="D49" s="133"/>
      <c r="E49" s="133"/>
      <c r="F49" s="79"/>
      <c r="G49" s="79"/>
      <c r="H49" s="79"/>
      <c r="I49" s="79"/>
      <c r="J49" s="134"/>
      <c r="K49" s="79"/>
      <c r="L49" s="76"/>
      <c r="M49" s="76"/>
      <c r="N49" s="76"/>
      <c r="O49" s="76"/>
      <c r="P49" s="96"/>
    </row>
    <row r="50" spans="1:16" x14ac:dyDescent="0.3">
      <c r="A50" s="212"/>
      <c r="B50" s="201" t="s">
        <v>12</v>
      </c>
      <c r="C50" s="201" t="s">
        <v>556</v>
      </c>
      <c r="D50" s="133"/>
      <c r="E50" s="133"/>
      <c r="F50" s="79"/>
      <c r="G50" s="79"/>
      <c r="H50" s="79"/>
      <c r="I50" s="79"/>
      <c r="J50" s="17"/>
      <c r="K50" s="79"/>
      <c r="L50" s="76"/>
      <c r="M50" s="76"/>
      <c r="N50" s="76"/>
      <c r="O50" s="76"/>
      <c r="P50" s="102"/>
    </row>
    <row r="51" spans="1:16" x14ac:dyDescent="0.3">
      <c r="A51" s="212"/>
      <c r="B51" s="201" t="s">
        <v>13</v>
      </c>
      <c r="C51" s="201" t="s">
        <v>557</v>
      </c>
      <c r="D51" s="133"/>
      <c r="E51" s="133"/>
      <c r="F51" s="79"/>
      <c r="G51" s="79"/>
      <c r="H51" s="79"/>
      <c r="I51" s="79"/>
      <c r="J51" s="17"/>
      <c r="K51" s="79"/>
      <c r="L51" s="76"/>
      <c r="M51" s="76"/>
      <c r="N51" s="76"/>
      <c r="O51" s="76"/>
      <c r="P51" s="102"/>
    </row>
    <row r="52" spans="1:16" x14ac:dyDescent="0.3">
      <c r="A52" s="212"/>
      <c r="B52" s="201" t="s">
        <v>14</v>
      </c>
      <c r="C52" s="201" t="s">
        <v>558</v>
      </c>
      <c r="D52" s="133"/>
      <c r="E52" s="133"/>
      <c r="F52" s="79"/>
      <c r="G52" s="79"/>
      <c r="H52" s="79"/>
      <c r="I52" s="79"/>
      <c r="J52" s="17"/>
      <c r="K52" s="79"/>
      <c r="L52" s="76"/>
      <c r="M52" s="76"/>
      <c r="N52" s="76"/>
      <c r="O52" s="76"/>
      <c r="P52" s="102"/>
    </row>
    <row r="53" spans="1:16" x14ac:dyDescent="0.3">
      <c r="A53" s="213"/>
      <c r="B53" s="201" t="s">
        <v>15</v>
      </c>
      <c r="C53" s="201" t="s">
        <v>559</v>
      </c>
      <c r="D53" s="133"/>
      <c r="E53" s="133"/>
      <c r="F53" s="79"/>
      <c r="G53" s="79"/>
      <c r="H53" s="79"/>
      <c r="I53" s="79"/>
      <c r="J53" s="17"/>
      <c r="K53" s="79"/>
      <c r="L53" s="76"/>
      <c r="M53" s="76"/>
      <c r="N53" s="76"/>
      <c r="O53" s="76"/>
      <c r="P53" s="102"/>
    </row>
    <row r="54" spans="1:16" ht="15.75" customHeight="1" x14ac:dyDescent="0.3">
      <c r="A54" s="211">
        <v>11</v>
      </c>
      <c r="B54" s="202" t="s">
        <v>422</v>
      </c>
      <c r="C54" s="201"/>
      <c r="D54" s="133"/>
      <c r="E54" s="133"/>
      <c r="F54" s="79"/>
      <c r="G54" s="79"/>
      <c r="H54" s="79"/>
      <c r="I54" s="79"/>
      <c r="J54" s="134"/>
      <c r="K54" s="79"/>
      <c r="L54" s="76"/>
      <c r="M54" s="76"/>
      <c r="N54" s="76"/>
      <c r="O54" s="76"/>
      <c r="P54" s="96"/>
    </row>
    <row r="55" spans="1:16" x14ac:dyDescent="0.3">
      <c r="A55" s="212"/>
      <c r="B55" s="201" t="s">
        <v>12</v>
      </c>
      <c r="C55" s="201" t="s">
        <v>560</v>
      </c>
      <c r="D55" s="133"/>
      <c r="E55" s="133"/>
      <c r="F55" s="79"/>
      <c r="G55" s="79"/>
      <c r="H55" s="79"/>
      <c r="I55" s="79"/>
      <c r="J55" s="17"/>
      <c r="K55" s="79"/>
      <c r="L55" s="76"/>
      <c r="M55" s="76"/>
      <c r="N55" s="76"/>
      <c r="O55" s="76"/>
      <c r="P55" s="102"/>
    </row>
    <row r="56" spans="1:16" x14ac:dyDescent="0.3">
      <c r="A56" s="213"/>
      <c r="B56" s="201" t="s">
        <v>13</v>
      </c>
      <c r="C56" s="201" t="s">
        <v>560</v>
      </c>
      <c r="D56" s="133"/>
      <c r="E56" s="133"/>
      <c r="F56" s="79"/>
      <c r="G56" s="79"/>
      <c r="H56" s="79"/>
      <c r="I56" s="79"/>
      <c r="J56" s="17"/>
      <c r="K56" s="79"/>
      <c r="L56" s="76"/>
      <c r="M56" s="76"/>
      <c r="N56" s="76"/>
      <c r="O56" s="76"/>
      <c r="P56" s="102"/>
    </row>
    <row r="57" spans="1:16" ht="15.75" customHeight="1" x14ac:dyDescent="0.3">
      <c r="A57" s="211">
        <v>12</v>
      </c>
      <c r="B57" s="202" t="s">
        <v>423</v>
      </c>
      <c r="C57" s="201"/>
      <c r="D57" s="133"/>
      <c r="E57" s="133"/>
      <c r="F57" s="79"/>
      <c r="G57" s="79"/>
      <c r="H57" s="79"/>
      <c r="I57" s="79"/>
      <c r="J57" s="134"/>
      <c r="K57" s="79"/>
      <c r="L57" s="76"/>
      <c r="M57" s="76"/>
      <c r="N57" s="76"/>
      <c r="O57" s="76"/>
      <c r="P57" s="96"/>
    </row>
    <row r="58" spans="1:16" x14ac:dyDescent="0.3">
      <c r="A58" s="213"/>
      <c r="B58" s="201" t="s">
        <v>12</v>
      </c>
      <c r="C58" s="201" t="s">
        <v>561</v>
      </c>
      <c r="D58" s="133"/>
      <c r="E58" s="133"/>
      <c r="F58" s="79"/>
      <c r="G58" s="79"/>
      <c r="H58" s="79"/>
      <c r="I58" s="79"/>
      <c r="J58" s="17"/>
      <c r="K58" s="79"/>
      <c r="L58" s="76"/>
      <c r="M58" s="76"/>
      <c r="N58" s="76"/>
      <c r="O58" s="76"/>
      <c r="P58" s="102"/>
    </row>
    <row r="59" spans="1:16" ht="15.75" customHeight="1" x14ac:dyDescent="0.3">
      <c r="A59" s="211">
        <v>13</v>
      </c>
      <c r="B59" s="202" t="s">
        <v>424</v>
      </c>
      <c r="C59" s="201"/>
      <c r="D59" s="133"/>
      <c r="E59" s="133"/>
      <c r="F59" s="79"/>
      <c r="G59" s="79"/>
      <c r="H59" s="79"/>
      <c r="I59" s="79"/>
      <c r="J59" s="134"/>
      <c r="K59" s="79"/>
      <c r="L59" s="76"/>
      <c r="M59" s="76"/>
      <c r="N59" s="76"/>
      <c r="O59" s="76"/>
      <c r="P59" s="96"/>
    </row>
    <row r="60" spans="1:16" x14ac:dyDescent="0.3">
      <c r="A60" s="212"/>
      <c r="B60" s="201" t="s">
        <v>12</v>
      </c>
      <c r="C60" s="201" t="s">
        <v>562</v>
      </c>
      <c r="D60" s="133"/>
      <c r="E60" s="133"/>
      <c r="F60" s="79"/>
      <c r="G60" s="79"/>
      <c r="H60" s="79"/>
      <c r="I60" s="79"/>
      <c r="J60" s="17"/>
      <c r="K60" s="79"/>
      <c r="L60" s="76"/>
      <c r="M60" s="76"/>
      <c r="N60" s="76"/>
      <c r="O60" s="76"/>
      <c r="P60" s="102"/>
    </row>
    <row r="61" spans="1:16" x14ac:dyDescent="0.3">
      <c r="A61" s="213"/>
      <c r="B61" s="201" t="s">
        <v>13</v>
      </c>
      <c r="C61" s="201" t="s">
        <v>563</v>
      </c>
      <c r="D61" s="133"/>
      <c r="E61" s="133"/>
      <c r="F61" s="79"/>
      <c r="G61" s="79"/>
      <c r="H61" s="79"/>
      <c r="I61" s="79"/>
      <c r="J61" s="17"/>
      <c r="K61" s="79"/>
      <c r="L61" s="76"/>
      <c r="M61" s="76"/>
      <c r="N61" s="76"/>
      <c r="O61" s="76"/>
      <c r="P61" s="102"/>
    </row>
    <row r="62" spans="1:16" ht="15.75" customHeight="1" x14ac:dyDescent="0.3">
      <c r="A62" s="211">
        <v>14</v>
      </c>
      <c r="B62" s="202" t="s">
        <v>425</v>
      </c>
      <c r="C62" s="201"/>
      <c r="D62" s="133"/>
      <c r="E62" s="133"/>
      <c r="F62" s="79"/>
      <c r="G62" s="79"/>
      <c r="H62" s="79"/>
      <c r="I62" s="79"/>
      <c r="J62" s="17"/>
      <c r="K62" s="79"/>
      <c r="L62" s="76"/>
      <c r="M62" s="76"/>
      <c r="N62" s="76"/>
      <c r="O62" s="76"/>
      <c r="P62" s="102"/>
    </row>
    <row r="63" spans="1:16" x14ac:dyDescent="0.3">
      <c r="A63" s="212"/>
      <c r="B63" s="201" t="s">
        <v>12</v>
      </c>
      <c r="C63" s="201" t="s">
        <v>564</v>
      </c>
      <c r="D63" s="133"/>
      <c r="E63" s="133"/>
      <c r="F63" s="79"/>
      <c r="G63" s="79"/>
      <c r="H63" s="79"/>
      <c r="I63" s="79"/>
      <c r="J63" s="17"/>
      <c r="K63" s="79"/>
      <c r="L63" s="76"/>
      <c r="M63" s="76"/>
      <c r="N63" s="76"/>
      <c r="O63" s="76"/>
      <c r="P63" s="102"/>
    </row>
    <row r="64" spans="1:16" x14ac:dyDescent="0.3">
      <c r="A64" s="213"/>
      <c r="B64" s="201" t="s">
        <v>13</v>
      </c>
      <c r="C64" s="201" t="s">
        <v>565</v>
      </c>
      <c r="D64" s="133"/>
      <c r="E64" s="133"/>
      <c r="F64" s="79"/>
      <c r="G64" s="79"/>
      <c r="H64" s="79"/>
      <c r="I64" s="79"/>
      <c r="J64" s="17"/>
      <c r="K64" s="79"/>
      <c r="L64" s="76"/>
      <c r="M64" s="76"/>
      <c r="N64" s="76"/>
      <c r="O64" s="76"/>
      <c r="P64" s="102"/>
    </row>
    <row r="65" spans="1:16" ht="15.75" customHeight="1" x14ac:dyDescent="0.3">
      <c r="A65" s="211">
        <v>15</v>
      </c>
      <c r="B65" s="202" t="s">
        <v>426</v>
      </c>
      <c r="C65" s="201"/>
      <c r="D65" s="133"/>
      <c r="E65" s="133"/>
      <c r="F65" s="79"/>
      <c r="G65" s="79"/>
      <c r="H65" s="79"/>
      <c r="I65" s="79"/>
      <c r="J65" s="134"/>
      <c r="K65" s="79"/>
      <c r="L65" s="76"/>
      <c r="M65" s="76"/>
      <c r="N65" s="76"/>
      <c r="O65" s="76"/>
      <c r="P65" s="96"/>
    </row>
    <row r="66" spans="1:16" x14ac:dyDescent="0.3">
      <c r="A66" s="212"/>
      <c r="B66" s="201" t="s">
        <v>12</v>
      </c>
      <c r="C66" s="201" t="s">
        <v>566</v>
      </c>
      <c r="D66" s="133"/>
      <c r="E66" s="133"/>
      <c r="F66" s="79"/>
      <c r="G66" s="79"/>
      <c r="H66" s="79"/>
      <c r="I66" s="79"/>
      <c r="J66" s="17"/>
      <c r="K66" s="79"/>
      <c r="L66" s="76"/>
      <c r="M66" s="76"/>
      <c r="N66" s="76"/>
      <c r="O66" s="76"/>
      <c r="P66" s="102"/>
    </row>
    <row r="67" spans="1:16" x14ac:dyDescent="0.3">
      <c r="A67" s="213"/>
      <c r="B67" s="201" t="s">
        <v>13</v>
      </c>
      <c r="C67" s="201" t="s">
        <v>567</v>
      </c>
      <c r="D67" s="133"/>
      <c r="E67" s="133"/>
      <c r="F67" s="79"/>
      <c r="G67" s="79"/>
      <c r="H67" s="79"/>
      <c r="I67" s="79"/>
      <c r="J67" s="17"/>
      <c r="K67" s="79"/>
      <c r="L67" s="76"/>
      <c r="M67" s="76"/>
      <c r="N67" s="76"/>
      <c r="O67" s="76"/>
      <c r="P67" s="102"/>
    </row>
    <row r="68" spans="1:16" s="72" customFormat="1" ht="15" customHeight="1" x14ac:dyDescent="0.3">
      <c r="A68" s="110" t="s">
        <v>105</v>
      </c>
      <c r="B68" s="109"/>
      <c r="C68" s="108"/>
      <c r="D68" s="133"/>
      <c r="E68" s="133"/>
      <c r="F68" s="79"/>
      <c r="G68" s="79"/>
      <c r="H68" s="79"/>
      <c r="I68" s="79"/>
      <c r="J68" s="132"/>
      <c r="K68" s="79"/>
      <c r="L68" s="76"/>
      <c r="M68" s="76"/>
      <c r="N68" s="76"/>
      <c r="O68" s="76"/>
      <c r="P68" s="131"/>
    </row>
    <row r="69" spans="1:16" s="70" customFormat="1" ht="20.25" customHeight="1" x14ac:dyDescent="0.3">
      <c r="A69" s="17">
        <v>16</v>
      </c>
      <c r="B69" s="205" t="s">
        <v>427</v>
      </c>
      <c r="C69" s="206"/>
      <c r="D69" s="79">
        <v>0</v>
      </c>
      <c r="E69" s="79">
        <v>4</v>
      </c>
      <c r="F69" s="17">
        <v>0</v>
      </c>
      <c r="G69" s="17">
        <v>0</v>
      </c>
      <c r="H69" s="17">
        <v>0</v>
      </c>
      <c r="I69" s="79">
        <f t="shared" ref="I69:I80" si="0">SUM(F69+G69+H69)</f>
        <v>0</v>
      </c>
      <c r="J69" s="17"/>
      <c r="K69" s="79">
        <f t="shared" ref="K69:K80" si="1">SUM(E69-I69)</f>
        <v>4</v>
      </c>
      <c r="L69" s="76">
        <f t="shared" ref="L69:L80" si="2">IF(E69=0,"-",(I69/E69))</f>
        <v>0</v>
      </c>
      <c r="M69" s="76"/>
      <c r="N69" s="76">
        <f t="shared" ref="N69:N80" si="3">IF(E69=0,"-",(K69/E69))</f>
        <v>1</v>
      </c>
      <c r="O69" s="76">
        <f t="shared" ref="O69:O80" si="4">IF(E69=0,"-",(M69+N69))</f>
        <v>1</v>
      </c>
      <c r="P69" s="61"/>
    </row>
    <row r="70" spans="1:16" s="112" customFormat="1" x14ac:dyDescent="0.3">
      <c r="A70" s="29">
        <v>17</v>
      </c>
      <c r="B70" s="205" t="s">
        <v>428</v>
      </c>
      <c r="C70" s="206"/>
      <c r="D70" s="113">
        <v>353</v>
      </c>
      <c r="E70" s="113">
        <v>272</v>
      </c>
      <c r="F70" s="113">
        <v>2</v>
      </c>
      <c r="G70" s="113">
        <v>0</v>
      </c>
      <c r="H70" s="113">
        <v>0</v>
      </c>
      <c r="I70" s="113">
        <f t="shared" si="0"/>
        <v>2</v>
      </c>
      <c r="J70" s="29"/>
      <c r="K70" s="113">
        <f t="shared" si="1"/>
        <v>270</v>
      </c>
      <c r="L70" s="75">
        <f t="shared" si="2"/>
        <v>7.3529411764705881E-3</v>
      </c>
      <c r="M70" s="75"/>
      <c r="N70" s="75">
        <f t="shared" si="3"/>
        <v>0.99264705882352944</v>
      </c>
      <c r="O70" s="75">
        <f t="shared" si="4"/>
        <v>0.99264705882352944</v>
      </c>
      <c r="P70" s="61" t="s">
        <v>624</v>
      </c>
    </row>
    <row r="71" spans="1:16" s="72" customFormat="1" ht="36.75" customHeight="1" x14ac:dyDescent="0.3">
      <c r="A71" s="29">
        <v>18</v>
      </c>
      <c r="B71" s="205" t="s">
        <v>429</v>
      </c>
      <c r="C71" s="206"/>
      <c r="D71" s="113">
        <v>144</v>
      </c>
      <c r="E71" s="113">
        <v>163</v>
      </c>
      <c r="F71" s="113">
        <v>0</v>
      </c>
      <c r="G71" s="113">
        <v>2</v>
      </c>
      <c r="H71" s="113">
        <v>0</v>
      </c>
      <c r="I71" s="113">
        <f t="shared" si="0"/>
        <v>2</v>
      </c>
      <c r="J71" s="29"/>
      <c r="K71" s="113">
        <f t="shared" si="1"/>
        <v>161</v>
      </c>
      <c r="L71" s="75">
        <f t="shared" si="2"/>
        <v>1.2269938650306749E-2</v>
      </c>
      <c r="M71" s="75"/>
      <c r="N71" s="75">
        <f t="shared" si="3"/>
        <v>0.98773006134969321</v>
      </c>
      <c r="O71" s="75">
        <f t="shared" si="4"/>
        <v>0.98773006134969321</v>
      </c>
      <c r="P71" s="61" t="s">
        <v>614</v>
      </c>
    </row>
    <row r="72" spans="1:16" s="72" customFormat="1" ht="36.75" customHeight="1" x14ac:dyDescent="0.3">
      <c r="A72" s="29">
        <v>19</v>
      </c>
      <c r="B72" s="205" t="s">
        <v>430</v>
      </c>
      <c r="C72" s="206"/>
      <c r="D72" s="113">
        <v>250</v>
      </c>
      <c r="E72" s="113">
        <v>271</v>
      </c>
      <c r="F72" s="113">
        <v>1</v>
      </c>
      <c r="G72" s="113">
        <v>0</v>
      </c>
      <c r="H72" s="113">
        <v>0</v>
      </c>
      <c r="I72" s="113">
        <f t="shared" si="0"/>
        <v>1</v>
      </c>
      <c r="J72" s="29"/>
      <c r="K72" s="113">
        <f t="shared" si="1"/>
        <v>270</v>
      </c>
      <c r="L72" s="75">
        <f t="shared" si="2"/>
        <v>3.6900369003690036E-3</v>
      </c>
      <c r="M72" s="75"/>
      <c r="N72" s="75">
        <f t="shared" si="3"/>
        <v>0.99630996309963105</v>
      </c>
      <c r="O72" s="75">
        <f t="shared" si="4"/>
        <v>0.99630996309963105</v>
      </c>
      <c r="P72" s="130" t="s">
        <v>625</v>
      </c>
    </row>
    <row r="73" spans="1:16" ht="37.5" customHeight="1" x14ac:dyDescent="0.3">
      <c r="A73" s="17">
        <v>20</v>
      </c>
      <c r="B73" s="205" t="s">
        <v>431</v>
      </c>
      <c r="C73" s="206"/>
      <c r="D73" s="79">
        <v>107</v>
      </c>
      <c r="E73" s="79">
        <v>108</v>
      </c>
      <c r="F73" s="79">
        <v>2</v>
      </c>
      <c r="G73" s="79">
        <v>0</v>
      </c>
      <c r="H73" s="79">
        <v>0</v>
      </c>
      <c r="I73" s="79">
        <f t="shared" si="0"/>
        <v>2</v>
      </c>
      <c r="J73" s="17"/>
      <c r="K73" s="79">
        <f t="shared" si="1"/>
        <v>106</v>
      </c>
      <c r="L73" s="76">
        <f t="shared" si="2"/>
        <v>1.8518518518518517E-2</v>
      </c>
      <c r="M73" s="76"/>
      <c r="N73" s="76">
        <f t="shared" si="3"/>
        <v>0.98148148148148151</v>
      </c>
      <c r="O73" s="76">
        <f t="shared" si="4"/>
        <v>0.98148148148148151</v>
      </c>
      <c r="P73" s="104" t="s">
        <v>615</v>
      </c>
    </row>
    <row r="74" spans="1:16" s="72" customFormat="1" ht="45.75" customHeight="1" x14ac:dyDescent="0.3">
      <c r="A74" s="129">
        <v>21</v>
      </c>
      <c r="B74" s="205" t="s">
        <v>432</v>
      </c>
      <c r="C74" s="206"/>
      <c r="D74" s="113">
        <v>72</v>
      </c>
      <c r="E74" s="113">
        <v>70</v>
      </c>
      <c r="F74" s="113">
        <v>1</v>
      </c>
      <c r="G74" s="113">
        <v>0</v>
      </c>
      <c r="H74" s="113">
        <v>0</v>
      </c>
      <c r="I74" s="113">
        <f t="shared" si="0"/>
        <v>1</v>
      </c>
      <c r="J74" s="29"/>
      <c r="K74" s="113">
        <f t="shared" si="1"/>
        <v>69</v>
      </c>
      <c r="L74" s="75">
        <f t="shared" si="2"/>
        <v>1.4285714285714285E-2</v>
      </c>
      <c r="M74" s="75"/>
      <c r="N74" s="75">
        <f t="shared" si="3"/>
        <v>0.98571428571428577</v>
      </c>
      <c r="O74" s="75">
        <f t="shared" si="4"/>
        <v>0.98571428571428577</v>
      </c>
      <c r="P74" s="128" t="s">
        <v>625</v>
      </c>
    </row>
    <row r="75" spans="1:16" s="70" customFormat="1" ht="50.25" customHeight="1" x14ac:dyDescent="0.3">
      <c r="A75" s="29">
        <v>22</v>
      </c>
      <c r="B75" s="205" t="s">
        <v>433</v>
      </c>
      <c r="C75" s="206"/>
      <c r="D75" s="113">
        <v>12</v>
      </c>
      <c r="E75" s="113">
        <v>5</v>
      </c>
      <c r="F75" s="113">
        <v>1</v>
      </c>
      <c r="G75" s="113">
        <v>0</v>
      </c>
      <c r="H75" s="113">
        <v>0</v>
      </c>
      <c r="I75" s="113">
        <f t="shared" si="0"/>
        <v>1</v>
      </c>
      <c r="J75" s="29"/>
      <c r="K75" s="113">
        <f t="shared" si="1"/>
        <v>4</v>
      </c>
      <c r="L75" s="75">
        <f t="shared" si="2"/>
        <v>0.2</v>
      </c>
      <c r="M75" s="75"/>
      <c r="N75" s="75">
        <f t="shared" si="3"/>
        <v>0.8</v>
      </c>
      <c r="O75" s="75">
        <f t="shared" si="4"/>
        <v>0.8</v>
      </c>
      <c r="P75" s="127" t="s">
        <v>626</v>
      </c>
    </row>
    <row r="76" spans="1:16" ht="211.5" customHeight="1" x14ac:dyDescent="0.3">
      <c r="A76" s="111">
        <v>23</v>
      </c>
      <c r="B76" s="205" t="s">
        <v>434</v>
      </c>
      <c r="C76" s="206"/>
      <c r="D76" s="17">
        <v>4</v>
      </c>
      <c r="E76" s="17">
        <v>5</v>
      </c>
      <c r="F76" s="17">
        <v>1</v>
      </c>
      <c r="G76" s="17">
        <v>0</v>
      </c>
      <c r="H76" s="17">
        <v>0</v>
      </c>
      <c r="I76" s="79">
        <f t="shared" si="0"/>
        <v>1</v>
      </c>
      <c r="J76" s="17"/>
      <c r="K76" s="79">
        <f t="shared" si="1"/>
        <v>4</v>
      </c>
      <c r="L76" s="76">
        <f t="shared" si="2"/>
        <v>0.2</v>
      </c>
      <c r="M76" s="76"/>
      <c r="N76" s="76">
        <f t="shared" si="3"/>
        <v>0.8</v>
      </c>
      <c r="O76" s="76">
        <f t="shared" si="4"/>
        <v>0.8</v>
      </c>
      <c r="P76" s="126" t="s">
        <v>629</v>
      </c>
    </row>
    <row r="77" spans="1:16" s="70" customFormat="1" x14ac:dyDescent="0.3">
      <c r="A77" s="17">
        <v>24</v>
      </c>
      <c r="B77" s="205" t="s">
        <v>435</v>
      </c>
      <c r="C77" s="206"/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f t="shared" si="0"/>
        <v>0</v>
      </c>
      <c r="J77" s="17"/>
      <c r="K77" s="79">
        <f t="shared" si="1"/>
        <v>0</v>
      </c>
      <c r="L77" s="76" t="str">
        <f t="shared" si="2"/>
        <v>-</v>
      </c>
      <c r="M77" s="76"/>
      <c r="N77" s="76" t="str">
        <f t="shared" si="3"/>
        <v>-</v>
      </c>
      <c r="O77" s="76" t="str">
        <f t="shared" si="4"/>
        <v>-</v>
      </c>
      <c r="P77" s="61"/>
    </row>
    <row r="78" spans="1:16" s="70" customFormat="1" ht="33.75" customHeight="1" x14ac:dyDescent="0.3">
      <c r="A78" s="17">
        <v>25</v>
      </c>
      <c r="B78" s="205" t="s">
        <v>436</v>
      </c>
      <c r="C78" s="206"/>
      <c r="D78" s="79">
        <v>6</v>
      </c>
      <c r="E78" s="79">
        <v>4</v>
      </c>
      <c r="F78" s="79">
        <v>0</v>
      </c>
      <c r="G78" s="79">
        <v>0</v>
      </c>
      <c r="H78" s="79">
        <v>0</v>
      </c>
      <c r="I78" s="79">
        <f t="shared" si="0"/>
        <v>0</v>
      </c>
      <c r="J78" s="17"/>
      <c r="K78" s="79">
        <f t="shared" si="1"/>
        <v>4</v>
      </c>
      <c r="L78" s="76">
        <f t="shared" si="2"/>
        <v>0</v>
      </c>
      <c r="M78" s="76"/>
      <c r="N78" s="76">
        <f t="shared" si="3"/>
        <v>1</v>
      </c>
      <c r="O78" s="76">
        <f t="shared" si="4"/>
        <v>1</v>
      </c>
      <c r="P78" s="78"/>
    </row>
    <row r="79" spans="1:16" ht="15.75" customHeight="1" x14ac:dyDescent="0.3">
      <c r="A79" s="111">
        <v>26</v>
      </c>
      <c r="B79" s="205" t="s">
        <v>437</v>
      </c>
      <c r="C79" s="206"/>
      <c r="D79" s="79">
        <v>2</v>
      </c>
      <c r="E79" s="79">
        <v>2</v>
      </c>
      <c r="F79" s="79">
        <v>0</v>
      </c>
      <c r="G79" s="79">
        <v>0</v>
      </c>
      <c r="H79" s="79">
        <v>0</v>
      </c>
      <c r="I79" s="79">
        <f t="shared" si="0"/>
        <v>0</v>
      </c>
      <c r="J79" s="17"/>
      <c r="K79" s="79">
        <f t="shared" si="1"/>
        <v>2</v>
      </c>
      <c r="L79" s="76">
        <f t="shared" si="2"/>
        <v>0</v>
      </c>
      <c r="M79" s="76"/>
      <c r="N79" s="76">
        <f t="shared" si="3"/>
        <v>1</v>
      </c>
      <c r="O79" s="76">
        <f t="shared" si="4"/>
        <v>1</v>
      </c>
      <c r="P79" s="102"/>
    </row>
    <row r="80" spans="1:16" s="112" customFormat="1" ht="62.4" x14ac:dyDescent="0.3">
      <c r="A80" s="29">
        <v>27</v>
      </c>
      <c r="B80" s="205" t="s">
        <v>438</v>
      </c>
      <c r="C80" s="206"/>
      <c r="D80" s="113">
        <v>50</v>
      </c>
      <c r="E80" s="113">
        <v>29</v>
      </c>
      <c r="F80" s="113">
        <v>3</v>
      </c>
      <c r="G80" s="113">
        <v>0</v>
      </c>
      <c r="H80" s="113">
        <v>0</v>
      </c>
      <c r="I80" s="113">
        <f t="shared" si="0"/>
        <v>3</v>
      </c>
      <c r="J80" s="29"/>
      <c r="K80" s="113">
        <f t="shared" si="1"/>
        <v>26</v>
      </c>
      <c r="L80" s="75">
        <f t="shared" si="2"/>
        <v>0.10344827586206896</v>
      </c>
      <c r="M80" s="75"/>
      <c r="N80" s="75">
        <f t="shared" si="3"/>
        <v>0.89655172413793105</v>
      </c>
      <c r="O80" s="75">
        <f t="shared" si="4"/>
        <v>0.89655172413793105</v>
      </c>
      <c r="P80" s="125" t="s">
        <v>627</v>
      </c>
    </row>
    <row r="81" spans="1:16" s="72" customFormat="1" ht="14.25" customHeight="1" x14ac:dyDescent="0.3">
      <c r="A81" s="110" t="s">
        <v>104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8"/>
    </row>
    <row r="82" spans="1:16" s="72" customFormat="1" ht="59.25" customHeight="1" x14ac:dyDescent="0.3">
      <c r="A82" s="29">
        <v>28</v>
      </c>
      <c r="B82" s="209" t="s">
        <v>439</v>
      </c>
      <c r="C82" s="210"/>
      <c r="D82" s="113">
        <v>273</v>
      </c>
      <c r="E82" s="113">
        <v>305</v>
      </c>
      <c r="F82" s="113">
        <v>7</v>
      </c>
      <c r="G82" s="113">
        <v>7</v>
      </c>
      <c r="H82" s="113">
        <v>0</v>
      </c>
      <c r="I82" s="113">
        <f t="shared" ref="I82:I87" si="5">SUM(F82+G82+H82)</f>
        <v>14</v>
      </c>
      <c r="J82" s="29"/>
      <c r="K82" s="113">
        <f t="shared" ref="K82:K87" si="6">SUM(E82-I82)</f>
        <v>291</v>
      </c>
      <c r="L82" s="75">
        <f t="shared" ref="L82:L87" si="7">IF(E82=0,"-",(I82/E82))</f>
        <v>4.5901639344262293E-2</v>
      </c>
      <c r="M82" s="75"/>
      <c r="N82" s="75">
        <f t="shared" ref="N82:N87" si="8">IF(E82=0,"-",(K82/E82))</f>
        <v>0.95409836065573772</v>
      </c>
      <c r="O82" s="75">
        <f t="shared" ref="O82:O87" si="9">IF(E82=0,"-",(M82+N82))</f>
        <v>0.95409836065573772</v>
      </c>
      <c r="P82" s="124" t="s">
        <v>628</v>
      </c>
    </row>
    <row r="83" spans="1:16" ht="15.75" customHeight="1" x14ac:dyDescent="0.3">
      <c r="A83" s="111">
        <v>29</v>
      </c>
      <c r="B83" s="207" t="s">
        <v>440</v>
      </c>
      <c r="C83" s="208"/>
      <c r="D83" s="79">
        <v>0</v>
      </c>
      <c r="E83" s="79">
        <v>11</v>
      </c>
      <c r="F83" s="79">
        <v>0</v>
      </c>
      <c r="G83" s="79">
        <v>1</v>
      </c>
      <c r="H83" s="79">
        <v>0</v>
      </c>
      <c r="I83" s="79">
        <f t="shared" si="5"/>
        <v>1</v>
      </c>
      <c r="J83" s="17"/>
      <c r="K83" s="79">
        <f t="shared" si="6"/>
        <v>10</v>
      </c>
      <c r="L83" s="76">
        <f t="shared" si="7"/>
        <v>9.0909090909090912E-2</v>
      </c>
      <c r="M83" s="76"/>
      <c r="N83" s="76">
        <f t="shared" si="8"/>
        <v>0.90909090909090906</v>
      </c>
      <c r="O83" s="76">
        <f t="shared" si="9"/>
        <v>0.90909090909090906</v>
      </c>
      <c r="P83" s="116" t="s">
        <v>620</v>
      </c>
    </row>
    <row r="84" spans="1:16" ht="15.75" customHeight="1" x14ac:dyDescent="0.3">
      <c r="A84" s="111">
        <v>30</v>
      </c>
      <c r="B84" s="207" t="s">
        <v>441</v>
      </c>
      <c r="C84" s="208"/>
      <c r="D84" s="79">
        <v>3</v>
      </c>
      <c r="E84" s="79">
        <v>3</v>
      </c>
      <c r="F84" s="79">
        <v>0</v>
      </c>
      <c r="G84" s="79">
        <v>0</v>
      </c>
      <c r="H84" s="79">
        <v>0</v>
      </c>
      <c r="I84" s="79">
        <f t="shared" si="5"/>
        <v>0</v>
      </c>
      <c r="J84" s="17"/>
      <c r="K84" s="79">
        <f t="shared" si="6"/>
        <v>3</v>
      </c>
      <c r="L84" s="76">
        <f t="shared" si="7"/>
        <v>0</v>
      </c>
      <c r="M84" s="76"/>
      <c r="N84" s="76">
        <f t="shared" si="8"/>
        <v>1</v>
      </c>
      <c r="O84" s="76">
        <f t="shared" si="9"/>
        <v>1</v>
      </c>
      <c r="P84" s="102"/>
    </row>
    <row r="85" spans="1:16" ht="15.75" customHeight="1" x14ac:dyDescent="0.3">
      <c r="A85" s="111">
        <v>31</v>
      </c>
      <c r="B85" s="207" t="s">
        <v>442</v>
      </c>
      <c r="C85" s="208"/>
      <c r="D85" s="17">
        <v>91</v>
      </c>
      <c r="E85" s="17">
        <v>68</v>
      </c>
      <c r="F85" s="17">
        <v>0</v>
      </c>
      <c r="G85" s="17">
        <v>1</v>
      </c>
      <c r="H85" s="17">
        <v>0</v>
      </c>
      <c r="I85" s="79">
        <f t="shared" si="5"/>
        <v>1</v>
      </c>
      <c r="J85" s="17"/>
      <c r="K85" s="79">
        <f t="shared" si="6"/>
        <v>67</v>
      </c>
      <c r="L85" s="76">
        <f t="shared" si="7"/>
        <v>1.4705882352941176E-2</v>
      </c>
      <c r="M85" s="76"/>
      <c r="N85" s="76">
        <f t="shared" si="8"/>
        <v>0.98529411764705888</v>
      </c>
      <c r="O85" s="76">
        <f t="shared" si="9"/>
        <v>0.98529411764705888</v>
      </c>
      <c r="P85" s="116" t="s">
        <v>621</v>
      </c>
    </row>
    <row r="86" spans="1:16" ht="50.25" customHeight="1" x14ac:dyDescent="0.3">
      <c r="A86" s="111">
        <v>32</v>
      </c>
      <c r="B86" s="207" t="s">
        <v>443</v>
      </c>
      <c r="C86" s="208"/>
      <c r="D86" s="79">
        <v>40</v>
      </c>
      <c r="E86" s="79">
        <v>36</v>
      </c>
      <c r="F86" s="79">
        <v>2</v>
      </c>
      <c r="G86" s="79">
        <v>3</v>
      </c>
      <c r="H86" s="79">
        <v>0</v>
      </c>
      <c r="I86" s="79">
        <f t="shared" si="5"/>
        <v>5</v>
      </c>
      <c r="J86" s="17"/>
      <c r="K86" s="79">
        <f t="shared" si="6"/>
        <v>31</v>
      </c>
      <c r="L86" s="76">
        <f t="shared" si="7"/>
        <v>0.1388888888888889</v>
      </c>
      <c r="M86" s="76"/>
      <c r="N86" s="76">
        <f t="shared" si="8"/>
        <v>0.86111111111111116</v>
      </c>
      <c r="O86" s="76">
        <f t="shared" si="9"/>
        <v>0.86111111111111116</v>
      </c>
      <c r="P86" s="65" t="s">
        <v>622</v>
      </c>
    </row>
    <row r="87" spans="1:16" ht="15.75" customHeight="1" x14ac:dyDescent="0.3">
      <c r="A87" s="111">
        <v>33</v>
      </c>
      <c r="B87" s="207" t="s">
        <v>444</v>
      </c>
      <c r="C87" s="208"/>
      <c r="D87" s="79">
        <v>0</v>
      </c>
      <c r="E87" s="79">
        <v>18</v>
      </c>
      <c r="F87" s="79">
        <v>0</v>
      </c>
      <c r="G87" s="79">
        <v>0</v>
      </c>
      <c r="H87" s="79">
        <v>0</v>
      </c>
      <c r="I87" s="79">
        <f t="shared" si="5"/>
        <v>0</v>
      </c>
      <c r="J87" s="17"/>
      <c r="K87" s="79">
        <f t="shared" si="6"/>
        <v>18</v>
      </c>
      <c r="L87" s="76">
        <f t="shared" si="7"/>
        <v>0</v>
      </c>
      <c r="M87" s="76"/>
      <c r="N87" s="76">
        <f t="shared" si="8"/>
        <v>1</v>
      </c>
      <c r="O87" s="76">
        <f t="shared" si="9"/>
        <v>1</v>
      </c>
      <c r="P87" s="102"/>
    </row>
    <row r="88" spans="1:16" s="72" customFormat="1" ht="15" customHeight="1" x14ac:dyDescent="0.3">
      <c r="A88" s="110" t="s">
        <v>103</v>
      </c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8"/>
    </row>
    <row r="89" spans="1:16" ht="24" customHeight="1" x14ac:dyDescent="0.3">
      <c r="A89" s="111">
        <v>34</v>
      </c>
      <c r="B89" s="207" t="s">
        <v>445</v>
      </c>
      <c r="C89" s="208"/>
      <c r="D89" s="79">
        <v>241</v>
      </c>
      <c r="E89" s="79">
        <v>146</v>
      </c>
      <c r="F89" s="79">
        <v>0</v>
      </c>
      <c r="G89" s="79">
        <v>0</v>
      </c>
      <c r="H89" s="79">
        <v>0</v>
      </c>
      <c r="I89" s="79">
        <f t="shared" ref="I89:I107" si="10">SUM(F89+G89+H89)</f>
        <v>0</v>
      </c>
      <c r="J89" s="17"/>
      <c r="K89" s="79">
        <f t="shared" ref="K89:K120" si="11">SUM(E89-I89)</f>
        <v>146</v>
      </c>
      <c r="L89" s="76">
        <f t="shared" ref="L89:L120" si="12">IF(E89=0,"-",(I89/E89))</f>
        <v>0</v>
      </c>
      <c r="M89" s="76"/>
      <c r="N89" s="76">
        <f t="shared" ref="N89:N120" si="13">IF(E89=0,"-",(K89/E89))</f>
        <v>1</v>
      </c>
      <c r="O89" s="76">
        <f t="shared" ref="O89:O120" si="14">IF(E89=0,"-",(M89+N89))</f>
        <v>1</v>
      </c>
      <c r="P89" s="61"/>
    </row>
    <row r="90" spans="1:16" x14ac:dyDescent="0.3">
      <c r="A90" s="123">
        <v>35</v>
      </c>
      <c r="B90" s="207" t="s">
        <v>446</v>
      </c>
      <c r="C90" s="208"/>
      <c r="D90" s="79">
        <v>529</v>
      </c>
      <c r="E90" s="79">
        <v>487</v>
      </c>
      <c r="F90" s="79">
        <v>0</v>
      </c>
      <c r="G90" s="79">
        <v>2</v>
      </c>
      <c r="H90" s="79">
        <v>0</v>
      </c>
      <c r="I90" s="79">
        <f t="shared" si="10"/>
        <v>2</v>
      </c>
      <c r="J90" s="122"/>
      <c r="K90" s="79">
        <f t="shared" si="11"/>
        <v>485</v>
      </c>
      <c r="L90" s="76">
        <f t="shared" si="12"/>
        <v>4.1067761806981521E-3</v>
      </c>
      <c r="M90" s="76"/>
      <c r="N90" s="76">
        <f t="shared" si="13"/>
        <v>0.9958932238193019</v>
      </c>
      <c r="O90" s="76">
        <f t="shared" si="14"/>
        <v>0.9958932238193019</v>
      </c>
      <c r="P90" s="28" t="s">
        <v>102</v>
      </c>
    </row>
    <row r="91" spans="1:16" s="112" customFormat="1" ht="37.5" customHeight="1" x14ac:dyDescent="0.3">
      <c r="A91" s="29">
        <v>36</v>
      </c>
      <c r="B91" s="207" t="s">
        <v>447</v>
      </c>
      <c r="C91" s="208"/>
      <c r="D91" s="113">
        <v>197</v>
      </c>
      <c r="E91" s="113">
        <v>377</v>
      </c>
      <c r="F91" s="113">
        <v>1</v>
      </c>
      <c r="G91" s="113">
        <v>1</v>
      </c>
      <c r="H91" s="113">
        <v>0</v>
      </c>
      <c r="I91" s="113">
        <f t="shared" si="10"/>
        <v>2</v>
      </c>
      <c r="J91" s="29"/>
      <c r="K91" s="113">
        <f t="shared" si="11"/>
        <v>375</v>
      </c>
      <c r="L91" s="75">
        <f t="shared" si="12"/>
        <v>5.3050397877984082E-3</v>
      </c>
      <c r="M91" s="75"/>
      <c r="N91" s="75">
        <f t="shared" si="13"/>
        <v>0.99469496021220161</v>
      </c>
      <c r="O91" s="75">
        <f t="shared" si="14"/>
        <v>0.99469496021220161</v>
      </c>
      <c r="P91" s="61" t="s">
        <v>616</v>
      </c>
    </row>
    <row r="92" spans="1:16" ht="45" x14ac:dyDescent="0.3">
      <c r="A92" s="121">
        <v>37</v>
      </c>
      <c r="B92" s="207" t="s">
        <v>448</v>
      </c>
      <c r="C92" s="208"/>
      <c r="D92" s="17">
        <v>601</v>
      </c>
      <c r="E92" s="17">
        <v>504</v>
      </c>
      <c r="F92" s="17">
        <v>1</v>
      </c>
      <c r="G92" s="17">
        <v>2</v>
      </c>
      <c r="H92" s="17">
        <v>0</v>
      </c>
      <c r="I92" s="79">
        <f t="shared" si="10"/>
        <v>3</v>
      </c>
      <c r="J92" s="121"/>
      <c r="K92" s="79">
        <f t="shared" si="11"/>
        <v>501</v>
      </c>
      <c r="L92" s="76">
        <f t="shared" si="12"/>
        <v>5.9523809523809521E-3</v>
      </c>
      <c r="M92" s="76"/>
      <c r="N92" s="76">
        <f t="shared" si="13"/>
        <v>0.99404761904761907</v>
      </c>
      <c r="O92" s="76">
        <f t="shared" si="14"/>
        <v>0.99404761904761907</v>
      </c>
      <c r="P92" s="65" t="s">
        <v>617</v>
      </c>
    </row>
    <row r="93" spans="1:16" ht="15.75" customHeight="1" x14ac:dyDescent="0.3">
      <c r="A93" s="111">
        <v>38</v>
      </c>
      <c r="B93" s="207" t="s">
        <v>449</v>
      </c>
      <c r="C93" s="208"/>
      <c r="D93" s="79">
        <v>59</v>
      </c>
      <c r="E93" s="79">
        <v>81</v>
      </c>
      <c r="F93" s="79">
        <v>0</v>
      </c>
      <c r="G93" s="79">
        <v>0</v>
      </c>
      <c r="H93" s="79">
        <v>0</v>
      </c>
      <c r="I93" s="79">
        <f t="shared" si="10"/>
        <v>0</v>
      </c>
      <c r="J93" s="17"/>
      <c r="K93" s="79">
        <f t="shared" si="11"/>
        <v>81</v>
      </c>
      <c r="L93" s="76">
        <f t="shared" si="12"/>
        <v>0</v>
      </c>
      <c r="M93" s="76"/>
      <c r="N93" s="76">
        <f t="shared" si="13"/>
        <v>1</v>
      </c>
      <c r="O93" s="76">
        <f t="shared" si="14"/>
        <v>1</v>
      </c>
      <c r="P93" s="95"/>
    </row>
    <row r="94" spans="1:16" ht="15" customHeight="1" x14ac:dyDescent="0.3">
      <c r="A94" s="111">
        <v>39</v>
      </c>
      <c r="B94" s="207" t="s">
        <v>450</v>
      </c>
      <c r="C94" s="208"/>
      <c r="D94" s="79">
        <v>0</v>
      </c>
      <c r="E94" s="79">
        <v>0</v>
      </c>
      <c r="F94" s="79">
        <v>0</v>
      </c>
      <c r="G94" s="79">
        <v>0</v>
      </c>
      <c r="H94" s="79">
        <v>0</v>
      </c>
      <c r="I94" s="79">
        <f t="shared" si="10"/>
        <v>0</v>
      </c>
      <c r="J94" s="17"/>
      <c r="K94" s="79">
        <f t="shared" si="11"/>
        <v>0</v>
      </c>
      <c r="L94" s="76" t="str">
        <f t="shared" si="12"/>
        <v>-</v>
      </c>
      <c r="M94" s="76"/>
      <c r="N94" s="76" t="str">
        <f t="shared" si="13"/>
        <v>-</v>
      </c>
      <c r="O94" s="76" t="str">
        <f t="shared" si="14"/>
        <v>-</v>
      </c>
      <c r="P94" s="102"/>
    </row>
    <row r="95" spans="1:16" x14ac:dyDescent="0.3">
      <c r="A95" s="111">
        <v>40</v>
      </c>
      <c r="B95" s="207" t="s">
        <v>451</v>
      </c>
      <c r="C95" s="208"/>
      <c r="D95" s="79">
        <v>36</v>
      </c>
      <c r="E95" s="79">
        <v>36</v>
      </c>
      <c r="F95" s="79">
        <v>0</v>
      </c>
      <c r="G95" s="79">
        <v>0</v>
      </c>
      <c r="H95" s="79">
        <v>0</v>
      </c>
      <c r="I95" s="79">
        <f t="shared" si="10"/>
        <v>0</v>
      </c>
      <c r="J95" s="17"/>
      <c r="K95" s="79">
        <f t="shared" si="11"/>
        <v>36</v>
      </c>
      <c r="L95" s="76">
        <f t="shared" si="12"/>
        <v>0</v>
      </c>
      <c r="M95" s="76"/>
      <c r="N95" s="76">
        <f t="shared" si="13"/>
        <v>1</v>
      </c>
      <c r="O95" s="76">
        <f t="shared" si="14"/>
        <v>1</v>
      </c>
      <c r="P95" s="95"/>
    </row>
    <row r="96" spans="1:16" ht="15.75" customHeight="1" x14ac:dyDescent="0.3">
      <c r="A96" s="111">
        <v>41</v>
      </c>
      <c r="B96" s="207" t="s">
        <v>452</v>
      </c>
      <c r="C96" s="208"/>
      <c r="D96" s="79">
        <v>18</v>
      </c>
      <c r="E96" s="79">
        <v>18</v>
      </c>
      <c r="F96" s="79">
        <v>0</v>
      </c>
      <c r="G96" s="79">
        <v>0</v>
      </c>
      <c r="H96" s="79">
        <v>0</v>
      </c>
      <c r="I96" s="79">
        <f t="shared" si="10"/>
        <v>0</v>
      </c>
      <c r="J96" s="17"/>
      <c r="K96" s="79">
        <f t="shared" si="11"/>
        <v>18</v>
      </c>
      <c r="L96" s="76">
        <f t="shared" si="12"/>
        <v>0</v>
      </c>
      <c r="M96" s="76"/>
      <c r="N96" s="76">
        <f t="shared" si="13"/>
        <v>1</v>
      </c>
      <c r="O96" s="76">
        <f t="shared" si="14"/>
        <v>1</v>
      </c>
      <c r="P96" s="91"/>
    </row>
    <row r="97" spans="1:16" s="70" customFormat="1" x14ac:dyDescent="0.3">
      <c r="A97" s="111">
        <v>42</v>
      </c>
      <c r="B97" s="207" t="s">
        <v>453</v>
      </c>
      <c r="C97" s="208"/>
      <c r="D97" s="79">
        <v>18</v>
      </c>
      <c r="E97" s="79">
        <v>18</v>
      </c>
      <c r="F97" s="79">
        <v>0</v>
      </c>
      <c r="G97" s="79">
        <v>0</v>
      </c>
      <c r="H97" s="79">
        <v>0</v>
      </c>
      <c r="I97" s="79">
        <f t="shared" si="10"/>
        <v>0</v>
      </c>
      <c r="J97" s="17"/>
      <c r="K97" s="79">
        <f t="shared" si="11"/>
        <v>18</v>
      </c>
      <c r="L97" s="76">
        <f t="shared" si="12"/>
        <v>0</v>
      </c>
      <c r="M97" s="76"/>
      <c r="N97" s="76">
        <f t="shared" si="13"/>
        <v>1</v>
      </c>
      <c r="O97" s="76">
        <f t="shared" si="14"/>
        <v>1</v>
      </c>
      <c r="P97" s="95"/>
    </row>
    <row r="98" spans="1:16" x14ac:dyDescent="0.3">
      <c r="A98" s="111">
        <v>43</v>
      </c>
      <c r="B98" s="207" t="s">
        <v>454</v>
      </c>
      <c r="C98" s="208"/>
      <c r="D98" s="79">
        <v>52</v>
      </c>
      <c r="E98" s="79">
        <v>31</v>
      </c>
      <c r="F98" s="79">
        <v>0</v>
      </c>
      <c r="G98" s="79">
        <v>0</v>
      </c>
      <c r="H98" s="79">
        <v>0</v>
      </c>
      <c r="I98" s="79">
        <f t="shared" si="10"/>
        <v>0</v>
      </c>
      <c r="J98" s="17"/>
      <c r="K98" s="79">
        <f t="shared" si="11"/>
        <v>31</v>
      </c>
      <c r="L98" s="76">
        <f t="shared" si="12"/>
        <v>0</v>
      </c>
      <c r="M98" s="76"/>
      <c r="N98" s="76">
        <f t="shared" si="13"/>
        <v>1</v>
      </c>
      <c r="O98" s="76">
        <f t="shared" si="14"/>
        <v>1</v>
      </c>
      <c r="P98" s="20"/>
    </row>
    <row r="99" spans="1:16" s="72" customFormat="1" ht="61.5" customHeight="1" x14ac:dyDescent="0.3">
      <c r="A99" s="29">
        <v>44</v>
      </c>
      <c r="B99" s="207" t="s">
        <v>455</v>
      </c>
      <c r="C99" s="208"/>
      <c r="D99" s="113">
        <v>1515</v>
      </c>
      <c r="E99" s="113">
        <v>1422</v>
      </c>
      <c r="F99" s="113">
        <v>1</v>
      </c>
      <c r="G99" s="113">
        <v>11</v>
      </c>
      <c r="H99" s="113">
        <v>0</v>
      </c>
      <c r="I99" s="113">
        <f t="shared" si="10"/>
        <v>12</v>
      </c>
      <c r="J99" s="29"/>
      <c r="K99" s="113">
        <f t="shared" si="11"/>
        <v>1410</v>
      </c>
      <c r="L99" s="75">
        <f t="shared" si="12"/>
        <v>8.4388185654008432E-3</v>
      </c>
      <c r="M99" s="75"/>
      <c r="N99" s="75">
        <f t="shared" si="13"/>
        <v>0.99156118143459915</v>
      </c>
      <c r="O99" s="75">
        <f t="shared" si="14"/>
        <v>0.99156118143459915</v>
      </c>
      <c r="P99" s="95" t="s">
        <v>618</v>
      </c>
    </row>
    <row r="100" spans="1:16" x14ac:dyDescent="0.3">
      <c r="A100" s="111">
        <v>45</v>
      </c>
      <c r="B100" s="207" t="s">
        <v>456</v>
      </c>
      <c r="C100" s="208"/>
      <c r="D100" s="79">
        <v>178</v>
      </c>
      <c r="E100" s="79">
        <v>121</v>
      </c>
      <c r="F100" s="79">
        <v>0</v>
      </c>
      <c r="G100" s="79">
        <v>0</v>
      </c>
      <c r="H100" s="79">
        <v>0</v>
      </c>
      <c r="I100" s="79">
        <f t="shared" si="10"/>
        <v>0</v>
      </c>
      <c r="J100" s="17"/>
      <c r="K100" s="79">
        <f t="shared" si="11"/>
        <v>121</v>
      </c>
      <c r="L100" s="76">
        <f t="shared" si="12"/>
        <v>0</v>
      </c>
      <c r="M100" s="76"/>
      <c r="N100" s="76">
        <f t="shared" si="13"/>
        <v>1</v>
      </c>
      <c r="O100" s="76">
        <f t="shared" si="14"/>
        <v>1</v>
      </c>
      <c r="P100" s="95"/>
    </row>
    <row r="101" spans="1:16" ht="15" customHeight="1" x14ac:dyDescent="0.3">
      <c r="A101" s="111">
        <v>46</v>
      </c>
      <c r="B101" s="207" t="s">
        <v>457</v>
      </c>
      <c r="C101" s="208"/>
      <c r="D101" s="79">
        <v>0</v>
      </c>
      <c r="E101" s="79">
        <v>0</v>
      </c>
      <c r="F101" s="79">
        <v>0</v>
      </c>
      <c r="G101" s="79">
        <v>0</v>
      </c>
      <c r="H101" s="79">
        <v>0</v>
      </c>
      <c r="I101" s="79">
        <f t="shared" si="10"/>
        <v>0</v>
      </c>
      <c r="J101" s="17"/>
      <c r="K101" s="79">
        <f t="shared" si="11"/>
        <v>0</v>
      </c>
      <c r="L101" s="76" t="str">
        <f t="shared" si="12"/>
        <v>-</v>
      </c>
      <c r="M101" s="76"/>
      <c r="N101" s="76" t="str">
        <f t="shared" si="13"/>
        <v>-</v>
      </c>
      <c r="O101" s="76" t="str">
        <f t="shared" si="14"/>
        <v>-</v>
      </c>
      <c r="P101" s="102"/>
    </row>
    <row r="102" spans="1:16" ht="15" customHeight="1" x14ac:dyDescent="0.3">
      <c r="A102" s="111">
        <v>47</v>
      </c>
      <c r="B102" s="207" t="s">
        <v>458</v>
      </c>
      <c r="C102" s="208"/>
      <c r="D102" s="79">
        <v>40</v>
      </c>
      <c r="E102" s="79">
        <v>30</v>
      </c>
      <c r="F102" s="79">
        <v>0</v>
      </c>
      <c r="G102" s="79">
        <v>0</v>
      </c>
      <c r="H102" s="79">
        <v>0</v>
      </c>
      <c r="I102" s="79">
        <f t="shared" si="10"/>
        <v>0</v>
      </c>
      <c r="J102" s="17"/>
      <c r="K102" s="79">
        <f t="shared" si="11"/>
        <v>30</v>
      </c>
      <c r="L102" s="76">
        <f t="shared" si="12"/>
        <v>0</v>
      </c>
      <c r="M102" s="76"/>
      <c r="N102" s="76">
        <f t="shared" si="13"/>
        <v>1</v>
      </c>
      <c r="O102" s="76">
        <f t="shared" si="14"/>
        <v>1</v>
      </c>
      <c r="P102" s="102"/>
    </row>
    <row r="103" spans="1:16" x14ac:dyDescent="0.3">
      <c r="A103" s="111">
        <v>48</v>
      </c>
      <c r="B103" s="207" t="s">
        <v>459</v>
      </c>
      <c r="C103" s="208"/>
      <c r="D103" s="79">
        <v>253</v>
      </c>
      <c r="E103" s="79">
        <v>185</v>
      </c>
      <c r="F103" s="79">
        <v>0</v>
      </c>
      <c r="G103" s="79">
        <v>0</v>
      </c>
      <c r="H103" s="79">
        <v>0</v>
      </c>
      <c r="I103" s="79">
        <f t="shared" si="10"/>
        <v>0</v>
      </c>
      <c r="J103" s="17"/>
      <c r="K103" s="79">
        <f t="shared" si="11"/>
        <v>185</v>
      </c>
      <c r="L103" s="76">
        <f t="shared" si="12"/>
        <v>0</v>
      </c>
      <c r="M103" s="76"/>
      <c r="N103" s="76">
        <f t="shared" si="13"/>
        <v>1</v>
      </c>
      <c r="O103" s="76">
        <f t="shared" si="14"/>
        <v>1</v>
      </c>
      <c r="P103" s="95"/>
    </row>
    <row r="104" spans="1:16" ht="15.75" customHeight="1" x14ac:dyDescent="0.3">
      <c r="A104" s="111">
        <v>49</v>
      </c>
      <c r="B104" s="207" t="s">
        <v>460</v>
      </c>
      <c r="C104" s="208"/>
      <c r="D104" s="79">
        <v>0</v>
      </c>
      <c r="E104" s="79">
        <v>0</v>
      </c>
      <c r="F104" s="79">
        <v>0</v>
      </c>
      <c r="G104" s="79">
        <v>0</v>
      </c>
      <c r="H104" s="79">
        <v>0</v>
      </c>
      <c r="I104" s="79">
        <f t="shared" si="10"/>
        <v>0</v>
      </c>
      <c r="J104" s="17"/>
      <c r="K104" s="79">
        <f t="shared" si="11"/>
        <v>0</v>
      </c>
      <c r="L104" s="76" t="str">
        <f t="shared" si="12"/>
        <v>-</v>
      </c>
      <c r="M104" s="76"/>
      <c r="N104" s="76" t="str">
        <f t="shared" si="13"/>
        <v>-</v>
      </c>
      <c r="O104" s="76" t="str">
        <f t="shared" si="14"/>
        <v>-</v>
      </c>
      <c r="P104" s="120"/>
    </row>
    <row r="105" spans="1:16" s="115" customFormat="1" ht="15" customHeight="1" x14ac:dyDescent="0.3">
      <c r="A105" s="49">
        <v>50</v>
      </c>
      <c r="B105" s="207" t="s">
        <v>461</v>
      </c>
      <c r="C105" s="208"/>
      <c r="D105" s="118">
        <v>440</v>
      </c>
      <c r="E105" s="118">
        <v>298</v>
      </c>
      <c r="F105" s="118">
        <v>0</v>
      </c>
      <c r="G105" s="118">
        <v>1</v>
      </c>
      <c r="H105" s="118">
        <v>0</v>
      </c>
      <c r="I105" s="118">
        <f t="shared" si="10"/>
        <v>1</v>
      </c>
      <c r="J105" s="41"/>
      <c r="K105" s="118">
        <f t="shared" si="11"/>
        <v>297</v>
      </c>
      <c r="L105" s="117">
        <f t="shared" si="12"/>
        <v>3.3557046979865771E-3</v>
      </c>
      <c r="M105" s="117"/>
      <c r="N105" s="117">
        <f t="shared" si="13"/>
        <v>0.99664429530201337</v>
      </c>
      <c r="O105" s="117">
        <f t="shared" si="14"/>
        <v>0.99664429530201337</v>
      </c>
      <c r="P105" s="116" t="s">
        <v>623</v>
      </c>
    </row>
    <row r="106" spans="1:16" s="112" customFormat="1" ht="48.75" customHeight="1" x14ac:dyDescent="0.3">
      <c r="A106" s="29">
        <v>51</v>
      </c>
      <c r="B106" s="207" t="s">
        <v>462</v>
      </c>
      <c r="C106" s="208"/>
      <c r="D106" s="113">
        <v>651</v>
      </c>
      <c r="E106" s="113">
        <v>532</v>
      </c>
      <c r="F106" s="113">
        <v>1</v>
      </c>
      <c r="G106" s="113">
        <v>4</v>
      </c>
      <c r="H106" s="113">
        <v>0</v>
      </c>
      <c r="I106" s="113">
        <f t="shared" si="10"/>
        <v>5</v>
      </c>
      <c r="J106" s="114"/>
      <c r="K106" s="113">
        <f t="shared" si="11"/>
        <v>527</v>
      </c>
      <c r="L106" s="75">
        <f t="shared" si="12"/>
        <v>9.3984962406015032E-3</v>
      </c>
      <c r="M106" s="75"/>
      <c r="N106" s="75">
        <f t="shared" si="13"/>
        <v>0.99060150375939848</v>
      </c>
      <c r="O106" s="75">
        <f t="shared" si="14"/>
        <v>0.99060150375939848</v>
      </c>
      <c r="P106" s="61" t="s">
        <v>619</v>
      </c>
    </row>
    <row r="107" spans="1:16" x14ac:dyDescent="0.3">
      <c r="A107" s="111">
        <v>52</v>
      </c>
      <c r="B107" s="207" t="s">
        <v>463</v>
      </c>
      <c r="C107" s="208"/>
      <c r="D107" s="79">
        <v>3</v>
      </c>
      <c r="E107" s="79">
        <v>3</v>
      </c>
      <c r="F107" s="79">
        <v>0</v>
      </c>
      <c r="G107" s="79">
        <v>0</v>
      </c>
      <c r="H107" s="79">
        <v>0</v>
      </c>
      <c r="I107" s="79">
        <f t="shared" si="10"/>
        <v>0</v>
      </c>
      <c r="J107" s="17"/>
      <c r="K107" s="79">
        <f t="shared" si="11"/>
        <v>3</v>
      </c>
      <c r="L107" s="76">
        <f t="shared" si="12"/>
        <v>0</v>
      </c>
      <c r="M107" s="76"/>
      <c r="N107" s="76">
        <f t="shared" si="13"/>
        <v>1</v>
      </c>
      <c r="O107" s="76">
        <f t="shared" si="14"/>
        <v>1</v>
      </c>
      <c r="P107" s="95"/>
    </row>
    <row r="108" spans="1:16" s="70" customFormat="1" ht="26.25" customHeight="1" x14ac:dyDescent="0.3">
      <c r="A108" s="110" t="s">
        <v>101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79">
        <f t="shared" si="11"/>
        <v>0</v>
      </c>
      <c r="L108" s="76" t="str">
        <f t="shared" si="12"/>
        <v>-</v>
      </c>
      <c r="M108" s="109"/>
      <c r="N108" s="76" t="str">
        <f t="shared" si="13"/>
        <v>-</v>
      </c>
      <c r="O108" s="76" t="str">
        <f t="shared" si="14"/>
        <v>-</v>
      </c>
      <c r="P108" s="108"/>
    </row>
    <row r="109" spans="1:16" ht="56.25" customHeight="1" x14ac:dyDescent="0.3">
      <c r="A109" s="17">
        <v>53</v>
      </c>
      <c r="B109" s="205" t="s">
        <v>464</v>
      </c>
      <c r="C109" s="206"/>
      <c r="D109" s="17">
        <v>1813</v>
      </c>
      <c r="E109" s="17">
        <v>1703</v>
      </c>
      <c r="F109" s="17">
        <v>5</v>
      </c>
      <c r="G109" s="17">
        <v>0</v>
      </c>
      <c r="H109" s="17">
        <v>0</v>
      </c>
      <c r="I109" s="79">
        <f t="shared" ref="I109:I140" si="15">SUM(F109+G109+H109)</f>
        <v>5</v>
      </c>
      <c r="J109" s="17"/>
      <c r="K109" s="79">
        <f t="shared" si="11"/>
        <v>1698</v>
      </c>
      <c r="L109" s="76">
        <f t="shared" si="12"/>
        <v>2.935995302407516E-3</v>
      </c>
      <c r="M109" s="76"/>
      <c r="N109" s="76">
        <f t="shared" si="13"/>
        <v>0.99706400469759249</v>
      </c>
      <c r="O109" s="76">
        <f t="shared" si="14"/>
        <v>0.99706400469759249</v>
      </c>
      <c r="P109" s="104" t="s">
        <v>613</v>
      </c>
    </row>
    <row r="110" spans="1:16" x14ac:dyDescent="0.3">
      <c r="A110" s="17">
        <v>54</v>
      </c>
      <c r="B110" s="205" t="s">
        <v>465</v>
      </c>
      <c r="C110" s="206"/>
      <c r="D110" s="79">
        <v>18</v>
      </c>
      <c r="E110" s="79">
        <v>17</v>
      </c>
      <c r="F110" s="79">
        <v>0</v>
      </c>
      <c r="G110" s="79">
        <v>0</v>
      </c>
      <c r="H110" s="79">
        <v>0</v>
      </c>
      <c r="I110" s="79">
        <f t="shared" si="15"/>
        <v>0</v>
      </c>
      <c r="J110" s="17"/>
      <c r="K110" s="79">
        <f t="shared" si="11"/>
        <v>17</v>
      </c>
      <c r="L110" s="76">
        <f t="shared" si="12"/>
        <v>0</v>
      </c>
      <c r="M110" s="76"/>
      <c r="N110" s="76">
        <f t="shared" si="13"/>
        <v>1</v>
      </c>
      <c r="O110" s="76">
        <f t="shared" si="14"/>
        <v>1</v>
      </c>
      <c r="P110" s="95"/>
    </row>
    <row r="111" spans="1:16" x14ac:dyDescent="0.3">
      <c r="A111" s="17">
        <v>55</v>
      </c>
      <c r="B111" s="205" t="s">
        <v>466</v>
      </c>
      <c r="C111" s="206"/>
      <c r="D111" s="79">
        <v>4</v>
      </c>
      <c r="E111" s="79">
        <v>4</v>
      </c>
      <c r="F111" s="79">
        <v>0</v>
      </c>
      <c r="G111" s="79">
        <v>0</v>
      </c>
      <c r="H111" s="79">
        <v>0</v>
      </c>
      <c r="I111" s="79">
        <f t="shared" si="15"/>
        <v>0</v>
      </c>
      <c r="J111" s="17"/>
      <c r="K111" s="79">
        <f t="shared" si="11"/>
        <v>4</v>
      </c>
      <c r="L111" s="76">
        <f t="shared" si="12"/>
        <v>0</v>
      </c>
      <c r="M111" s="76"/>
      <c r="N111" s="76">
        <f t="shared" si="13"/>
        <v>1</v>
      </c>
      <c r="O111" s="76">
        <f t="shared" si="14"/>
        <v>1</v>
      </c>
      <c r="P111" s="95"/>
    </row>
    <row r="112" spans="1:16" x14ac:dyDescent="0.3">
      <c r="A112" s="17">
        <v>56</v>
      </c>
      <c r="B112" s="205" t="s">
        <v>467</v>
      </c>
      <c r="C112" s="206"/>
      <c r="D112" s="79">
        <v>154</v>
      </c>
      <c r="E112" s="79">
        <v>128</v>
      </c>
      <c r="F112" s="79">
        <v>0</v>
      </c>
      <c r="G112" s="79">
        <v>0</v>
      </c>
      <c r="H112" s="79">
        <v>0</v>
      </c>
      <c r="I112" s="79">
        <f t="shared" si="15"/>
        <v>0</v>
      </c>
      <c r="J112" s="17"/>
      <c r="K112" s="79">
        <f t="shared" si="11"/>
        <v>128</v>
      </c>
      <c r="L112" s="76">
        <f t="shared" si="12"/>
        <v>0</v>
      </c>
      <c r="M112" s="76"/>
      <c r="N112" s="76">
        <f t="shared" si="13"/>
        <v>1</v>
      </c>
      <c r="O112" s="76">
        <f t="shared" si="14"/>
        <v>1</v>
      </c>
      <c r="P112" s="78"/>
    </row>
    <row r="113" spans="1:16" x14ac:dyDescent="0.3">
      <c r="A113" s="17">
        <v>57</v>
      </c>
      <c r="B113" s="205" t="s">
        <v>468</v>
      </c>
      <c r="C113" s="206"/>
      <c r="D113" s="79">
        <v>68</v>
      </c>
      <c r="E113" s="79">
        <v>73</v>
      </c>
      <c r="F113" s="79">
        <v>0</v>
      </c>
      <c r="G113" s="79">
        <v>0</v>
      </c>
      <c r="H113" s="79">
        <v>0</v>
      </c>
      <c r="I113" s="79">
        <f t="shared" si="15"/>
        <v>0</v>
      </c>
      <c r="J113" s="17"/>
      <c r="K113" s="79">
        <f t="shared" si="11"/>
        <v>73</v>
      </c>
      <c r="L113" s="76">
        <f t="shared" si="12"/>
        <v>0</v>
      </c>
      <c r="M113" s="76"/>
      <c r="N113" s="76">
        <f t="shared" si="13"/>
        <v>1</v>
      </c>
      <c r="O113" s="76">
        <f t="shared" si="14"/>
        <v>1</v>
      </c>
      <c r="P113" s="95"/>
    </row>
    <row r="114" spans="1:16" s="70" customFormat="1" x14ac:dyDescent="0.3">
      <c r="A114" s="17">
        <v>58</v>
      </c>
      <c r="B114" s="205" t="s">
        <v>469</v>
      </c>
      <c r="C114" s="206"/>
      <c r="D114" s="17">
        <v>254</v>
      </c>
      <c r="E114" s="17">
        <v>189</v>
      </c>
      <c r="F114" s="17">
        <v>0</v>
      </c>
      <c r="G114" s="17">
        <v>0</v>
      </c>
      <c r="H114" s="17">
        <v>0</v>
      </c>
      <c r="I114" s="79">
        <f t="shared" si="15"/>
        <v>0</v>
      </c>
      <c r="J114" s="17"/>
      <c r="K114" s="79">
        <f t="shared" si="11"/>
        <v>189</v>
      </c>
      <c r="L114" s="76">
        <f t="shared" si="12"/>
        <v>0</v>
      </c>
      <c r="M114" s="76"/>
      <c r="N114" s="76">
        <f t="shared" si="13"/>
        <v>1</v>
      </c>
      <c r="O114" s="76">
        <f t="shared" si="14"/>
        <v>1</v>
      </c>
      <c r="P114" s="95"/>
    </row>
    <row r="115" spans="1:16" x14ac:dyDescent="0.3">
      <c r="A115" s="17">
        <v>59</v>
      </c>
      <c r="B115" s="205" t="s">
        <v>470</v>
      </c>
      <c r="C115" s="206"/>
      <c r="D115" s="79">
        <v>11</v>
      </c>
      <c r="E115" s="79">
        <v>16</v>
      </c>
      <c r="F115" s="79">
        <v>0</v>
      </c>
      <c r="G115" s="79">
        <v>0</v>
      </c>
      <c r="H115" s="79">
        <v>0</v>
      </c>
      <c r="I115" s="79">
        <f t="shared" si="15"/>
        <v>0</v>
      </c>
      <c r="J115" s="17"/>
      <c r="K115" s="79">
        <f t="shared" si="11"/>
        <v>16</v>
      </c>
      <c r="L115" s="76">
        <f t="shared" si="12"/>
        <v>0</v>
      </c>
      <c r="M115" s="76"/>
      <c r="N115" s="76">
        <f t="shared" si="13"/>
        <v>1</v>
      </c>
      <c r="O115" s="76">
        <f t="shared" si="14"/>
        <v>1</v>
      </c>
      <c r="P115" s="95"/>
    </row>
    <row r="116" spans="1:16" x14ac:dyDescent="0.3">
      <c r="A116" s="17">
        <v>60</v>
      </c>
      <c r="B116" s="205" t="s">
        <v>471</v>
      </c>
      <c r="C116" s="206"/>
      <c r="D116" s="79">
        <v>701</v>
      </c>
      <c r="E116" s="79">
        <v>447</v>
      </c>
      <c r="F116" s="79">
        <v>0</v>
      </c>
      <c r="G116" s="79">
        <v>0</v>
      </c>
      <c r="H116" s="79">
        <v>0</v>
      </c>
      <c r="I116" s="79">
        <f t="shared" si="15"/>
        <v>0</v>
      </c>
      <c r="J116" s="17"/>
      <c r="K116" s="79">
        <f t="shared" si="11"/>
        <v>447</v>
      </c>
      <c r="L116" s="76">
        <f t="shared" si="12"/>
        <v>0</v>
      </c>
      <c r="M116" s="76"/>
      <c r="N116" s="76">
        <f t="shared" si="13"/>
        <v>1</v>
      </c>
      <c r="O116" s="76">
        <f t="shared" si="14"/>
        <v>1</v>
      </c>
      <c r="P116" s="107"/>
    </row>
    <row r="117" spans="1:16" ht="23.25" customHeight="1" x14ac:dyDescent="0.3">
      <c r="A117" s="17">
        <v>61</v>
      </c>
      <c r="B117" s="205" t="s">
        <v>472</v>
      </c>
      <c r="C117" s="206"/>
      <c r="D117" s="79">
        <v>164</v>
      </c>
      <c r="E117" s="79">
        <v>229</v>
      </c>
      <c r="F117" s="79">
        <v>0</v>
      </c>
      <c r="G117" s="79">
        <v>0</v>
      </c>
      <c r="H117" s="79">
        <v>0</v>
      </c>
      <c r="I117" s="79">
        <f t="shared" si="15"/>
        <v>0</v>
      </c>
      <c r="J117" s="17"/>
      <c r="K117" s="79">
        <f t="shared" si="11"/>
        <v>229</v>
      </c>
      <c r="L117" s="76">
        <f t="shared" si="12"/>
        <v>0</v>
      </c>
      <c r="M117" s="76"/>
      <c r="N117" s="76">
        <f t="shared" si="13"/>
        <v>1</v>
      </c>
      <c r="O117" s="76">
        <f t="shared" si="14"/>
        <v>1</v>
      </c>
      <c r="P117" s="95"/>
    </row>
    <row r="118" spans="1:16" s="70" customFormat="1" ht="30.75" customHeight="1" x14ac:dyDescent="0.3">
      <c r="A118" s="17">
        <v>62</v>
      </c>
      <c r="B118" s="205" t="s">
        <v>473</v>
      </c>
      <c r="C118" s="206"/>
      <c r="D118" s="100">
        <v>1</v>
      </c>
      <c r="E118" s="100">
        <v>1</v>
      </c>
      <c r="F118" s="79">
        <v>0</v>
      </c>
      <c r="G118" s="79">
        <v>0</v>
      </c>
      <c r="H118" s="79">
        <v>0</v>
      </c>
      <c r="I118" s="79">
        <f t="shared" si="15"/>
        <v>0</v>
      </c>
      <c r="J118" s="17"/>
      <c r="K118" s="79">
        <f t="shared" si="11"/>
        <v>1</v>
      </c>
      <c r="L118" s="76">
        <f t="shared" si="12"/>
        <v>0</v>
      </c>
      <c r="M118" s="76"/>
      <c r="N118" s="76">
        <f t="shared" si="13"/>
        <v>1</v>
      </c>
      <c r="O118" s="76">
        <f t="shared" si="14"/>
        <v>1</v>
      </c>
      <c r="P118" s="61"/>
    </row>
    <row r="119" spans="1:16" s="70" customFormat="1" ht="20.25" customHeight="1" x14ac:dyDescent="0.3">
      <c r="A119" s="17">
        <v>63</v>
      </c>
      <c r="B119" s="205" t="s">
        <v>474</v>
      </c>
      <c r="C119" s="206"/>
      <c r="D119" s="100">
        <v>20</v>
      </c>
      <c r="E119" s="100">
        <v>22</v>
      </c>
      <c r="F119" s="79">
        <v>0</v>
      </c>
      <c r="G119" s="79">
        <v>0</v>
      </c>
      <c r="H119" s="79">
        <v>0</v>
      </c>
      <c r="I119" s="79">
        <f t="shared" si="15"/>
        <v>0</v>
      </c>
      <c r="J119" s="17"/>
      <c r="K119" s="79">
        <f t="shared" si="11"/>
        <v>22</v>
      </c>
      <c r="L119" s="76">
        <f t="shared" si="12"/>
        <v>0</v>
      </c>
      <c r="M119" s="76"/>
      <c r="N119" s="76">
        <f t="shared" si="13"/>
        <v>1</v>
      </c>
      <c r="O119" s="76">
        <f t="shared" si="14"/>
        <v>1</v>
      </c>
      <c r="P119" s="95"/>
    </row>
    <row r="120" spans="1:16" x14ac:dyDescent="0.3">
      <c r="A120" s="17">
        <v>64</v>
      </c>
      <c r="B120" s="205" t="s">
        <v>475</v>
      </c>
      <c r="C120" s="206"/>
      <c r="D120" s="106">
        <v>169</v>
      </c>
      <c r="E120" s="106">
        <v>381</v>
      </c>
      <c r="F120" s="17">
        <v>0</v>
      </c>
      <c r="G120" s="17">
        <v>0</v>
      </c>
      <c r="H120" s="17">
        <v>0</v>
      </c>
      <c r="I120" s="79">
        <f t="shared" si="15"/>
        <v>0</v>
      </c>
      <c r="J120" s="17"/>
      <c r="K120" s="79">
        <f t="shared" si="11"/>
        <v>381</v>
      </c>
      <c r="L120" s="76">
        <f t="shared" si="12"/>
        <v>0</v>
      </c>
      <c r="M120" s="76"/>
      <c r="N120" s="76">
        <f t="shared" si="13"/>
        <v>1</v>
      </c>
      <c r="O120" s="76">
        <f t="shared" si="14"/>
        <v>1</v>
      </c>
      <c r="P120" s="95"/>
    </row>
    <row r="121" spans="1:16" x14ac:dyDescent="0.3">
      <c r="A121" s="17">
        <v>65</v>
      </c>
      <c r="B121" s="205" t="s">
        <v>476</v>
      </c>
      <c r="C121" s="206"/>
      <c r="D121" s="100">
        <v>1836</v>
      </c>
      <c r="E121" s="100">
        <v>1983</v>
      </c>
      <c r="F121" s="79">
        <v>0</v>
      </c>
      <c r="G121" s="79">
        <v>0</v>
      </c>
      <c r="H121" s="79">
        <v>0</v>
      </c>
      <c r="I121" s="79">
        <f t="shared" si="15"/>
        <v>0</v>
      </c>
      <c r="J121" s="17"/>
      <c r="K121" s="79">
        <f t="shared" ref="K121:K152" si="16">SUM(E121-I121)</f>
        <v>1983</v>
      </c>
      <c r="L121" s="76">
        <f t="shared" ref="L121:L152" si="17">IF(E121=0,"-",(I121/E121))</f>
        <v>0</v>
      </c>
      <c r="M121" s="76"/>
      <c r="N121" s="76">
        <f t="shared" ref="N121:N152" si="18">IF(E121=0,"-",(K121/E121))</f>
        <v>1</v>
      </c>
      <c r="O121" s="76">
        <f t="shared" ref="O121:O152" si="19">IF(E121=0,"-",(M121+N121))</f>
        <v>1</v>
      </c>
      <c r="P121" s="105"/>
    </row>
    <row r="122" spans="1:16" s="70" customFormat="1" x14ac:dyDescent="0.3">
      <c r="A122" s="17">
        <v>66</v>
      </c>
      <c r="B122" s="205" t="s">
        <v>477</v>
      </c>
      <c r="C122" s="206"/>
      <c r="D122" s="100">
        <v>5</v>
      </c>
      <c r="E122" s="100">
        <v>5</v>
      </c>
      <c r="F122" s="79">
        <v>0</v>
      </c>
      <c r="G122" s="79">
        <v>0</v>
      </c>
      <c r="H122" s="79">
        <v>0</v>
      </c>
      <c r="I122" s="79">
        <f t="shared" si="15"/>
        <v>0</v>
      </c>
      <c r="J122" s="17"/>
      <c r="K122" s="79">
        <f t="shared" si="16"/>
        <v>5</v>
      </c>
      <c r="L122" s="76">
        <f t="shared" si="17"/>
        <v>0</v>
      </c>
      <c r="M122" s="76"/>
      <c r="N122" s="76">
        <f t="shared" si="18"/>
        <v>1</v>
      </c>
      <c r="O122" s="76">
        <f t="shared" si="19"/>
        <v>1</v>
      </c>
      <c r="P122" s="95"/>
    </row>
    <row r="123" spans="1:16" s="70" customFormat="1" x14ac:dyDescent="0.3">
      <c r="A123" s="17">
        <v>67</v>
      </c>
      <c r="B123" s="203" t="s">
        <v>478</v>
      </c>
      <c r="C123" s="204"/>
      <c r="D123" s="100">
        <v>146</v>
      </c>
      <c r="E123" s="100">
        <v>142</v>
      </c>
      <c r="F123" s="79">
        <v>0</v>
      </c>
      <c r="G123" s="79">
        <v>0</v>
      </c>
      <c r="H123" s="79">
        <v>0</v>
      </c>
      <c r="I123" s="79">
        <f t="shared" si="15"/>
        <v>0</v>
      </c>
      <c r="J123" s="17"/>
      <c r="K123" s="79">
        <f t="shared" si="16"/>
        <v>142</v>
      </c>
      <c r="L123" s="76">
        <f t="shared" si="17"/>
        <v>0</v>
      </c>
      <c r="M123" s="76"/>
      <c r="N123" s="76">
        <f t="shared" si="18"/>
        <v>1</v>
      </c>
      <c r="O123" s="76">
        <f t="shared" si="19"/>
        <v>1</v>
      </c>
      <c r="P123" s="95"/>
    </row>
    <row r="124" spans="1:16" x14ac:dyDescent="0.3">
      <c r="A124" s="17">
        <v>68</v>
      </c>
      <c r="B124" s="203" t="s">
        <v>479</v>
      </c>
      <c r="C124" s="204"/>
      <c r="D124" s="100">
        <v>91</v>
      </c>
      <c r="E124" s="100">
        <v>118</v>
      </c>
      <c r="F124" s="79">
        <v>0</v>
      </c>
      <c r="G124" s="79">
        <v>0</v>
      </c>
      <c r="H124" s="79">
        <v>0</v>
      </c>
      <c r="I124" s="79">
        <f t="shared" si="15"/>
        <v>0</v>
      </c>
      <c r="J124" s="17"/>
      <c r="K124" s="79">
        <f t="shared" si="16"/>
        <v>118</v>
      </c>
      <c r="L124" s="76">
        <f t="shared" si="17"/>
        <v>0</v>
      </c>
      <c r="M124" s="76"/>
      <c r="N124" s="76">
        <f t="shared" si="18"/>
        <v>1</v>
      </c>
      <c r="O124" s="76">
        <f t="shared" si="19"/>
        <v>1</v>
      </c>
      <c r="P124" s="95"/>
    </row>
    <row r="125" spans="1:16" s="70" customFormat="1" x14ac:dyDescent="0.3">
      <c r="A125" s="17">
        <v>69</v>
      </c>
      <c r="B125" s="203" t="s">
        <v>480</v>
      </c>
      <c r="C125" s="204"/>
      <c r="D125" s="100">
        <v>131</v>
      </c>
      <c r="E125" s="100">
        <v>81</v>
      </c>
      <c r="F125" s="79">
        <v>0</v>
      </c>
      <c r="G125" s="79">
        <v>0</v>
      </c>
      <c r="H125" s="79">
        <v>0</v>
      </c>
      <c r="I125" s="79">
        <f t="shared" si="15"/>
        <v>0</v>
      </c>
      <c r="J125" s="17"/>
      <c r="K125" s="79">
        <f t="shared" si="16"/>
        <v>81</v>
      </c>
      <c r="L125" s="76">
        <f t="shared" si="17"/>
        <v>0</v>
      </c>
      <c r="M125" s="76"/>
      <c r="N125" s="76">
        <f t="shared" si="18"/>
        <v>1</v>
      </c>
      <c r="O125" s="76">
        <f t="shared" si="19"/>
        <v>1</v>
      </c>
      <c r="P125" s="95"/>
    </row>
    <row r="126" spans="1:16" ht="18" customHeight="1" x14ac:dyDescent="0.3">
      <c r="A126" s="17">
        <v>70</v>
      </c>
      <c r="B126" s="203" t="s">
        <v>481</v>
      </c>
      <c r="C126" s="204"/>
      <c r="D126" s="100">
        <v>0</v>
      </c>
      <c r="E126" s="100">
        <v>0</v>
      </c>
      <c r="F126" s="79">
        <v>0</v>
      </c>
      <c r="G126" s="79">
        <v>0</v>
      </c>
      <c r="H126" s="79">
        <v>0</v>
      </c>
      <c r="I126" s="79">
        <f t="shared" si="15"/>
        <v>0</v>
      </c>
      <c r="J126" s="17"/>
      <c r="K126" s="79">
        <f t="shared" si="16"/>
        <v>0</v>
      </c>
      <c r="L126" s="76" t="str">
        <f t="shared" si="17"/>
        <v>-</v>
      </c>
      <c r="M126" s="76"/>
      <c r="N126" s="76" t="str">
        <f t="shared" si="18"/>
        <v>-</v>
      </c>
      <c r="O126" s="76" t="str">
        <f t="shared" si="19"/>
        <v>-</v>
      </c>
      <c r="P126" s="95"/>
    </row>
    <row r="127" spans="1:16" s="70" customFormat="1" ht="98.25" customHeight="1" x14ac:dyDescent="0.3">
      <c r="A127" s="17">
        <v>71</v>
      </c>
      <c r="B127" s="203" t="s">
        <v>568</v>
      </c>
      <c r="C127" s="204"/>
      <c r="D127" s="81">
        <v>276</v>
      </c>
      <c r="E127" s="81">
        <v>373</v>
      </c>
      <c r="F127" s="79">
        <v>4</v>
      </c>
      <c r="G127" s="79">
        <v>0</v>
      </c>
      <c r="H127" s="79">
        <v>0</v>
      </c>
      <c r="I127" s="79">
        <f t="shared" si="15"/>
        <v>4</v>
      </c>
      <c r="J127" s="17"/>
      <c r="K127" s="79">
        <f t="shared" si="16"/>
        <v>369</v>
      </c>
      <c r="L127" s="76">
        <f t="shared" si="17"/>
        <v>1.0723860589812333E-2</v>
      </c>
      <c r="M127" s="76"/>
      <c r="N127" s="76">
        <f t="shared" si="18"/>
        <v>0.98927613941018766</v>
      </c>
      <c r="O127" s="76">
        <f t="shared" si="19"/>
        <v>0.98927613941018766</v>
      </c>
      <c r="P127" s="104" t="s">
        <v>612</v>
      </c>
    </row>
    <row r="128" spans="1:16" s="70" customFormat="1" ht="15.75" customHeight="1" x14ac:dyDescent="0.3">
      <c r="A128" s="17">
        <v>72</v>
      </c>
      <c r="B128" s="203" t="s">
        <v>569</v>
      </c>
      <c r="C128" s="204"/>
      <c r="D128" s="100">
        <v>16</v>
      </c>
      <c r="E128" s="100">
        <v>11</v>
      </c>
      <c r="F128" s="79">
        <v>0</v>
      </c>
      <c r="G128" s="79">
        <v>0</v>
      </c>
      <c r="H128" s="79">
        <v>0</v>
      </c>
      <c r="I128" s="79">
        <f t="shared" si="15"/>
        <v>0</v>
      </c>
      <c r="J128" s="17"/>
      <c r="K128" s="79">
        <f t="shared" si="16"/>
        <v>11</v>
      </c>
      <c r="L128" s="76">
        <f t="shared" si="17"/>
        <v>0</v>
      </c>
      <c r="M128" s="76"/>
      <c r="N128" s="76">
        <f t="shared" si="18"/>
        <v>1</v>
      </c>
      <c r="O128" s="76">
        <f t="shared" si="19"/>
        <v>1</v>
      </c>
      <c r="P128" s="103"/>
    </row>
    <row r="129" spans="1:16" s="70" customFormat="1" ht="21" customHeight="1" x14ac:dyDescent="0.3">
      <c r="A129" s="17">
        <v>73</v>
      </c>
      <c r="B129" s="203" t="s">
        <v>570</v>
      </c>
      <c r="C129" s="204"/>
      <c r="D129" s="100">
        <v>459</v>
      </c>
      <c r="E129" s="100">
        <v>530</v>
      </c>
      <c r="F129" s="79">
        <v>0</v>
      </c>
      <c r="G129" s="79">
        <v>0</v>
      </c>
      <c r="H129" s="79">
        <v>0</v>
      </c>
      <c r="I129" s="79">
        <f t="shared" si="15"/>
        <v>0</v>
      </c>
      <c r="J129" s="17"/>
      <c r="K129" s="79">
        <f t="shared" si="16"/>
        <v>530</v>
      </c>
      <c r="L129" s="76">
        <f t="shared" si="17"/>
        <v>0</v>
      </c>
      <c r="M129" s="76"/>
      <c r="N129" s="76">
        <f t="shared" si="18"/>
        <v>1</v>
      </c>
      <c r="O129" s="76">
        <f t="shared" si="19"/>
        <v>1</v>
      </c>
      <c r="P129" s="95"/>
    </row>
    <row r="130" spans="1:16" x14ac:dyDescent="0.3">
      <c r="A130" s="17">
        <v>74</v>
      </c>
      <c r="B130" s="203" t="s">
        <v>571</v>
      </c>
      <c r="C130" s="204"/>
      <c r="D130" s="100">
        <v>977</v>
      </c>
      <c r="E130" s="100">
        <v>1049</v>
      </c>
      <c r="F130" s="79">
        <v>0</v>
      </c>
      <c r="G130" s="79">
        <v>0</v>
      </c>
      <c r="H130" s="79">
        <v>0</v>
      </c>
      <c r="I130" s="79">
        <f t="shared" si="15"/>
        <v>0</v>
      </c>
      <c r="J130" s="17"/>
      <c r="K130" s="79">
        <f t="shared" si="16"/>
        <v>1049</v>
      </c>
      <c r="L130" s="76">
        <f t="shared" si="17"/>
        <v>0</v>
      </c>
      <c r="M130" s="76"/>
      <c r="N130" s="76">
        <f t="shared" si="18"/>
        <v>1</v>
      </c>
      <c r="O130" s="76">
        <f t="shared" si="19"/>
        <v>1</v>
      </c>
      <c r="P130" s="95"/>
    </row>
    <row r="131" spans="1:16" x14ac:dyDescent="0.3">
      <c r="A131" s="17">
        <v>75</v>
      </c>
      <c r="B131" s="203" t="s">
        <v>572</v>
      </c>
      <c r="C131" s="204"/>
      <c r="D131" s="100">
        <v>2018</v>
      </c>
      <c r="E131" s="100">
        <v>1958</v>
      </c>
      <c r="F131" s="79">
        <v>0</v>
      </c>
      <c r="G131" s="79">
        <v>0</v>
      </c>
      <c r="H131" s="79">
        <v>0</v>
      </c>
      <c r="I131" s="79">
        <f t="shared" si="15"/>
        <v>0</v>
      </c>
      <c r="J131" s="17"/>
      <c r="K131" s="79">
        <f t="shared" si="16"/>
        <v>1958</v>
      </c>
      <c r="L131" s="76">
        <f t="shared" si="17"/>
        <v>0</v>
      </c>
      <c r="M131" s="76"/>
      <c r="N131" s="76">
        <f t="shared" si="18"/>
        <v>1</v>
      </c>
      <c r="O131" s="76">
        <f t="shared" si="19"/>
        <v>1</v>
      </c>
      <c r="P131" s="95"/>
    </row>
    <row r="132" spans="1:16" ht="15" customHeight="1" x14ac:dyDescent="0.3">
      <c r="A132" s="17">
        <v>76</v>
      </c>
      <c r="B132" s="203" t="s">
        <v>573</v>
      </c>
      <c r="C132" s="204"/>
      <c r="D132" s="100">
        <v>54</v>
      </c>
      <c r="E132" s="100">
        <v>18</v>
      </c>
      <c r="F132" s="79">
        <v>0</v>
      </c>
      <c r="G132" s="79">
        <v>0</v>
      </c>
      <c r="H132" s="79">
        <v>0</v>
      </c>
      <c r="I132" s="79">
        <f t="shared" si="15"/>
        <v>0</v>
      </c>
      <c r="J132" s="17"/>
      <c r="K132" s="79">
        <f t="shared" si="16"/>
        <v>18</v>
      </c>
      <c r="L132" s="76">
        <f t="shared" si="17"/>
        <v>0</v>
      </c>
      <c r="M132" s="76"/>
      <c r="N132" s="76">
        <f t="shared" si="18"/>
        <v>1</v>
      </c>
      <c r="O132" s="76">
        <f t="shared" si="19"/>
        <v>1</v>
      </c>
      <c r="P132" s="102"/>
    </row>
    <row r="133" spans="1:16" s="71" customFormat="1" x14ac:dyDescent="0.3">
      <c r="A133" s="17">
        <v>77</v>
      </c>
      <c r="B133" s="203" t="s">
        <v>574</v>
      </c>
      <c r="C133" s="204"/>
      <c r="D133" s="100">
        <v>10</v>
      </c>
      <c r="E133" s="100">
        <v>9</v>
      </c>
      <c r="F133" s="79">
        <v>0</v>
      </c>
      <c r="G133" s="79">
        <v>0</v>
      </c>
      <c r="H133" s="79">
        <v>0</v>
      </c>
      <c r="I133" s="79">
        <f t="shared" si="15"/>
        <v>0</v>
      </c>
      <c r="J133" s="17"/>
      <c r="K133" s="79">
        <f t="shared" si="16"/>
        <v>9</v>
      </c>
      <c r="L133" s="76">
        <f t="shared" si="17"/>
        <v>0</v>
      </c>
      <c r="M133" s="76"/>
      <c r="N133" s="76">
        <f t="shared" si="18"/>
        <v>1</v>
      </c>
      <c r="O133" s="76">
        <f t="shared" si="19"/>
        <v>1</v>
      </c>
      <c r="P133" s="95"/>
    </row>
    <row r="134" spans="1:16" ht="15.75" customHeight="1" x14ac:dyDescent="0.3">
      <c r="A134" s="17">
        <v>78</v>
      </c>
      <c r="B134" s="203" t="s">
        <v>575</v>
      </c>
      <c r="C134" s="204"/>
      <c r="D134" s="100">
        <v>0</v>
      </c>
      <c r="E134" s="100">
        <v>0</v>
      </c>
      <c r="F134" s="79">
        <v>0</v>
      </c>
      <c r="G134" s="79">
        <v>0</v>
      </c>
      <c r="H134" s="79">
        <v>0</v>
      </c>
      <c r="I134" s="79">
        <f t="shared" si="15"/>
        <v>0</v>
      </c>
      <c r="J134" s="17"/>
      <c r="K134" s="79">
        <f t="shared" si="16"/>
        <v>0</v>
      </c>
      <c r="L134" s="76" t="str">
        <f t="shared" si="17"/>
        <v>-</v>
      </c>
      <c r="M134" s="76"/>
      <c r="N134" s="76" t="str">
        <f t="shared" si="18"/>
        <v>-</v>
      </c>
      <c r="O134" s="76" t="str">
        <f t="shared" si="19"/>
        <v>-</v>
      </c>
      <c r="P134" s="95"/>
    </row>
    <row r="135" spans="1:16" ht="15.75" customHeight="1" x14ac:dyDescent="0.3">
      <c r="A135" s="17">
        <v>79</v>
      </c>
      <c r="B135" s="203" t="s">
        <v>576</v>
      </c>
      <c r="C135" s="204"/>
      <c r="D135" s="100">
        <v>0</v>
      </c>
      <c r="E135" s="100">
        <v>0</v>
      </c>
      <c r="F135" s="79">
        <v>0</v>
      </c>
      <c r="G135" s="79">
        <v>0</v>
      </c>
      <c r="H135" s="79">
        <v>0</v>
      </c>
      <c r="I135" s="79">
        <f t="shared" si="15"/>
        <v>0</v>
      </c>
      <c r="J135" s="17"/>
      <c r="K135" s="79">
        <f t="shared" si="16"/>
        <v>0</v>
      </c>
      <c r="L135" s="76" t="str">
        <f t="shared" si="17"/>
        <v>-</v>
      </c>
      <c r="M135" s="76"/>
      <c r="N135" s="76" t="str">
        <f t="shared" si="18"/>
        <v>-</v>
      </c>
      <c r="O135" s="76" t="str">
        <f t="shared" si="19"/>
        <v>-</v>
      </c>
      <c r="P135" s="91"/>
    </row>
    <row r="136" spans="1:16" x14ac:dyDescent="0.3">
      <c r="A136" s="17">
        <v>80</v>
      </c>
      <c r="B136" s="203" t="s">
        <v>577</v>
      </c>
      <c r="C136" s="204"/>
      <c r="D136" s="100">
        <v>502</v>
      </c>
      <c r="E136" s="100">
        <v>407</v>
      </c>
      <c r="F136" s="79">
        <v>0</v>
      </c>
      <c r="G136" s="79">
        <v>0</v>
      </c>
      <c r="H136" s="79">
        <v>0</v>
      </c>
      <c r="I136" s="79">
        <f t="shared" si="15"/>
        <v>0</v>
      </c>
      <c r="J136" s="17"/>
      <c r="K136" s="79">
        <f t="shared" si="16"/>
        <v>407</v>
      </c>
      <c r="L136" s="76">
        <f t="shared" si="17"/>
        <v>0</v>
      </c>
      <c r="M136" s="76"/>
      <c r="N136" s="76">
        <f t="shared" si="18"/>
        <v>1</v>
      </c>
      <c r="O136" s="76">
        <f t="shared" si="19"/>
        <v>1</v>
      </c>
      <c r="P136" s="95"/>
    </row>
    <row r="137" spans="1:16" x14ac:dyDescent="0.3">
      <c r="A137" s="17">
        <v>81</v>
      </c>
      <c r="B137" s="203" t="s">
        <v>578</v>
      </c>
      <c r="C137" s="204"/>
      <c r="D137" s="100">
        <v>221</v>
      </c>
      <c r="E137" s="100">
        <v>196</v>
      </c>
      <c r="F137" s="79">
        <v>0</v>
      </c>
      <c r="G137" s="79">
        <v>0</v>
      </c>
      <c r="H137" s="79">
        <v>0</v>
      </c>
      <c r="I137" s="79">
        <f t="shared" si="15"/>
        <v>0</v>
      </c>
      <c r="J137" s="17"/>
      <c r="K137" s="79">
        <f t="shared" si="16"/>
        <v>196</v>
      </c>
      <c r="L137" s="76">
        <f t="shared" si="17"/>
        <v>0</v>
      </c>
      <c r="M137" s="76"/>
      <c r="N137" s="76">
        <f t="shared" si="18"/>
        <v>1</v>
      </c>
      <c r="O137" s="76">
        <f t="shared" si="19"/>
        <v>1</v>
      </c>
      <c r="P137" s="95"/>
    </row>
    <row r="138" spans="1:16" x14ac:dyDescent="0.3">
      <c r="A138" s="17">
        <v>82</v>
      </c>
      <c r="B138" s="203" t="s">
        <v>579</v>
      </c>
      <c r="C138" s="204"/>
      <c r="D138" s="100">
        <v>149</v>
      </c>
      <c r="E138" s="100">
        <v>74</v>
      </c>
      <c r="F138" s="79">
        <v>0</v>
      </c>
      <c r="G138" s="79">
        <v>0</v>
      </c>
      <c r="H138" s="79">
        <v>0</v>
      </c>
      <c r="I138" s="79">
        <f t="shared" si="15"/>
        <v>0</v>
      </c>
      <c r="J138" s="17"/>
      <c r="K138" s="79">
        <f t="shared" si="16"/>
        <v>74</v>
      </c>
      <c r="L138" s="76">
        <f t="shared" si="17"/>
        <v>0</v>
      </c>
      <c r="M138" s="76"/>
      <c r="N138" s="76">
        <f t="shared" si="18"/>
        <v>1</v>
      </c>
      <c r="O138" s="76">
        <f t="shared" si="19"/>
        <v>1</v>
      </c>
      <c r="P138" s="95"/>
    </row>
    <row r="139" spans="1:16" ht="15.75" customHeight="1" x14ac:dyDescent="0.3">
      <c r="A139" s="17">
        <v>83</v>
      </c>
      <c r="B139" s="203" t="s">
        <v>580</v>
      </c>
      <c r="C139" s="204"/>
      <c r="D139" s="100">
        <v>0</v>
      </c>
      <c r="E139" s="100">
        <v>7</v>
      </c>
      <c r="F139" s="79">
        <v>0</v>
      </c>
      <c r="G139" s="79">
        <v>0</v>
      </c>
      <c r="H139" s="79">
        <v>0</v>
      </c>
      <c r="I139" s="79">
        <f t="shared" si="15"/>
        <v>0</v>
      </c>
      <c r="J139" s="17"/>
      <c r="K139" s="79">
        <f t="shared" si="16"/>
        <v>7</v>
      </c>
      <c r="L139" s="76">
        <f t="shared" si="17"/>
        <v>0</v>
      </c>
      <c r="M139" s="76"/>
      <c r="N139" s="76">
        <f t="shared" si="18"/>
        <v>1</v>
      </c>
      <c r="O139" s="76">
        <f t="shared" si="19"/>
        <v>1</v>
      </c>
      <c r="P139" s="101"/>
    </row>
    <row r="140" spans="1:16" ht="15" customHeight="1" x14ac:dyDescent="0.3">
      <c r="A140" s="17">
        <v>84</v>
      </c>
      <c r="B140" s="203" t="s">
        <v>581</v>
      </c>
      <c r="C140" s="204"/>
      <c r="D140" s="100">
        <v>10</v>
      </c>
      <c r="E140" s="100">
        <v>5</v>
      </c>
      <c r="F140" s="79">
        <v>0</v>
      </c>
      <c r="G140" s="79">
        <v>0</v>
      </c>
      <c r="H140" s="79">
        <v>0</v>
      </c>
      <c r="I140" s="79">
        <f t="shared" si="15"/>
        <v>0</v>
      </c>
      <c r="J140" s="17"/>
      <c r="K140" s="79">
        <f t="shared" si="16"/>
        <v>5</v>
      </c>
      <c r="L140" s="76">
        <f t="shared" si="17"/>
        <v>0</v>
      </c>
      <c r="M140" s="76"/>
      <c r="N140" s="76">
        <f t="shared" si="18"/>
        <v>1</v>
      </c>
      <c r="O140" s="76">
        <f t="shared" si="19"/>
        <v>1</v>
      </c>
      <c r="P140" s="95"/>
    </row>
    <row r="141" spans="1:16" ht="15.75" customHeight="1" x14ac:dyDescent="0.3">
      <c r="A141" s="17">
        <v>85</v>
      </c>
      <c r="B141" s="203" t="s">
        <v>582</v>
      </c>
      <c r="C141" s="204"/>
      <c r="D141" s="100">
        <v>0</v>
      </c>
      <c r="E141" s="100">
        <v>0</v>
      </c>
      <c r="F141" s="79">
        <v>0</v>
      </c>
      <c r="G141" s="79">
        <v>0</v>
      </c>
      <c r="H141" s="79">
        <v>0</v>
      </c>
      <c r="I141" s="79">
        <f t="shared" ref="I141:I170" si="20">SUM(F141+G141+H141)</f>
        <v>0</v>
      </c>
      <c r="J141" s="17"/>
      <c r="K141" s="79">
        <f t="shared" si="16"/>
        <v>0</v>
      </c>
      <c r="L141" s="76" t="str">
        <f t="shared" si="17"/>
        <v>-</v>
      </c>
      <c r="M141" s="76"/>
      <c r="N141" s="76" t="str">
        <f t="shared" si="18"/>
        <v>-</v>
      </c>
      <c r="O141" s="76" t="str">
        <f t="shared" si="19"/>
        <v>-</v>
      </c>
      <c r="P141" s="101"/>
    </row>
    <row r="142" spans="1:16" ht="15.75" customHeight="1" x14ac:dyDescent="0.3">
      <c r="A142" s="17">
        <v>86</v>
      </c>
      <c r="B142" s="203" t="s">
        <v>583</v>
      </c>
      <c r="C142" s="204"/>
      <c r="D142" s="100">
        <v>30</v>
      </c>
      <c r="E142" s="100">
        <v>27</v>
      </c>
      <c r="F142" s="79">
        <v>0</v>
      </c>
      <c r="G142" s="79">
        <v>0</v>
      </c>
      <c r="H142" s="79">
        <v>0</v>
      </c>
      <c r="I142" s="79">
        <f t="shared" si="20"/>
        <v>0</v>
      </c>
      <c r="J142" s="17"/>
      <c r="K142" s="79">
        <f t="shared" si="16"/>
        <v>27</v>
      </c>
      <c r="L142" s="76">
        <f t="shared" si="17"/>
        <v>0</v>
      </c>
      <c r="M142" s="76"/>
      <c r="N142" s="76">
        <f t="shared" si="18"/>
        <v>1</v>
      </c>
      <c r="O142" s="76">
        <f t="shared" si="19"/>
        <v>1</v>
      </c>
      <c r="P142" s="99"/>
    </row>
    <row r="143" spans="1:16" ht="15.75" customHeight="1" x14ac:dyDescent="0.3">
      <c r="A143" s="17">
        <v>87</v>
      </c>
      <c r="B143" s="203" t="s">
        <v>584</v>
      </c>
      <c r="C143" s="204"/>
      <c r="D143" s="79">
        <v>67</v>
      </c>
      <c r="E143" s="79">
        <v>17</v>
      </c>
      <c r="F143" s="79">
        <v>0</v>
      </c>
      <c r="G143" s="79">
        <v>0</v>
      </c>
      <c r="H143" s="79">
        <v>0</v>
      </c>
      <c r="I143" s="79">
        <f t="shared" si="20"/>
        <v>0</v>
      </c>
      <c r="J143" s="79"/>
      <c r="K143" s="79">
        <f t="shared" si="16"/>
        <v>17</v>
      </c>
      <c r="L143" s="76">
        <f t="shared" si="17"/>
        <v>0</v>
      </c>
      <c r="M143" s="76"/>
      <c r="N143" s="76">
        <f t="shared" si="18"/>
        <v>1</v>
      </c>
      <c r="O143" s="76">
        <f t="shared" si="19"/>
        <v>1</v>
      </c>
      <c r="P143" s="99"/>
    </row>
    <row r="144" spans="1:16" ht="15.75" customHeight="1" x14ac:dyDescent="0.3">
      <c r="A144" s="17">
        <v>88</v>
      </c>
      <c r="B144" s="203" t="s">
        <v>585</v>
      </c>
      <c r="C144" s="204"/>
      <c r="D144" s="79">
        <v>11</v>
      </c>
      <c r="E144" s="79">
        <v>15</v>
      </c>
      <c r="F144" s="79">
        <v>0</v>
      </c>
      <c r="G144" s="79">
        <v>0</v>
      </c>
      <c r="H144" s="79">
        <v>0</v>
      </c>
      <c r="I144" s="79">
        <f t="shared" si="20"/>
        <v>0</v>
      </c>
      <c r="J144" s="79"/>
      <c r="K144" s="79">
        <f t="shared" si="16"/>
        <v>15</v>
      </c>
      <c r="L144" s="76">
        <f t="shared" si="17"/>
        <v>0</v>
      </c>
      <c r="M144" s="76"/>
      <c r="N144" s="76">
        <f t="shared" si="18"/>
        <v>1</v>
      </c>
      <c r="O144" s="76">
        <f t="shared" si="19"/>
        <v>1</v>
      </c>
      <c r="P144" s="99"/>
    </row>
    <row r="145" spans="1:16" ht="15.75" customHeight="1" x14ac:dyDescent="0.3">
      <c r="A145" s="17">
        <v>89</v>
      </c>
      <c r="B145" s="203" t="s">
        <v>586</v>
      </c>
      <c r="C145" s="204"/>
      <c r="D145" s="79">
        <v>0</v>
      </c>
      <c r="E145" s="79">
        <v>0</v>
      </c>
      <c r="F145" s="79">
        <v>0</v>
      </c>
      <c r="G145" s="79">
        <v>0</v>
      </c>
      <c r="H145" s="79">
        <v>0</v>
      </c>
      <c r="I145" s="79">
        <f t="shared" si="20"/>
        <v>0</v>
      </c>
      <c r="J145" s="79"/>
      <c r="K145" s="79">
        <f t="shared" si="16"/>
        <v>0</v>
      </c>
      <c r="L145" s="76" t="str">
        <f t="shared" si="17"/>
        <v>-</v>
      </c>
      <c r="M145" s="76"/>
      <c r="N145" s="76" t="str">
        <f t="shared" si="18"/>
        <v>-</v>
      </c>
      <c r="O145" s="76" t="str">
        <f t="shared" si="19"/>
        <v>-</v>
      </c>
      <c r="P145" s="99"/>
    </row>
    <row r="146" spans="1:16" ht="15.75" customHeight="1" x14ac:dyDescent="0.3">
      <c r="A146" s="17">
        <v>90</v>
      </c>
      <c r="B146" s="203" t="s">
        <v>587</v>
      </c>
      <c r="C146" s="204"/>
      <c r="D146" s="79">
        <v>0</v>
      </c>
      <c r="E146" s="79">
        <v>0</v>
      </c>
      <c r="F146" s="79">
        <v>0</v>
      </c>
      <c r="G146" s="79">
        <v>0</v>
      </c>
      <c r="H146" s="79">
        <v>0</v>
      </c>
      <c r="I146" s="79">
        <f t="shared" si="20"/>
        <v>0</v>
      </c>
      <c r="J146" s="79"/>
      <c r="K146" s="79">
        <f t="shared" si="16"/>
        <v>0</v>
      </c>
      <c r="L146" s="76" t="str">
        <f t="shared" si="17"/>
        <v>-</v>
      </c>
      <c r="M146" s="76"/>
      <c r="N146" s="76" t="str">
        <f t="shared" si="18"/>
        <v>-</v>
      </c>
      <c r="O146" s="76" t="str">
        <f t="shared" si="19"/>
        <v>-</v>
      </c>
      <c r="P146" s="99"/>
    </row>
    <row r="147" spans="1:16" x14ac:dyDescent="0.3">
      <c r="A147" s="17">
        <v>91</v>
      </c>
      <c r="B147" s="203" t="s">
        <v>588</v>
      </c>
      <c r="C147" s="204"/>
      <c r="D147" s="79">
        <v>0</v>
      </c>
      <c r="E147" s="79">
        <v>0</v>
      </c>
      <c r="F147" s="79">
        <v>0</v>
      </c>
      <c r="G147" s="79">
        <v>0</v>
      </c>
      <c r="H147" s="79">
        <v>0</v>
      </c>
      <c r="I147" s="79">
        <f t="shared" si="20"/>
        <v>0</v>
      </c>
      <c r="J147" s="79"/>
      <c r="K147" s="79">
        <f t="shared" si="16"/>
        <v>0</v>
      </c>
      <c r="L147" s="76" t="str">
        <f t="shared" si="17"/>
        <v>-</v>
      </c>
      <c r="M147" s="76"/>
      <c r="N147" s="76" t="str">
        <f t="shared" si="18"/>
        <v>-</v>
      </c>
      <c r="O147" s="76" t="str">
        <f t="shared" si="19"/>
        <v>-</v>
      </c>
      <c r="P147" s="20"/>
    </row>
    <row r="148" spans="1:16" x14ac:dyDescent="0.3">
      <c r="A148" s="17">
        <v>92</v>
      </c>
      <c r="B148" s="203" t="s">
        <v>589</v>
      </c>
      <c r="C148" s="204"/>
      <c r="D148" s="79">
        <v>0</v>
      </c>
      <c r="E148" s="79">
        <v>0</v>
      </c>
      <c r="F148" s="79">
        <v>0</v>
      </c>
      <c r="G148" s="79">
        <v>0</v>
      </c>
      <c r="H148" s="79">
        <v>0</v>
      </c>
      <c r="I148" s="79">
        <f t="shared" si="20"/>
        <v>0</v>
      </c>
      <c r="J148" s="80"/>
      <c r="K148" s="79">
        <f t="shared" si="16"/>
        <v>0</v>
      </c>
      <c r="L148" s="76" t="str">
        <f t="shared" si="17"/>
        <v>-</v>
      </c>
      <c r="M148" s="76"/>
      <c r="N148" s="76" t="str">
        <f t="shared" si="18"/>
        <v>-</v>
      </c>
      <c r="O148" s="76" t="str">
        <f t="shared" si="19"/>
        <v>-</v>
      </c>
      <c r="P148" s="20"/>
    </row>
    <row r="149" spans="1:16" x14ac:dyDescent="0.3">
      <c r="A149" s="17">
        <v>93</v>
      </c>
      <c r="B149" s="203" t="s">
        <v>590</v>
      </c>
      <c r="C149" s="204"/>
      <c r="D149" s="79">
        <v>40</v>
      </c>
      <c r="E149" s="79">
        <v>54</v>
      </c>
      <c r="F149" s="79">
        <v>0</v>
      </c>
      <c r="G149" s="79">
        <v>0</v>
      </c>
      <c r="H149" s="79">
        <v>0</v>
      </c>
      <c r="I149" s="79">
        <f t="shared" si="20"/>
        <v>0</v>
      </c>
      <c r="J149" s="80"/>
      <c r="K149" s="79">
        <f t="shared" si="16"/>
        <v>54</v>
      </c>
      <c r="L149" s="76">
        <f t="shared" si="17"/>
        <v>0</v>
      </c>
      <c r="M149" s="76"/>
      <c r="N149" s="76">
        <f t="shared" si="18"/>
        <v>1</v>
      </c>
      <c r="O149" s="76">
        <f t="shared" si="19"/>
        <v>1</v>
      </c>
      <c r="P149" s="95"/>
    </row>
    <row r="150" spans="1:16" ht="15.75" customHeight="1" x14ac:dyDescent="0.3">
      <c r="A150" s="17">
        <v>94</v>
      </c>
      <c r="B150" s="203" t="s">
        <v>591</v>
      </c>
      <c r="C150" s="204"/>
      <c r="D150" s="79">
        <v>0</v>
      </c>
      <c r="E150" s="79">
        <v>0</v>
      </c>
      <c r="F150" s="79">
        <v>0</v>
      </c>
      <c r="G150" s="79">
        <v>0</v>
      </c>
      <c r="H150" s="79">
        <v>0</v>
      </c>
      <c r="I150" s="79">
        <f t="shared" si="20"/>
        <v>0</v>
      </c>
      <c r="J150" s="79"/>
      <c r="K150" s="79">
        <f t="shared" si="16"/>
        <v>0</v>
      </c>
      <c r="L150" s="76" t="str">
        <f t="shared" si="17"/>
        <v>-</v>
      </c>
      <c r="M150" s="76"/>
      <c r="N150" s="76" t="str">
        <f t="shared" si="18"/>
        <v>-</v>
      </c>
      <c r="O150" s="76" t="str">
        <f t="shared" si="19"/>
        <v>-</v>
      </c>
      <c r="P150" s="20"/>
    </row>
    <row r="151" spans="1:16" s="67" customFormat="1" ht="15" customHeight="1" x14ac:dyDescent="0.3">
      <c r="A151" s="17">
        <v>95</v>
      </c>
      <c r="B151" s="203" t="s">
        <v>592</v>
      </c>
      <c r="C151" s="204"/>
      <c r="D151" s="79">
        <v>0</v>
      </c>
      <c r="E151" s="79">
        <v>0</v>
      </c>
      <c r="F151" s="79">
        <v>0</v>
      </c>
      <c r="G151" s="79">
        <v>0</v>
      </c>
      <c r="H151" s="79">
        <v>0</v>
      </c>
      <c r="I151" s="79">
        <f t="shared" si="20"/>
        <v>0</v>
      </c>
      <c r="J151" s="98"/>
      <c r="K151" s="79">
        <f t="shared" si="16"/>
        <v>0</v>
      </c>
      <c r="L151" s="76" t="str">
        <f t="shared" si="17"/>
        <v>-</v>
      </c>
      <c r="M151" s="76"/>
      <c r="N151" s="76" t="str">
        <f t="shared" si="18"/>
        <v>-</v>
      </c>
      <c r="O151" s="76" t="str">
        <f t="shared" si="19"/>
        <v>-</v>
      </c>
      <c r="P151" s="97"/>
    </row>
    <row r="152" spans="1:16" s="70" customFormat="1" x14ac:dyDescent="0.3">
      <c r="A152" s="17">
        <v>96</v>
      </c>
      <c r="B152" s="203" t="s">
        <v>593</v>
      </c>
      <c r="C152" s="204"/>
      <c r="D152" s="79">
        <v>61</v>
      </c>
      <c r="E152" s="79">
        <v>129</v>
      </c>
      <c r="F152" s="79">
        <v>0</v>
      </c>
      <c r="G152" s="79">
        <v>0</v>
      </c>
      <c r="H152" s="79">
        <v>0</v>
      </c>
      <c r="I152" s="79">
        <f t="shared" si="20"/>
        <v>0</v>
      </c>
      <c r="J152" s="79"/>
      <c r="K152" s="79">
        <f t="shared" si="16"/>
        <v>129</v>
      </c>
      <c r="L152" s="76">
        <f t="shared" si="17"/>
        <v>0</v>
      </c>
      <c r="M152" s="76"/>
      <c r="N152" s="76">
        <f t="shared" si="18"/>
        <v>1</v>
      </c>
      <c r="O152" s="76">
        <f t="shared" si="19"/>
        <v>1</v>
      </c>
      <c r="P152" s="95"/>
    </row>
    <row r="153" spans="1:16" s="70" customFormat="1" x14ac:dyDescent="0.3">
      <c r="A153" s="17">
        <v>97</v>
      </c>
      <c r="B153" s="203" t="s">
        <v>594</v>
      </c>
      <c r="C153" s="204"/>
      <c r="D153" s="79">
        <v>0</v>
      </c>
      <c r="E153" s="79">
        <v>0</v>
      </c>
      <c r="F153" s="79">
        <v>0</v>
      </c>
      <c r="G153" s="79">
        <v>0</v>
      </c>
      <c r="H153" s="79">
        <v>0</v>
      </c>
      <c r="I153" s="79">
        <f t="shared" si="20"/>
        <v>0</v>
      </c>
      <c r="J153" s="79"/>
      <c r="K153" s="79">
        <f t="shared" ref="K153:K170" si="21">SUM(E153-I153)</f>
        <v>0</v>
      </c>
      <c r="L153" s="76" t="str">
        <f t="shared" ref="L153:L170" si="22">IF(E153=0,"-",(I153/E153))</f>
        <v>-</v>
      </c>
      <c r="M153" s="76"/>
      <c r="N153" s="76" t="str">
        <f t="shared" ref="N153:N170" si="23">IF(E153=0,"-",(K153/E153))</f>
        <v>-</v>
      </c>
      <c r="O153" s="76" t="str">
        <f t="shared" ref="O153:O170" si="24">IF(E153=0,"-",(M153+N153))</f>
        <v>-</v>
      </c>
      <c r="P153" s="95"/>
    </row>
    <row r="154" spans="1:16" x14ac:dyDescent="0.3">
      <c r="A154" s="17">
        <v>98</v>
      </c>
      <c r="B154" s="203" t="s">
        <v>595</v>
      </c>
      <c r="C154" s="204"/>
      <c r="D154" s="79">
        <v>7</v>
      </c>
      <c r="E154" s="79">
        <v>218</v>
      </c>
      <c r="F154" s="79">
        <v>0</v>
      </c>
      <c r="G154" s="79">
        <v>0</v>
      </c>
      <c r="H154" s="79">
        <v>0</v>
      </c>
      <c r="I154" s="79">
        <f t="shared" si="20"/>
        <v>0</v>
      </c>
      <c r="J154" s="80"/>
      <c r="K154" s="79">
        <f t="shared" si="21"/>
        <v>218</v>
      </c>
      <c r="L154" s="76">
        <f t="shared" si="22"/>
        <v>0</v>
      </c>
      <c r="M154" s="76"/>
      <c r="N154" s="76">
        <f t="shared" si="23"/>
        <v>1</v>
      </c>
      <c r="O154" s="76">
        <f t="shared" si="24"/>
        <v>1</v>
      </c>
      <c r="P154" s="93"/>
    </row>
    <row r="155" spans="1:16" x14ac:dyDescent="0.3">
      <c r="A155" s="17">
        <v>99</v>
      </c>
      <c r="B155" s="203" t="s">
        <v>596</v>
      </c>
      <c r="C155" s="204"/>
      <c r="D155" s="79">
        <v>0</v>
      </c>
      <c r="E155" s="79">
        <v>4</v>
      </c>
      <c r="F155" s="79">
        <v>0</v>
      </c>
      <c r="G155" s="79">
        <v>0</v>
      </c>
      <c r="H155" s="79">
        <v>0</v>
      </c>
      <c r="I155" s="79">
        <f t="shared" si="20"/>
        <v>0</v>
      </c>
      <c r="J155" s="80"/>
      <c r="K155" s="79">
        <f t="shared" si="21"/>
        <v>4</v>
      </c>
      <c r="L155" s="76">
        <f t="shared" si="22"/>
        <v>0</v>
      </c>
      <c r="M155" s="76"/>
      <c r="N155" s="76">
        <f t="shared" si="23"/>
        <v>1</v>
      </c>
      <c r="O155" s="76">
        <f t="shared" si="24"/>
        <v>1</v>
      </c>
      <c r="P155" s="94"/>
    </row>
    <row r="156" spans="1:16" s="70" customFormat="1" x14ac:dyDescent="0.3">
      <c r="A156" s="17">
        <v>100</v>
      </c>
      <c r="B156" s="203" t="s">
        <v>597</v>
      </c>
      <c r="C156" s="204"/>
      <c r="D156" s="79">
        <v>0</v>
      </c>
      <c r="E156" s="79">
        <v>94</v>
      </c>
      <c r="F156" s="79">
        <v>0</v>
      </c>
      <c r="G156" s="79">
        <v>0</v>
      </c>
      <c r="H156" s="79">
        <v>0</v>
      </c>
      <c r="I156" s="79">
        <f t="shared" si="20"/>
        <v>0</v>
      </c>
      <c r="J156" s="80"/>
      <c r="K156" s="79">
        <f t="shared" si="21"/>
        <v>94</v>
      </c>
      <c r="L156" s="76">
        <f t="shared" si="22"/>
        <v>0</v>
      </c>
      <c r="M156" s="76"/>
      <c r="N156" s="76">
        <f t="shared" si="23"/>
        <v>1</v>
      </c>
      <c r="O156" s="76">
        <f t="shared" si="24"/>
        <v>1</v>
      </c>
      <c r="P156" s="93"/>
    </row>
    <row r="157" spans="1:16" x14ac:dyDescent="0.3">
      <c r="A157" s="17">
        <v>101</v>
      </c>
      <c r="B157" s="203" t="s">
        <v>598</v>
      </c>
      <c r="C157" s="204"/>
      <c r="D157" s="79">
        <v>61</v>
      </c>
      <c r="E157" s="79">
        <v>31</v>
      </c>
      <c r="F157" s="79">
        <v>0</v>
      </c>
      <c r="G157" s="79">
        <v>0</v>
      </c>
      <c r="H157" s="79">
        <v>0</v>
      </c>
      <c r="I157" s="79">
        <f t="shared" si="20"/>
        <v>0</v>
      </c>
      <c r="J157" s="80"/>
      <c r="K157" s="79">
        <f t="shared" si="21"/>
        <v>31</v>
      </c>
      <c r="L157" s="76">
        <f t="shared" si="22"/>
        <v>0</v>
      </c>
      <c r="M157" s="76"/>
      <c r="N157" s="76">
        <f t="shared" si="23"/>
        <v>1</v>
      </c>
      <c r="O157" s="76">
        <f t="shared" si="24"/>
        <v>1</v>
      </c>
      <c r="P157" s="92"/>
    </row>
    <row r="158" spans="1:16" x14ac:dyDescent="0.3">
      <c r="A158" s="17">
        <v>102</v>
      </c>
      <c r="B158" s="203" t="s">
        <v>599</v>
      </c>
      <c r="C158" s="204"/>
      <c r="D158" s="79">
        <v>14</v>
      </c>
      <c r="E158" s="79">
        <v>14</v>
      </c>
      <c r="F158" s="79">
        <v>0</v>
      </c>
      <c r="G158" s="79">
        <v>0</v>
      </c>
      <c r="H158" s="79">
        <v>0</v>
      </c>
      <c r="I158" s="79">
        <f t="shared" si="20"/>
        <v>0</v>
      </c>
      <c r="J158" s="80"/>
      <c r="K158" s="79">
        <f t="shared" si="21"/>
        <v>14</v>
      </c>
      <c r="L158" s="76">
        <f t="shared" si="22"/>
        <v>0</v>
      </c>
      <c r="M158" s="76"/>
      <c r="N158" s="76">
        <f t="shared" si="23"/>
        <v>1</v>
      </c>
      <c r="O158" s="76">
        <f t="shared" si="24"/>
        <v>1</v>
      </c>
      <c r="P158" s="91"/>
    </row>
    <row r="159" spans="1:16" x14ac:dyDescent="0.3">
      <c r="A159" s="17">
        <v>103</v>
      </c>
      <c r="B159" s="203" t="s">
        <v>600</v>
      </c>
      <c r="C159" s="204"/>
      <c r="D159" s="79">
        <v>11</v>
      </c>
      <c r="E159" s="79">
        <v>44</v>
      </c>
      <c r="F159" s="79">
        <v>0</v>
      </c>
      <c r="G159" s="79">
        <v>0</v>
      </c>
      <c r="H159" s="79">
        <v>0</v>
      </c>
      <c r="I159" s="79">
        <f t="shared" si="20"/>
        <v>0</v>
      </c>
      <c r="J159" s="80"/>
      <c r="K159" s="79">
        <f t="shared" si="21"/>
        <v>44</v>
      </c>
      <c r="L159" s="76">
        <f t="shared" si="22"/>
        <v>0</v>
      </c>
      <c r="M159" s="76"/>
      <c r="N159" s="76">
        <f t="shared" si="23"/>
        <v>1</v>
      </c>
      <c r="O159" s="76">
        <f t="shared" si="24"/>
        <v>1</v>
      </c>
      <c r="P159" s="91"/>
    </row>
    <row r="160" spans="1:16" ht="25.5" customHeight="1" x14ac:dyDescent="0.3">
      <c r="A160" s="17">
        <v>104</v>
      </c>
      <c r="B160" s="203" t="s">
        <v>601</v>
      </c>
      <c r="C160" s="204"/>
      <c r="D160" s="79">
        <v>635</v>
      </c>
      <c r="E160" s="79">
        <v>1097</v>
      </c>
      <c r="F160" s="79">
        <v>0</v>
      </c>
      <c r="G160" s="79">
        <v>3</v>
      </c>
      <c r="H160" s="79">
        <v>0</v>
      </c>
      <c r="I160" s="79">
        <f t="shared" si="20"/>
        <v>3</v>
      </c>
      <c r="J160" s="80"/>
      <c r="K160" s="79">
        <f t="shared" si="21"/>
        <v>1094</v>
      </c>
      <c r="L160" s="76">
        <f t="shared" si="22"/>
        <v>2.7347310847766638E-3</v>
      </c>
      <c r="M160" s="76"/>
      <c r="N160" s="76">
        <f t="shared" si="23"/>
        <v>0.99726526891522338</v>
      </c>
      <c r="O160" s="76">
        <f t="shared" si="24"/>
        <v>0.99726526891522338</v>
      </c>
      <c r="P160" s="78"/>
    </row>
    <row r="161" spans="1:16" ht="19.5" customHeight="1" x14ac:dyDescent="0.3">
      <c r="A161" s="17">
        <v>105</v>
      </c>
      <c r="B161" s="203" t="s">
        <v>602</v>
      </c>
      <c r="C161" s="204"/>
      <c r="D161" s="81">
        <v>0</v>
      </c>
      <c r="E161" s="79">
        <v>0</v>
      </c>
      <c r="F161" s="79">
        <v>0</v>
      </c>
      <c r="G161" s="79">
        <v>0</v>
      </c>
      <c r="H161" s="79">
        <v>0</v>
      </c>
      <c r="I161" s="79">
        <f t="shared" si="20"/>
        <v>0</v>
      </c>
      <c r="J161" s="80"/>
      <c r="K161" s="79">
        <f t="shared" si="21"/>
        <v>0</v>
      </c>
      <c r="L161" s="76" t="str">
        <f t="shared" si="22"/>
        <v>-</v>
      </c>
      <c r="M161" s="76"/>
      <c r="N161" s="76" t="str">
        <f t="shared" si="23"/>
        <v>-</v>
      </c>
      <c r="O161" s="76" t="str">
        <f t="shared" si="24"/>
        <v>-</v>
      </c>
      <c r="P161" s="90"/>
    </row>
    <row r="162" spans="1:16" ht="19.5" customHeight="1" x14ac:dyDescent="0.3">
      <c r="A162" s="17">
        <v>106</v>
      </c>
      <c r="B162" s="203" t="s">
        <v>603</v>
      </c>
      <c r="C162" s="204"/>
      <c r="D162" s="82">
        <v>3</v>
      </c>
      <c r="E162" s="79">
        <v>4</v>
      </c>
      <c r="F162" s="79">
        <v>0</v>
      </c>
      <c r="G162" s="79">
        <v>0</v>
      </c>
      <c r="H162" s="79">
        <v>0</v>
      </c>
      <c r="I162" s="79">
        <f t="shared" si="20"/>
        <v>0</v>
      </c>
      <c r="J162" s="80"/>
      <c r="K162" s="79">
        <f t="shared" si="21"/>
        <v>4</v>
      </c>
      <c r="L162" s="76">
        <f t="shared" si="22"/>
        <v>0</v>
      </c>
      <c r="M162" s="76"/>
      <c r="N162" s="76">
        <f t="shared" si="23"/>
        <v>1</v>
      </c>
      <c r="O162" s="76">
        <f t="shared" si="24"/>
        <v>1</v>
      </c>
      <c r="P162" s="90"/>
    </row>
    <row r="163" spans="1:16" ht="19.5" customHeight="1" x14ac:dyDescent="0.3">
      <c r="A163" s="17">
        <v>107</v>
      </c>
      <c r="B163" s="203" t="s">
        <v>604</v>
      </c>
      <c r="C163" s="204"/>
      <c r="D163" s="81">
        <v>0</v>
      </c>
      <c r="E163" s="79">
        <v>0</v>
      </c>
      <c r="F163" s="79">
        <v>0</v>
      </c>
      <c r="G163" s="79">
        <v>0</v>
      </c>
      <c r="H163" s="79">
        <v>0</v>
      </c>
      <c r="I163" s="79">
        <f t="shared" si="20"/>
        <v>0</v>
      </c>
      <c r="J163" s="80"/>
      <c r="K163" s="79">
        <f t="shared" si="21"/>
        <v>0</v>
      </c>
      <c r="L163" s="76" t="str">
        <f t="shared" si="22"/>
        <v>-</v>
      </c>
      <c r="M163" s="76"/>
      <c r="N163" s="76" t="str">
        <f t="shared" si="23"/>
        <v>-</v>
      </c>
      <c r="O163" s="76" t="str">
        <f t="shared" si="24"/>
        <v>-</v>
      </c>
      <c r="P163" s="90"/>
    </row>
    <row r="164" spans="1:16" ht="19.5" customHeight="1" x14ac:dyDescent="0.3">
      <c r="A164" s="17">
        <v>108</v>
      </c>
      <c r="B164" s="203" t="s">
        <v>605</v>
      </c>
      <c r="C164" s="204"/>
      <c r="D164" s="81">
        <v>0</v>
      </c>
      <c r="E164" s="79">
        <v>3</v>
      </c>
      <c r="F164" s="79">
        <v>0</v>
      </c>
      <c r="G164" s="79">
        <v>0</v>
      </c>
      <c r="H164" s="79">
        <v>0</v>
      </c>
      <c r="I164" s="79">
        <f t="shared" si="20"/>
        <v>0</v>
      </c>
      <c r="J164" s="80"/>
      <c r="K164" s="79">
        <f t="shared" si="21"/>
        <v>3</v>
      </c>
      <c r="L164" s="76">
        <f t="shared" si="22"/>
        <v>0</v>
      </c>
      <c r="M164" s="76"/>
      <c r="N164" s="76">
        <f t="shared" si="23"/>
        <v>1</v>
      </c>
      <c r="O164" s="76">
        <f t="shared" si="24"/>
        <v>1</v>
      </c>
      <c r="P164" s="90"/>
    </row>
    <row r="165" spans="1:16" ht="19.5" customHeight="1" x14ac:dyDescent="0.3">
      <c r="A165" s="17">
        <v>109</v>
      </c>
      <c r="B165" s="203" t="s">
        <v>606</v>
      </c>
      <c r="C165" s="204"/>
      <c r="D165" s="82">
        <v>6</v>
      </c>
      <c r="E165" s="79">
        <v>5</v>
      </c>
      <c r="F165" s="79">
        <v>0</v>
      </c>
      <c r="G165" s="79">
        <v>0</v>
      </c>
      <c r="H165" s="79">
        <v>0</v>
      </c>
      <c r="I165" s="79">
        <f t="shared" si="20"/>
        <v>0</v>
      </c>
      <c r="J165" s="80"/>
      <c r="K165" s="79">
        <f t="shared" si="21"/>
        <v>5</v>
      </c>
      <c r="L165" s="76">
        <f t="shared" si="22"/>
        <v>0</v>
      </c>
      <c r="M165" s="76"/>
      <c r="N165" s="76">
        <f t="shared" si="23"/>
        <v>1</v>
      </c>
      <c r="O165" s="76">
        <f t="shared" si="24"/>
        <v>1</v>
      </c>
      <c r="P165" s="78"/>
    </row>
    <row r="166" spans="1:16" ht="19.5" customHeight="1" x14ac:dyDescent="0.3">
      <c r="A166" s="17">
        <v>110</v>
      </c>
      <c r="B166" s="203" t="s">
        <v>607</v>
      </c>
      <c r="C166" s="204"/>
      <c r="D166" s="82">
        <v>0</v>
      </c>
      <c r="E166" s="79">
        <v>1</v>
      </c>
      <c r="F166" s="79">
        <v>0</v>
      </c>
      <c r="G166" s="79">
        <v>0</v>
      </c>
      <c r="H166" s="79">
        <v>0</v>
      </c>
      <c r="I166" s="79">
        <f t="shared" si="20"/>
        <v>0</v>
      </c>
      <c r="J166" s="80"/>
      <c r="K166" s="79">
        <f t="shared" si="21"/>
        <v>1</v>
      </c>
      <c r="L166" s="76">
        <f t="shared" si="22"/>
        <v>0</v>
      </c>
      <c r="M166" s="76"/>
      <c r="N166" s="76">
        <f t="shared" si="23"/>
        <v>1</v>
      </c>
      <c r="O166" s="76">
        <f t="shared" si="24"/>
        <v>1</v>
      </c>
      <c r="P166" s="78"/>
    </row>
    <row r="167" spans="1:16" s="89" customFormat="1" ht="55.5" customHeight="1" x14ac:dyDescent="0.3">
      <c r="A167" s="41">
        <v>111</v>
      </c>
      <c r="B167" s="203" t="s">
        <v>608</v>
      </c>
      <c r="C167" s="204"/>
      <c r="D167" s="88">
        <v>2</v>
      </c>
      <c r="E167" s="36">
        <v>10</v>
      </c>
      <c r="F167" s="36">
        <v>0</v>
      </c>
      <c r="G167" s="36">
        <v>2</v>
      </c>
      <c r="H167" s="36">
        <v>0</v>
      </c>
      <c r="I167" s="86">
        <f t="shared" si="20"/>
        <v>2</v>
      </c>
      <c r="J167" s="87"/>
      <c r="K167" s="86">
        <f t="shared" si="21"/>
        <v>8</v>
      </c>
      <c r="L167" s="85">
        <f t="shared" si="22"/>
        <v>0.2</v>
      </c>
      <c r="M167" s="85"/>
      <c r="N167" s="85">
        <f t="shared" si="23"/>
        <v>0.8</v>
      </c>
      <c r="O167" s="85">
        <f t="shared" si="24"/>
        <v>0.8</v>
      </c>
      <c r="P167" s="59" t="s">
        <v>100</v>
      </c>
    </row>
    <row r="168" spans="1:16" s="84" customFormat="1" ht="45" customHeight="1" x14ac:dyDescent="0.3">
      <c r="A168" s="36">
        <v>112</v>
      </c>
      <c r="B168" s="203" t="s">
        <v>609</v>
      </c>
      <c r="C168" s="204"/>
      <c r="D168" s="88">
        <v>5</v>
      </c>
      <c r="E168" s="86">
        <v>28</v>
      </c>
      <c r="F168" s="86">
        <v>1</v>
      </c>
      <c r="G168" s="86">
        <v>0</v>
      </c>
      <c r="H168" s="86">
        <v>0</v>
      </c>
      <c r="I168" s="86">
        <f t="shared" si="20"/>
        <v>1</v>
      </c>
      <c r="J168" s="87"/>
      <c r="K168" s="86">
        <f t="shared" si="21"/>
        <v>27</v>
      </c>
      <c r="L168" s="85">
        <f t="shared" si="22"/>
        <v>3.5714285714285712E-2</v>
      </c>
      <c r="M168" s="85"/>
      <c r="N168" s="85">
        <f t="shared" si="23"/>
        <v>0.9642857142857143</v>
      </c>
      <c r="O168" s="85">
        <f t="shared" si="24"/>
        <v>0.9642857142857143</v>
      </c>
      <c r="P168" s="16" t="s">
        <v>99</v>
      </c>
    </row>
    <row r="169" spans="1:16" ht="33.75" customHeight="1" x14ac:dyDescent="0.3">
      <c r="A169" s="83">
        <v>113</v>
      </c>
      <c r="B169" s="203" t="s">
        <v>610</v>
      </c>
      <c r="C169" s="204"/>
      <c r="D169" s="82">
        <v>0</v>
      </c>
      <c r="E169" s="81">
        <v>0</v>
      </c>
      <c r="F169" s="79">
        <v>0</v>
      </c>
      <c r="G169" s="79">
        <v>0</v>
      </c>
      <c r="H169" s="79">
        <v>0</v>
      </c>
      <c r="I169" s="79">
        <f t="shared" si="20"/>
        <v>0</v>
      </c>
      <c r="J169" s="80"/>
      <c r="K169" s="79">
        <f t="shared" si="21"/>
        <v>0</v>
      </c>
      <c r="L169" s="76" t="str">
        <f t="shared" si="22"/>
        <v>-</v>
      </c>
      <c r="M169" s="76"/>
      <c r="N169" s="76" t="str">
        <f t="shared" si="23"/>
        <v>-</v>
      </c>
      <c r="O169" s="76" t="str">
        <f t="shared" si="24"/>
        <v>-</v>
      </c>
      <c r="P169" s="78"/>
    </row>
    <row r="170" spans="1:16" ht="33.75" customHeight="1" x14ac:dyDescent="0.3">
      <c r="A170" s="83">
        <v>114</v>
      </c>
      <c r="B170" s="203" t="s">
        <v>611</v>
      </c>
      <c r="C170" s="204"/>
      <c r="D170" s="82">
        <v>0</v>
      </c>
      <c r="E170" s="81">
        <v>0</v>
      </c>
      <c r="F170" s="79">
        <v>0</v>
      </c>
      <c r="G170" s="79">
        <v>0</v>
      </c>
      <c r="H170" s="79">
        <v>0</v>
      </c>
      <c r="I170" s="79">
        <f t="shared" si="20"/>
        <v>0</v>
      </c>
      <c r="J170" s="80"/>
      <c r="K170" s="79">
        <f t="shared" si="21"/>
        <v>0</v>
      </c>
      <c r="L170" s="76" t="str">
        <f t="shared" si="22"/>
        <v>-</v>
      </c>
      <c r="M170" s="76"/>
      <c r="N170" s="76" t="str">
        <f t="shared" si="23"/>
        <v>-</v>
      </c>
      <c r="O170" s="76" t="str">
        <f t="shared" si="24"/>
        <v>-</v>
      </c>
      <c r="P170" s="78"/>
    </row>
    <row r="171" spans="1:16" s="73" customFormat="1" x14ac:dyDescent="0.3">
      <c r="A171" s="215" t="s">
        <v>98</v>
      </c>
      <c r="B171" s="216"/>
      <c r="C171" s="217"/>
      <c r="D171" s="77">
        <f>SUM(D68:D170)</f>
        <v>17469</v>
      </c>
      <c r="E171" s="77">
        <f t="shared" ref="E171:L171" si="25">SUM(E69:E170)</f>
        <v>17634</v>
      </c>
      <c r="F171" s="77">
        <f t="shared" si="25"/>
        <v>34</v>
      </c>
      <c r="G171" s="77">
        <f t="shared" si="25"/>
        <v>40</v>
      </c>
      <c r="H171" s="77">
        <f t="shared" si="25"/>
        <v>0</v>
      </c>
      <c r="I171" s="77">
        <f t="shared" si="25"/>
        <v>74</v>
      </c>
      <c r="J171" s="77">
        <f t="shared" si="25"/>
        <v>0</v>
      </c>
      <c r="K171" s="77">
        <f t="shared" si="25"/>
        <v>17560</v>
      </c>
      <c r="L171" s="77">
        <f t="shared" si="25"/>
        <v>1.1386370160047801</v>
      </c>
      <c r="M171" s="75"/>
      <c r="N171" s="76"/>
      <c r="O171" s="75"/>
      <c r="P171" s="74"/>
    </row>
    <row r="172" spans="1:16" x14ac:dyDescent="0.3">
      <c r="C172" s="72"/>
    </row>
  </sheetData>
  <mergeCells count="116">
    <mergeCell ref="A171:C171"/>
    <mergeCell ref="B94:C94"/>
    <mergeCell ref="B123:C123"/>
    <mergeCell ref="B160:C160"/>
    <mergeCell ref="B168:C168"/>
    <mergeCell ref="B169:C169"/>
    <mergeCell ref="B170:C170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A54:A56"/>
    <mergeCell ref="A57:A58"/>
    <mergeCell ref="A59:A61"/>
    <mergeCell ref="A62:A64"/>
    <mergeCell ref="A65:A67"/>
    <mergeCell ref="B93:C93"/>
    <mergeCell ref="A2:P2"/>
    <mergeCell ref="B74:C74"/>
    <mergeCell ref="B85:C85"/>
    <mergeCell ref="B91:C91"/>
    <mergeCell ref="B92:C92"/>
    <mergeCell ref="A6:A11"/>
    <mergeCell ref="A12:A15"/>
    <mergeCell ref="A16:A21"/>
    <mergeCell ref="A22:A26"/>
    <mergeCell ref="A27:A29"/>
    <mergeCell ref="A30:A35"/>
    <mergeCell ref="A36:A40"/>
    <mergeCell ref="A41:A43"/>
    <mergeCell ref="A44:A48"/>
    <mergeCell ref="A49:A53"/>
    <mergeCell ref="B75:C75"/>
    <mergeCell ref="B76:C76"/>
    <mergeCell ref="B77:C77"/>
    <mergeCell ref="B78:C78"/>
    <mergeCell ref="B79:C79"/>
    <mergeCell ref="B69:C69"/>
    <mergeCell ref="B70:C70"/>
    <mergeCell ref="B71:C71"/>
    <mergeCell ref="B72:C72"/>
    <mergeCell ref="B73:C73"/>
    <mergeCell ref="B87:C87"/>
    <mergeCell ref="B89:C89"/>
    <mergeCell ref="B90:C90"/>
    <mergeCell ref="B95:C95"/>
    <mergeCell ref="B96:C96"/>
    <mergeCell ref="B80:C80"/>
    <mergeCell ref="B82:C82"/>
    <mergeCell ref="B83:C83"/>
    <mergeCell ref="B84:C84"/>
    <mergeCell ref="B86:C86"/>
    <mergeCell ref="B112:C112"/>
    <mergeCell ref="B113:C113"/>
    <mergeCell ref="B114:C114"/>
    <mergeCell ref="B115:C115"/>
    <mergeCell ref="B116:C116"/>
    <mergeCell ref="B106:C106"/>
    <mergeCell ref="B107:C107"/>
    <mergeCell ref="B109:C109"/>
    <mergeCell ref="B110:C110"/>
    <mergeCell ref="B111:C111"/>
    <mergeCell ref="B122:C122"/>
    <mergeCell ref="B124:C124"/>
    <mergeCell ref="B125:C125"/>
    <mergeCell ref="B126:C126"/>
    <mergeCell ref="B127:C127"/>
    <mergeCell ref="B117:C117"/>
    <mergeCell ref="B118:C118"/>
    <mergeCell ref="B119:C119"/>
    <mergeCell ref="B120:C120"/>
    <mergeCell ref="B121:C121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64:C164"/>
    <mergeCell ref="B165:C165"/>
    <mergeCell ref="B166:C166"/>
    <mergeCell ref="B167:C167"/>
    <mergeCell ref="B158:C158"/>
    <mergeCell ref="B159:C159"/>
    <mergeCell ref="B161:C161"/>
    <mergeCell ref="B162:C162"/>
    <mergeCell ref="B163:C163"/>
  </mergeCells>
  <phoneticPr fontId="19" type="noConversion"/>
  <dataValidations count="2">
    <dataValidation type="whole" allowBlank="1" showInputMessage="1" showErrorMessage="1" sqref="J50:J53 J60:J64 J13:J15 J45:J48 J42:J43 J37:J40 J31:J35 J28:J29 J23:J26 I7:J11 J55:J56 I109:I149 J17:J21 J66:J67 J58 I150:K150 J89:J105 J137:J147 J69:J80 J152:J153 E161:E168 J109:J135 I151:I170 I89:I106 D143:E160 I13:I80 D7:H80 D82:K87 K7:K80 I107:K107 D109:E117 D89:H107 F109:H170 K89:K106 K108:K149 K151:K170" xr:uid="{00000000-0002-0000-0700-000000000000}">
      <formula1>0</formula1>
      <formula2>50000</formula2>
    </dataValidation>
    <dataValidation type="whole" allowBlank="1" showInputMessage="1" showErrorMessage="1" errorTitle="Value Between 0 to 200000" sqref="J151" xr:uid="{00000000-0002-0000-0700-000001000000}">
      <formula1>0</formula1>
      <formula2>200000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 Vehicle</vt:lpstr>
      <vt:lpstr>C Vehicle</vt:lpstr>
      <vt:lpstr>ARMT</vt:lpstr>
      <vt:lpstr>SA</vt:lpstr>
      <vt:lpstr>CBRN</vt:lpstr>
      <vt:lpstr>INSTS</vt:lpstr>
      <vt:lpstr>ARMT!Print_Area</vt:lpstr>
      <vt:lpstr>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hclkemebr_4c</dc:creator>
  <cp:lastModifiedBy>SANJUKTA MUKHERJEE</cp:lastModifiedBy>
  <dcterms:created xsi:type="dcterms:W3CDTF">2015-06-05T18:17:20Z</dcterms:created>
  <dcterms:modified xsi:type="dcterms:W3CDTF">2026-03-23T06:51:35Z</dcterms:modified>
</cp:coreProperties>
</file>
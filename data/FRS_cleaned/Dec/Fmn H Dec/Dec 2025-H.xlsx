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2BEAB2B1-EE64-4A1C-A8D4-9219638E8A5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 Vehicle" sheetId="12" r:id="rId1"/>
    <sheet name="C Vehicle" sheetId="25" r:id="rId2"/>
    <sheet name="ARMT" sheetId="2" r:id="rId3"/>
    <sheet name="SA" sheetId="3" r:id="rId4"/>
    <sheet name="INSTS" sheetId="8" r:id="rId5"/>
    <sheet name="CBRN" sheetId="29" r:id="rId6"/>
  </sheets>
  <definedNames>
    <definedName name="_xlnm._FilterDatabase" localSheetId="2" hidden="1">ARMT!$A$6:$T$10</definedName>
    <definedName name="_xlnm._FilterDatabase" localSheetId="0" hidden="1">'B Vehicle'!$A$6:$J$24</definedName>
    <definedName name="_xlnm._FilterDatabase" localSheetId="1" hidden="1">'C Vehicle'!$A$3:$M$19</definedName>
    <definedName name="_xlnm._FilterDatabase" localSheetId="5" hidden="1">CBRN!$A$3:$J$11</definedName>
    <definedName name="_xlnm._FilterDatabase" localSheetId="4" hidden="1">INSTS!$A$5:$P$19</definedName>
    <definedName name="_xlnm._FilterDatabase" localSheetId="3" hidden="1">SA!$A$5:$Q$17</definedName>
    <definedName name="_xlnm.Print_Area" localSheetId="2">ARMT!$A$1:$T$9</definedName>
    <definedName name="_xlnm.Print_Area" localSheetId="0">'B Vehicle'!$A$1:$J$24</definedName>
    <definedName name="_xlnm.Print_Area" localSheetId="1">'C Vehicle'!$A$1:$J$27</definedName>
    <definedName name="_xlnm.Print_Area" localSheetId="5">CBRN!$A$1:$L$11</definedName>
    <definedName name="_xlnm.Print_Area" localSheetId="4">INSTS!$A$1:$P$19</definedName>
    <definedName name="_xlnm.Print_Area" localSheetId="3">SA!$A$1:$Q$15</definedName>
    <definedName name="_xlnm.Print_Titles" localSheetId="4">INSTS!$3:$4</definedName>
    <definedName name="_xlnm.Print_Titles" localSheetId="3">SA!$3:$4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9" i="2"/>
  <c r="F9" i="2"/>
  <c r="G9" i="2"/>
  <c r="H9" i="2"/>
  <c r="I9" i="2"/>
  <c r="J9" i="2"/>
  <c r="K9" i="2"/>
  <c r="L9" i="2"/>
  <c r="M9" i="2"/>
  <c r="N9" i="2"/>
  <c r="O9" i="2"/>
  <c r="C9" i="2"/>
  <c r="P8" i="2"/>
  <c r="Q8" i="2"/>
  <c r="R8" i="2"/>
  <c r="R7" i="2"/>
  <c r="Q7" i="2"/>
  <c r="P7" i="2"/>
  <c r="S7" i="2" l="1"/>
  <c r="S8" i="2"/>
  <c r="K15" i="8" l="1"/>
  <c r="N19" i="8" l="1"/>
  <c r="M19" i="8"/>
  <c r="L19" i="8"/>
  <c r="N18" i="8"/>
  <c r="M18" i="8"/>
  <c r="L18" i="8"/>
  <c r="N17" i="8"/>
  <c r="M17" i="8"/>
  <c r="L17" i="8"/>
  <c r="N16" i="8"/>
  <c r="M16" i="8"/>
  <c r="L16" i="8"/>
  <c r="N15" i="8"/>
  <c r="M15" i="8"/>
  <c r="L15" i="8"/>
  <c r="N14" i="8"/>
  <c r="M14" i="8"/>
  <c r="L14" i="8"/>
  <c r="N13" i="8"/>
  <c r="M13" i="8"/>
  <c r="L13" i="8"/>
  <c r="N12" i="8"/>
  <c r="M12" i="8"/>
  <c r="L12" i="8"/>
  <c r="N11" i="8"/>
  <c r="M11" i="8"/>
  <c r="L11" i="8"/>
  <c r="N10" i="8"/>
  <c r="M10" i="8"/>
  <c r="L10" i="8"/>
  <c r="N9" i="8"/>
  <c r="M9" i="8"/>
  <c r="L9" i="8"/>
  <c r="N8" i="8"/>
  <c r="M8" i="8"/>
  <c r="L8" i="8"/>
  <c r="N7" i="8"/>
  <c r="M7" i="8"/>
  <c r="N6" i="8"/>
  <c r="M6" i="8"/>
  <c r="L6" i="8"/>
  <c r="O15" i="3"/>
  <c r="N15" i="3"/>
  <c r="M15" i="3"/>
  <c r="O14" i="3"/>
  <c r="N14" i="3"/>
  <c r="M14" i="3"/>
  <c r="O13" i="3"/>
  <c r="N13" i="3"/>
  <c r="M13" i="3"/>
  <c r="O12" i="3"/>
  <c r="N12" i="3"/>
  <c r="M12" i="3"/>
  <c r="O11" i="3"/>
  <c r="N11" i="3"/>
  <c r="M11" i="3"/>
  <c r="O10" i="3"/>
  <c r="N10" i="3"/>
  <c r="M10" i="3"/>
  <c r="P9" i="3"/>
  <c r="O9" i="3"/>
  <c r="N9" i="3"/>
  <c r="M9" i="3"/>
  <c r="P8" i="3"/>
  <c r="O8" i="3"/>
  <c r="N8" i="3"/>
  <c r="M8" i="3"/>
  <c r="O7" i="3"/>
  <c r="N7" i="3"/>
  <c r="P7" i="3" s="1"/>
  <c r="M7" i="3"/>
  <c r="O6" i="3"/>
  <c r="N6" i="3"/>
  <c r="M6" i="3"/>
  <c r="O18" i="8" l="1"/>
  <c r="O16" i="8"/>
  <c r="P13" i="3"/>
  <c r="P14" i="3"/>
  <c r="O12" i="8"/>
  <c r="O8" i="8"/>
  <c r="O13" i="8"/>
  <c r="O10" i="8"/>
  <c r="O15" i="8"/>
  <c r="P11" i="3"/>
  <c r="O7" i="8"/>
  <c r="O11" i="8"/>
  <c r="O17" i="8"/>
  <c r="O6" i="8"/>
  <c r="O9" i="8"/>
  <c r="O14" i="8"/>
  <c r="O19" i="8"/>
  <c r="P10" i="3"/>
  <c r="P15" i="3"/>
  <c r="P6" i="3"/>
  <c r="P12" i="3"/>
</calcChain>
</file>

<file path=xl/sharedStrings.xml><?xml version="1.0" encoding="utf-8"?>
<sst xmlns="http://schemas.openxmlformats.org/spreadsheetml/2006/main" count="280" uniqueCount="155">
  <si>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</si>
  <si>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</si>
  <si>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</si>
  <si>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</si>
  <si>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</si>
  <si>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</si>
  <si>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</si>
  <si>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</si>
  <si>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</si>
  <si>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</si>
  <si>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</si>
  <si>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</si>
  <si>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</si>
  <si>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</si>
  <si>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</si>
  <si>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</si>
  <si>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</si>
  <si>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</si>
  <si>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</si>
  <si>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</si>
  <si>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</si>
  <si>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</si>
  <si>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</si>
  <si>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</si>
  <si>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</si>
  <si>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</si>
  <si>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</si>
  <si>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</si>
  <si>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</si>
  <si>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</si>
  <si>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</si>
  <si>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</si>
  <si>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</si>
  <si>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</si>
  <si>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</si>
  <si>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</si>
  <si>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</si>
  <si>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</si>
  <si>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</si>
  <si>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</si>
  <si>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</si>
  <si>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</si>
  <si>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</si>
  <si>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</si>
  <si>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FMN READINESS STATE  : ARMT</t>
  </si>
  <si>
    <t>FMN READINESS STATE  : SMALL ARMS</t>
  </si>
  <si>
    <t>Rifle 5.56mm INSAS 1A</t>
  </si>
  <si>
    <t>Rifle 5.56mm INSAS 1A1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</si>
  <si>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</si>
  <si>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</si>
  <si>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</si>
  <si>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</si>
  <si>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 xml:space="preserve"> </t>
  </si>
  <si>
    <t>Auth 
(UE)</t>
  </si>
  <si>
    <t>Total</t>
  </si>
  <si>
    <t>Ser No</t>
  </si>
  <si>
    <t>M/C 350CC RE</t>
  </si>
  <si>
    <t xml:space="preserve"> Under OH /MR/R4/
FR/ Base Repair</t>
  </si>
  <si>
    <t>Eng/
 Brl</t>
  </si>
  <si>
    <t xml:space="preserve">                                                    </t>
  </si>
  <si>
    <t xml:space="preserve">Appx E
</t>
  </si>
  <si>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2"/>
        <rFont val="Arial"/>
        <family val="2"/>
      </rPr>
      <t>APPX A-III (a) (C veh)</t>
    </r>
  </si>
  <si>
    <t>FMN READINESS STATE :  C VEHS</t>
  </si>
  <si>
    <r>
      <rPr>
        <b/>
        <u/>
        <sz val="12"/>
        <rFont val="Arial"/>
        <family val="2"/>
      </rPr>
      <t>Appx C</t>
    </r>
    <r>
      <rPr>
        <u/>
        <sz val="12"/>
        <rFont val="Arial"/>
        <family val="2"/>
      </rPr>
      <t xml:space="preserve">
</t>
    </r>
  </si>
  <si>
    <t xml:space="preserve">                                                                                                                                                                                                              APPX A (B veh)</t>
  </si>
  <si>
    <t>Appx A (C Veh)</t>
  </si>
  <si>
    <t xml:space="preserve">Remarks
(Demand details of VOR/EOA ) </t>
  </si>
  <si>
    <t>-</t>
  </si>
  <si>
    <t>206 x Rif 5.56mm INSAS of 1872 Rkt Regt held in lieu of Assault Rif.</t>
  </si>
  <si>
    <t>01 x NMC for Control unit, SOCRIGS &amp; Block AP faulty &amp; demanded. 
01 x PMC for Control Unit demanded.</t>
  </si>
  <si>
    <t>01x veh EOA due to Crane Portion UNSV. Case has been taken up for incl in BOH. Consideration for incl in yr 2026-27 has been recd vide hQ BWG letter No 70303/HRV AV-15/P1B dt 26 Jun 2025.</t>
  </si>
  <si>
    <t>MET-I &amp; MET-II</t>
  </si>
  <si>
    <t xml:space="preserve">Appx B
                                                                                                                                                                                                                          </t>
  </si>
  <si>
    <t>01x WWR</t>
  </si>
  <si>
    <t>Fitted on CSV &amp; MRS</t>
  </si>
  <si>
    <t>Fitted on MET</t>
  </si>
  <si>
    <t>Fitted on MRS</t>
  </si>
  <si>
    <t>Eqpt incl as per EME-1 return Sep 2025.
01xSub Caliber tube EOA since 2013.</t>
  </si>
  <si>
    <t>02 x VOR for Electronic Control Unit (ECU) demanded for TLV &amp; LV.</t>
  </si>
  <si>
    <t>Appx  D</t>
  </si>
  <si>
    <t>STATUS OF DEFECT RECORS OF CBRN EQPT TO BE SUSTAINED BY EME</t>
  </si>
  <si>
    <t>S/No</t>
  </si>
  <si>
    <t xml:space="preserve">Make &amp; Type </t>
  </si>
  <si>
    <t>Remarks</t>
  </si>
  <si>
    <t xml:space="preserve">Dependency </t>
  </si>
  <si>
    <t>UNSV</t>
  </si>
  <si>
    <t xml:space="preserve">Auth </t>
  </si>
  <si>
    <t>Held</t>
  </si>
  <si>
    <t>DRWO</t>
  </si>
  <si>
    <t>DR Raised</t>
  </si>
  <si>
    <t>S'</t>
  </si>
  <si>
    <t>(a) 05 x CSV.
(b) 03 x MRS-AR</t>
  </si>
  <si>
    <t xml:space="preserve">03x CM decl R4 { (Retaining Cap) RRC sear off }    during AI Insp of Small Arms of 1872 Rkt Regt </t>
  </si>
  <si>
    <t>FMN READINESS STATE : 'B' VEH OF 174 (I) RKT REGT WKSP (SMERCH) FOR THE MONTH OF DEC 2025</t>
  </si>
  <si>
    <t>02 x Maruti Jimny held against ACSFP Store.
02 Bolero Pick up collected from 41 Veh coy Guwahati on 23 Oct 25 against ACSFP Store.</t>
  </si>
  <si>
    <t>B1</t>
  </si>
  <si>
    <t>B2</t>
  </si>
  <si>
    <t>B3</t>
  </si>
  <si>
    <t>B9</t>
  </si>
  <si>
    <t>B19</t>
  </si>
  <si>
    <t>B24</t>
  </si>
  <si>
    <t>B34</t>
  </si>
  <si>
    <t>B42</t>
  </si>
  <si>
    <t>B43</t>
  </si>
  <si>
    <t>B44</t>
  </si>
  <si>
    <t>B57</t>
  </si>
  <si>
    <t>B62</t>
  </si>
  <si>
    <t>B63</t>
  </si>
  <si>
    <t>B66</t>
  </si>
  <si>
    <t>B67</t>
  </si>
  <si>
    <t>B72</t>
  </si>
  <si>
    <t>B78</t>
  </si>
  <si>
    <t>C9</t>
  </si>
  <si>
    <t>C23</t>
  </si>
  <si>
    <t>C71</t>
  </si>
  <si>
    <t>C72</t>
  </si>
  <si>
    <t>C78</t>
  </si>
  <si>
    <t>C84</t>
  </si>
  <si>
    <t>C123</t>
  </si>
  <si>
    <t>C165</t>
  </si>
  <si>
    <t>C167</t>
  </si>
  <si>
    <t>C176</t>
  </si>
  <si>
    <t>C213</t>
  </si>
  <si>
    <t>C212</t>
  </si>
  <si>
    <t>C215</t>
  </si>
  <si>
    <t>C216</t>
  </si>
  <si>
    <t>D20</t>
  </si>
  <si>
    <t>D21</t>
  </si>
  <si>
    <t>S6</t>
  </si>
  <si>
    <t>S10</t>
  </si>
  <si>
    <t>S21</t>
  </si>
  <si>
    <t>S22</t>
  </si>
  <si>
    <t>S24</t>
  </si>
  <si>
    <t>S26</t>
  </si>
  <si>
    <t>S57</t>
  </si>
  <si>
    <t>S58</t>
  </si>
  <si>
    <t>S19</t>
  </si>
  <si>
    <t>S20</t>
  </si>
  <si>
    <t>S28</t>
  </si>
  <si>
    <t>S35</t>
  </si>
  <si>
    <t>S36</t>
  </si>
  <si>
    <t>S37</t>
  </si>
  <si>
    <t>S51</t>
  </si>
  <si>
    <t>S53</t>
  </si>
  <si>
    <t>S62</t>
  </si>
  <si>
    <t>S65</t>
  </si>
  <si>
    <t>S70</t>
  </si>
  <si>
    <t>S75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</si>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</sst>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</cellStyleXfs>
  <cellXfs count="19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3" fillId="2" borderId="1" xfId="2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top"/>
    </xf>
    <xf numFmtId="0" fontId="7" fillId="2" borderId="0" xfId="0" applyFont="1" applyFill="1" applyAlignment="1">
      <alignment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8" fillId="2" borderId="0" xfId="0" applyFont="1" applyFill="1"/>
    <xf numFmtId="0" fontId="3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indent="2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 indent="2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8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top" wrapText="1"/>
    </xf>
    <xf numFmtId="10" fontId="5" fillId="2" borderId="0" xfId="0" applyNumberFormat="1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90"/>
    </xf>
    <xf numFmtId="1" fontId="4" fillId="2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/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wrapText="1"/>
      <protection locked="0"/>
    </xf>
    <xf numFmtId="0" fontId="3" fillId="2" borderId="1" xfId="5" applyFont="1" applyFill="1" applyBorder="1" applyAlignment="1" applyProtection="1">
      <alignment horizontal="left" vertical="top" wrapText="1"/>
      <protection locked="0"/>
    </xf>
    <xf numFmtId="10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5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9" fillId="0" borderId="1" xfId="0" applyFont="1" applyBorder="1"/>
    <xf numFmtId="0" fontId="9" fillId="0" borderId="0" xfId="0" applyFont="1"/>
    <xf numFmtId="1" fontId="3" fillId="2" borderId="5" xfId="0" applyNumberFormat="1" applyFont="1" applyFill="1" applyBorder="1" applyAlignment="1">
      <alignment vertical="top" wrapText="1"/>
    </xf>
    <xf numFmtId="1" fontId="3" fillId="2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1" xfId="5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2" borderId="1" xfId="5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13" fillId="2" borderId="1" xfId="0" applyFont="1" applyFill="1" applyBorder="1" applyAlignment="1" applyProtection="1">
      <alignment horizontal="left" vertical="center" wrapText="1"/>
      <protection locked="0"/>
    </xf>
    <xf numFmtId="0" fontId="13" fillId="2" borderId="1" xfId="5" applyFont="1" applyFill="1" applyBorder="1" applyAlignment="1">
      <alignment horizontal="left" vertical="center" wrapText="1"/>
    </xf>
    <xf numFmtId="0" fontId="13" fillId="2" borderId="1" xfId="0" applyFont="1" applyFill="1" applyBorder="1" applyAlignment="1" applyProtection="1">
      <alignment vertical="center" wrapText="1"/>
      <protection locked="0"/>
    </xf>
    <xf numFmtId="0" fontId="13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1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5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3" fillId="2" borderId="1" xfId="0" applyFont="1" applyFill="1" applyBorder="1" applyAlignment="1" applyProtection="1">
      <alignment horizontal="left" vertical="top"/>
      <protection locked="0"/>
    </xf>
    <xf numFmtId="0" fontId="14" fillId="2" borderId="0" xfId="0" applyFont="1" applyFill="1"/>
    <xf numFmtId="10" fontId="3" fillId="2" borderId="1" xfId="3" applyNumberFormat="1" applyFont="1" applyFill="1" applyBorder="1" applyAlignment="1" applyProtection="1">
      <alignment horizontal="center" vertical="top"/>
    </xf>
    <xf numFmtId="1" fontId="3" fillId="2" borderId="1" xfId="0" applyNumberFormat="1" applyFont="1" applyFill="1" applyBorder="1" applyAlignment="1" applyProtection="1">
      <alignment horizontal="center" vertical="top"/>
      <protection locked="0"/>
    </xf>
    <xf numFmtId="1" fontId="3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Protection="1">
      <protection locked="0"/>
    </xf>
    <xf numFmtId="0" fontId="16" fillId="2" borderId="0" xfId="0" applyFont="1" applyFill="1" applyAlignment="1">
      <alignment horizontal="left" indent="2"/>
    </xf>
    <xf numFmtId="0" fontId="13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13" fillId="0" borderId="0" xfId="0" applyFont="1"/>
    <xf numFmtId="0" fontId="3" fillId="0" borderId="1" xfId="2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wrapText="1"/>
    </xf>
    <xf numFmtId="0" fontId="3" fillId="2" borderId="1" xfId="6" applyFont="1" applyFill="1" applyBorder="1" applyAlignment="1">
      <alignment vertical="top" wrapText="1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15" fillId="2" borderId="1" xfId="0" applyFont="1" applyFill="1" applyBorder="1" applyAlignment="1" applyProtection="1">
      <alignment vertical="top" wrapText="1"/>
      <protection locked="0"/>
    </xf>
    <xf numFmtId="1" fontId="4" fillId="2" borderId="1" xfId="0" applyNumberFormat="1" applyFont="1" applyFill="1" applyBorder="1" applyAlignment="1" applyProtection="1">
      <alignment horizontal="center" vertical="top"/>
      <protection locked="0"/>
    </xf>
    <xf numFmtId="1" fontId="4" fillId="2" borderId="1" xfId="0" applyNumberFormat="1" applyFont="1" applyFill="1" applyBorder="1" applyAlignment="1">
      <alignment horizontal="center" vertical="top"/>
    </xf>
    <xf numFmtId="1" fontId="4" fillId="2" borderId="1" xfId="0" applyNumberFormat="1" applyFont="1" applyFill="1" applyBorder="1" applyAlignment="1">
      <alignment horizontal="center" vertical="top" wrapText="1"/>
    </xf>
    <xf numFmtId="10" fontId="4" fillId="2" borderId="1" xfId="3" applyNumberFormat="1" applyFont="1" applyFill="1" applyBorder="1" applyAlignment="1" applyProtection="1">
      <alignment horizontal="center" vertical="top"/>
    </xf>
    <xf numFmtId="0" fontId="15" fillId="4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 applyProtection="1">
      <alignment horizontal="left" vertical="top" wrapText="1"/>
      <protection locked="0"/>
    </xf>
    <xf numFmtId="0" fontId="18" fillId="2" borderId="0" xfId="0" applyFont="1" applyFill="1"/>
    <xf numFmtId="0" fontId="15" fillId="2" borderId="1" xfId="0" applyFont="1" applyFill="1" applyBorder="1" applyAlignment="1">
      <alignment vertical="top" wrapText="1"/>
    </xf>
    <xf numFmtId="0" fontId="18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1" fontId="3" fillId="2" borderId="3" xfId="0" applyNumberFormat="1" applyFont="1" applyFill="1" applyBorder="1" applyAlignment="1" applyProtection="1">
      <alignment horizontal="center" vertical="top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 applyProtection="1">
      <alignment horizontal="left" wrapText="1"/>
      <protection locked="0"/>
    </xf>
    <xf numFmtId="0" fontId="17" fillId="2" borderId="0" xfId="0" applyFont="1" applyFill="1"/>
    <xf numFmtId="1" fontId="3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 applyProtection="1">
      <alignment vertical="center" wrapText="1"/>
      <protection locked="0"/>
    </xf>
    <xf numFmtId="0" fontId="15" fillId="3" borderId="0" xfId="0" applyFont="1" applyFill="1" applyAlignment="1">
      <alignment horizontal="left" vertical="center"/>
    </xf>
    <xf numFmtId="1" fontId="3" fillId="3" borderId="1" xfId="0" applyNumberFormat="1" applyFont="1" applyFill="1" applyBorder="1" applyAlignment="1" applyProtection="1">
      <alignment horizontal="center" vertical="center"/>
      <protection locked="0"/>
    </xf>
    <xf numFmtId="1" fontId="13" fillId="3" borderId="1" xfId="0" applyNumberFormat="1" applyFont="1" applyFill="1" applyBorder="1" applyAlignment="1" applyProtection="1">
      <alignment horizontal="center" vertical="center"/>
      <protection locked="0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0" fontId="3" fillId="3" borderId="1" xfId="3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/>
    </xf>
  </cellXfs>
  <cellStyles count="10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Percent" xfId="3" builtinId="5"/>
  </cellStyles>
  <dxfs count="0"/>
  <tableStyles count="0" defaultTableStyle="TableStyleMedium9" defaultPivotStyle="PivotStyleLight16"/>
  <colors>
    <mruColors>
      <color rgb="FF147216"/>
      <color rgb="FF0000FF"/>
      <color rgb="FF1DA3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24"/>
  <sheetViews>
    <sheetView view="pageBreakPreview" zoomScaleNormal="70" zoomScaleSheetLayoutView="100" workbookViewId="0">
      <pane ySplit="5" topLeftCell="A13" activePane="bottomLeft" state="frozen"/>
      <selection activeCell="C137" sqref="C137"/>
      <selection pane="bottomLeft" activeCell="A7" sqref="A7:A24"/>
    </sheetView>
  </sheetViews>
  <sheetFormatPr defaultColWidth="9.109375" defaultRowHeight="15" x14ac:dyDescent="0.25"/>
  <cols>
    <col min="1" max="1" width="8.6640625" style="6" customWidth="1"/>
    <col min="2" max="2" width="43" style="7" customWidth="1"/>
    <col min="3" max="3" width="11.44140625" style="6" customWidth="1"/>
    <col min="4" max="4" width="11.109375" style="79" customWidth="1"/>
    <col min="5" max="5" width="7.33203125" style="6" customWidth="1"/>
    <col min="6" max="6" width="5.6640625" style="6" customWidth="1"/>
    <col min="7" max="7" width="7.109375" style="6" customWidth="1"/>
    <col min="8" max="8" width="8.109375" style="6" customWidth="1"/>
    <col min="9" max="9" width="12.5546875" style="6" customWidth="1"/>
    <col min="10" max="10" width="54" style="15" customWidth="1"/>
    <col min="11" max="11" width="6.109375" style="6" customWidth="1"/>
    <col min="12" max="30" width="9.109375" style="6"/>
    <col min="31" max="31" width="9.109375" style="6" customWidth="1"/>
    <col min="32" max="16384" width="9.109375" style="6"/>
  </cols>
  <sheetData>
    <row r="1" spans="1:38" ht="18" customHeight="1" x14ac:dyDescent="0.25">
      <c r="A1" s="169" t="s">
        <v>64</v>
      </c>
      <c r="B1" s="167"/>
      <c r="C1" s="167"/>
      <c r="D1" s="168"/>
      <c r="E1" s="167"/>
      <c r="F1" s="167"/>
      <c r="G1" s="167"/>
      <c r="H1" s="167"/>
      <c r="I1" s="167"/>
      <c r="J1" s="167"/>
    </row>
    <row r="2" spans="1:38" ht="8.25" customHeight="1" x14ac:dyDescent="0.25">
      <c r="A2" s="167"/>
      <c r="B2" s="167"/>
      <c r="C2" s="167"/>
      <c r="D2" s="168"/>
      <c r="E2" s="167"/>
      <c r="F2" s="167"/>
      <c r="G2" s="167"/>
      <c r="H2" s="167"/>
      <c r="I2" s="167"/>
      <c r="J2" s="167"/>
    </row>
    <row r="3" spans="1:38" ht="24.75" customHeight="1" x14ac:dyDescent="0.3">
      <c r="A3" s="167" t="s">
        <v>93</v>
      </c>
      <c r="B3" s="167"/>
      <c r="C3" s="167"/>
      <c r="D3" s="168"/>
      <c r="E3" s="167"/>
      <c r="F3" s="167"/>
      <c r="G3" s="167"/>
      <c r="H3" s="167"/>
      <c r="I3" s="167"/>
      <c r="J3" s="167"/>
    </row>
    <row r="4" spans="1:38" s="1" customFormat="1" ht="31.5" customHeight="1" x14ac:dyDescent="0.3">
      <c r="A4" s="88" t="s">
        <v>55</v>
      </c>
      <c r="B4" s="108" t="s">
        <v>14</v>
      </c>
      <c r="C4" s="171" t="s">
        <v>17</v>
      </c>
      <c r="D4" s="172"/>
      <c r="E4" s="170"/>
      <c r="F4" s="170"/>
      <c r="G4" s="170"/>
      <c r="H4" s="170"/>
      <c r="I4" s="87" t="s">
        <v>33</v>
      </c>
      <c r="J4" s="88" t="s">
        <v>50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s="1" customFormat="1" ht="15.6" x14ac:dyDescent="0.3">
      <c r="A5" s="35"/>
      <c r="B5" s="35"/>
      <c r="C5" s="88" t="s">
        <v>25</v>
      </c>
      <c r="D5" s="108" t="s">
        <v>26</v>
      </c>
      <c r="E5" s="87" t="s">
        <v>34</v>
      </c>
      <c r="F5" s="87" t="s">
        <v>35</v>
      </c>
      <c r="G5" s="87" t="s">
        <v>38</v>
      </c>
      <c r="H5" s="38" t="s">
        <v>54</v>
      </c>
      <c r="I5" s="44"/>
      <c r="J5" s="4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s="3" customFormat="1" ht="18.75" customHeight="1" x14ac:dyDescent="0.3">
      <c r="A6" s="1" t="s">
        <v>1</v>
      </c>
      <c r="B6" s="26" t="s">
        <v>2</v>
      </c>
      <c r="C6" s="1" t="s">
        <v>3</v>
      </c>
      <c r="D6" s="103" t="s">
        <v>4</v>
      </c>
      <c r="E6" s="1" t="s">
        <v>6</v>
      </c>
      <c r="F6" s="1" t="s">
        <v>8</v>
      </c>
      <c r="G6" s="1" t="s">
        <v>11</v>
      </c>
      <c r="H6" s="1" t="s">
        <v>12</v>
      </c>
      <c r="I6" s="1" t="s">
        <v>30</v>
      </c>
      <c r="J6" s="46" t="s">
        <v>43</v>
      </c>
    </row>
    <row r="7" spans="1:38" s="130" customFormat="1" ht="45" x14ac:dyDescent="0.3">
      <c r="A7" s="1">
        <v>1</v>
      </c>
      <c r="B7" s="24" t="s">
        <v>95</v>
      </c>
      <c r="C7" s="20">
        <v>23</v>
      </c>
      <c r="D7" s="104">
        <v>16</v>
      </c>
      <c r="E7" s="20"/>
      <c r="F7" s="20"/>
      <c r="G7" s="20"/>
      <c r="H7" s="1"/>
      <c r="I7" s="1">
        <v>16</v>
      </c>
      <c r="J7" s="78" t="s">
        <v>94</v>
      </c>
    </row>
    <row r="8" spans="1:38" s="93" customFormat="1" x14ac:dyDescent="0.3">
      <c r="A8" s="26">
        <v>2</v>
      </c>
      <c r="B8" s="24" t="s">
        <v>96</v>
      </c>
      <c r="C8" s="20">
        <v>16</v>
      </c>
      <c r="D8" s="104">
        <v>13</v>
      </c>
      <c r="E8" s="20"/>
      <c r="F8" s="20"/>
      <c r="G8" s="20"/>
      <c r="H8" s="1"/>
      <c r="I8" s="1">
        <v>13</v>
      </c>
      <c r="J8" s="74"/>
    </row>
    <row r="9" spans="1:38" s="105" customFormat="1" x14ac:dyDescent="0.3">
      <c r="A9" s="103">
        <v>3</v>
      </c>
      <c r="B9" s="106" t="s">
        <v>97</v>
      </c>
      <c r="C9" s="104">
        <v>17</v>
      </c>
      <c r="D9" s="104">
        <v>13</v>
      </c>
      <c r="E9" s="104"/>
      <c r="F9" s="104"/>
      <c r="G9" s="104"/>
      <c r="H9" s="103"/>
      <c r="I9" s="103">
        <v>13</v>
      </c>
      <c r="J9" s="107"/>
    </row>
    <row r="10" spans="1:38" s="111" customFormat="1" ht="27" customHeight="1" x14ac:dyDescent="0.3">
      <c r="A10" s="1">
        <v>4</v>
      </c>
      <c r="B10" s="36" t="s">
        <v>98</v>
      </c>
      <c r="C10" s="20">
        <v>3</v>
      </c>
      <c r="D10" s="104">
        <v>3</v>
      </c>
      <c r="E10" s="20"/>
      <c r="F10" s="20"/>
      <c r="G10" s="20"/>
      <c r="H10" s="1"/>
      <c r="I10" s="1">
        <v>3</v>
      </c>
      <c r="J10" s="94"/>
    </row>
    <row r="11" spans="1:38" s="3" customFormat="1" ht="23.25" customHeight="1" x14ac:dyDescent="0.3">
      <c r="A11" s="26">
        <v>5</v>
      </c>
      <c r="B11" s="36" t="s">
        <v>99</v>
      </c>
      <c r="C11" s="20">
        <v>6</v>
      </c>
      <c r="D11" s="104">
        <v>8</v>
      </c>
      <c r="E11" s="20"/>
      <c r="F11" s="20"/>
      <c r="G11" s="20"/>
      <c r="H11" s="1"/>
      <c r="I11" s="1">
        <v>8</v>
      </c>
      <c r="J11" s="23" t="s">
        <v>71</v>
      </c>
    </row>
    <row r="12" spans="1:38" s="71" customFormat="1" ht="30" x14ac:dyDescent="0.3">
      <c r="A12" s="103">
        <v>6</v>
      </c>
      <c r="B12" s="24" t="s">
        <v>100</v>
      </c>
      <c r="C12" s="20">
        <v>7</v>
      </c>
      <c r="D12" s="104">
        <v>8</v>
      </c>
      <c r="E12" s="20"/>
      <c r="F12" s="20"/>
      <c r="G12" s="20"/>
      <c r="H12" s="1"/>
      <c r="I12" s="1">
        <v>8</v>
      </c>
      <c r="J12" s="40" t="s">
        <v>91</v>
      </c>
    </row>
    <row r="13" spans="1:38" s="71" customFormat="1" ht="24.75" customHeight="1" x14ac:dyDescent="0.3">
      <c r="A13" s="1">
        <v>7</v>
      </c>
      <c r="B13" s="24" t="s">
        <v>101</v>
      </c>
      <c r="C13" s="20">
        <v>3</v>
      </c>
      <c r="D13" s="104">
        <v>3</v>
      </c>
      <c r="E13" s="20"/>
      <c r="F13" s="20"/>
      <c r="G13" s="20"/>
      <c r="H13" s="1"/>
      <c r="I13" s="1">
        <v>3</v>
      </c>
      <c r="J13" s="40"/>
    </row>
    <row r="14" spans="1:38" s="136" customFormat="1" ht="42.75" customHeight="1" x14ac:dyDescent="0.3">
      <c r="A14" s="26">
        <v>8</v>
      </c>
      <c r="B14" s="24" t="s">
        <v>102</v>
      </c>
      <c r="C14" s="20">
        <v>24</v>
      </c>
      <c r="D14" s="104">
        <v>26</v>
      </c>
      <c r="E14" s="20">
        <v>2</v>
      </c>
      <c r="F14" s="20"/>
      <c r="G14" s="20"/>
      <c r="H14" s="1">
        <v>2</v>
      </c>
      <c r="I14" s="1">
        <v>24</v>
      </c>
      <c r="J14" s="28" t="s">
        <v>78</v>
      </c>
    </row>
    <row r="15" spans="1:38" s="3" customFormat="1" ht="35.25" customHeight="1" x14ac:dyDescent="0.3">
      <c r="A15" s="103">
        <v>9</v>
      </c>
      <c r="B15" s="24" t="s">
        <v>103</v>
      </c>
      <c r="C15" s="20">
        <v>9</v>
      </c>
      <c r="D15" s="104">
        <v>9</v>
      </c>
      <c r="E15" s="20"/>
      <c r="F15" s="20"/>
      <c r="G15" s="20"/>
      <c r="H15" s="1"/>
      <c r="I15" s="1">
        <v>9</v>
      </c>
      <c r="J15" s="94"/>
    </row>
    <row r="16" spans="1:38" s="3" customFormat="1" ht="35.25" customHeight="1" x14ac:dyDescent="0.3">
      <c r="A16" s="1">
        <v>10</v>
      </c>
      <c r="B16" s="24" t="s">
        <v>104</v>
      </c>
      <c r="C16" s="20">
        <v>18</v>
      </c>
      <c r="D16" s="104">
        <v>18</v>
      </c>
      <c r="E16" s="20"/>
      <c r="F16" s="20"/>
      <c r="G16" s="20"/>
      <c r="H16" s="1"/>
      <c r="I16" s="1">
        <v>18</v>
      </c>
      <c r="J16" s="110"/>
    </row>
    <row r="17" spans="1:10" s="93" customFormat="1" x14ac:dyDescent="0.3">
      <c r="A17" s="26">
        <v>11</v>
      </c>
      <c r="B17" s="24" t="s">
        <v>105</v>
      </c>
      <c r="C17" s="20">
        <v>1</v>
      </c>
      <c r="D17" s="104">
        <v>1</v>
      </c>
      <c r="E17" s="20"/>
      <c r="F17" s="20"/>
      <c r="G17" s="20"/>
      <c r="H17" s="1"/>
      <c r="I17" s="1">
        <v>1</v>
      </c>
      <c r="J17" s="28"/>
    </row>
    <row r="18" spans="1:10" s="117" customFormat="1" ht="72.75" customHeight="1" x14ac:dyDescent="0.3">
      <c r="A18" s="103">
        <v>12</v>
      </c>
      <c r="B18" s="24" t="s">
        <v>106</v>
      </c>
      <c r="C18" s="20">
        <v>3</v>
      </c>
      <c r="D18" s="104">
        <v>2</v>
      </c>
      <c r="E18" s="20">
        <v>1</v>
      </c>
      <c r="F18" s="20"/>
      <c r="G18" s="20"/>
      <c r="H18" s="1">
        <v>1</v>
      </c>
      <c r="I18" s="1">
        <v>1</v>
      </c>
      <c r="J18" s="28" t="s">
        <v>70</v>
      </c>
    </row>
    <row r="19" spans="1:10" s="93" customFormat="1" x14ac:dyDescent="0.3">
      <c r="A19" s="1">
        <v>13</v>
      </c>
      <c r="B19" s="11" t="s">
        <v>107</v>
      </c>
      <c r="C19" s="20">
        <v>1</v>
      </c>
      <c r="D19" s="104">
        <v>1</v>
      </c>
      <c r="E19" s="20"/>
      <c r="F19" s="20"/>
      <c r="G19" s="20"/>
      <c r="H19" s="1"/>
      <c r="I19" s="1">
        <v>1</v>
      </c>
      <c r="J19" s="24"/>
    </row>
    <row r="20" spans="1:10" s="93" customFormat="1" x14ac:dyDescent="0.3">
      <c r="A20" s="26">
        <v>14</v>
      </c>
      <c r="B20" s="24" t="s">
        <v>108</v>
      </c>
      <c r="C20" s="20">
        <v>5</v>
      </c>
      <c r="D20" s="104">
        <v>5</v>
      </c>
      <c r="E20" s="20"/>
      <c r="F20" s="20"/>
      <c r="G20" s="20"/>
      <c r="H20" s="1"/>
      <c r="I20" s="1">
        <v>5</v>
      </c>
      <c r="J20" s="27"/>
    </row>
    <row r="21" spans="1:10" s="93" customFormat="1" ht="35.25" customHeight="1" x14ac:dyDescent="0.3">
      <c r="A21" s="103">
        <v>15</v>
      </c>
      <c r="B21" s="24" t="s">
        <v>109</v>
      </c>
      <c r="C21" s="20">
        <v>5</v>
      </c>
      <c r="D21" s="104">
        <v>5</v>
      </c>
      <c r="E21" s="20"/>
      <c r="F21" s="20"/>
      <c r="G21" s="20"/>
      <c r="H21" s="1"/>
      <c r="I21" s="1">
        <v>5</v>
      </c>
      <c r="J21" s="95"/>
    </row>
    <row r="22" spans="1:10" s="93" customFormat="1" ht="34.5" customHeight="1" x14ac:dyDescent="0.3">
      <c r="A22" s="1">
        <v>16</v>
      </c>
      <c r="B22" s="11" t="s">
        <v>56</v>
      </c>
      <c r="C22" s="20">
        <v>1</v>
      </c>
      <c r="D22" s="104">
        <v>1</v>
      </c>
      <c r="E22" s="20"/>
      <c r="F22" s="20"/>
      <c r="G22" s="20"/>
      <c r="H22" s="1"/>
      <c r="I22" s="1">
        <v>1</v>
      </c>
      <c r="J22" s="92"/>
    </row>
    <row r="23" spans="1:10" s="3" customFormat="1" ht="24.75" customHeight="1" x14ac:dyDescent="0.3">
      <c r="A23" s="26">
        <v>17</v>
      </c>
      <c r="B23" s="32" t="s">
        <v>110</v>
      </c>
      <c r="C23" s="20"/>
      <c r="D23" s="104">
        <v>2</v>
      </c>
      <c r="E23" s="20"/>
      <c r="F23" s="20"/>
      <c r="G23" s="20"/>
      <c r="H23" s="1"/>
      <c r="I23" s="1">
        <v>2</v>
      </c>
      <c r="J23" s="86"/>
    </row>
    <row r="24" spans="1:10" s="3" customFormat="1" ht="35.25" customHeight="1" x14ac:dyDescent="0.3">
      <c r="A24" s="103">
        <v>18</v>
      </c>
      <c r="B24" s="24" t="s">
        <v>111</v>
      </c>
      <c r="C24" s="20"/>
      <c r="D24" s="104">
        <v>2</v>
      </c>
      <c r="E24" s="20"/>
      <c r="F24" s="20"/>
      <c r="G24" s="20"/>
      <c r="H24" s="1"/>
      <c r="I24" s="1">
        <v>2</v>
      </c>
      <c r="J24" s="123"/>
    </row>
  </sheetData>
  <autoFilter ref="A6:J24" xr:uid="{00000000-0009-0000-0000-000001000000}"/>
  <mergeCells count="4">
    <mergeCell ref="A3:J3"/>
    <mergeCell ref="A1:J2"/>
    <mergeCell ref="E4:H4"/>
    <mergeCell ref="C4:D4"/>
  </mergeCells>
  <conditionalFormatting sqref="A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55" orientation="portrait" r:id="rId1"/>
  <colBreaks count="1" manualBreakCount="1">
    <brk id="11" max="16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7216"/>
  </sheetPr>
  <dimension ref="A1:M19"/>
  <sheetViews>
    <sheetView view="pageBreakPreview" zoomScaleNormal="100" zoomScaleSheetLayoutView="100" workbookViewId="0">
      <pane ySplit="4" topLeftCell="A5" activePane="bottomLeft" state="frozen"/>
      <selection activeCell="C137" sqref="C137"/>
      <selection pane="bottomLeft" activeCell="A6" sqref="A6:A19"/>
    </sheetView>
  </sheetViews>
  <sheetFormatPr defaultColWidth="9.109375" defaultRowHeight="15" x14ac:dyDescent="0.25"/>
  <cols>
    <col min="1" max="1" width="7.88671875" style="9" customWidth="1"/>
    <col min="2" max="2" width="53" style="2" customWidth="1"/>
    <col min="3" max="3" width="9.88671875" style="8" customWidth="1"/>
    <col min="4" max="4" width="7.88671875" style="8" customWidth="1"/>
    <col min="5" max="5" width="6.6640625" style="8" customWidth="1"/>
    <col min="6" max="7" width="5" style="8" customWidth="1"/>
    <col min="8" max="8" width="12.33203125" style="8" customWidth="1"/>
    <col min="9" max="9" width="16.109375" style="8" customWidth="1"/>
    <col min="10" max="10" width="36.88671875" style="8" customWidth="1"/>
    <col min="11" max="13" width="9.109375" style="8" customWidth="1"/>
    <col min="14" max="16384" width="9.109375" style="8"/>
  </cols>
  <sheetData>
    <row r="1" spans="1:13" ht="24" customHeight="1" x14ac:dyDescent="0.25">
      <c r="A1" s="49" t="s">
        <v>61</v>
      </c>
      <c r="B1" s="49"/>
      <c r="C1" s="49"/>
      <c r="D1" s="49"/>
      <c r="E1" s="49"/>
      <c r="F1" s="49"/>
      <c r="G1" s="49"/>
      <c r="H1" s="49"/>
      <c r="I1" s="49"/>
      <c r="J1" s="75" t="s">
        <v>65</v>
      </c>
    </row>
    <row r="2" spans="1:13" ht="36.75" customHeight="1" x14ac:dyDescent="0.25">
      <c r="A2" s="173" t="s">
        <v>62</v>
      </c>
      <c r="B2" s="173"/>
      <c r="C2" s="173"/>
      <c r="D2" s="173"/>
      <c r="E2" s="173"/>
      <c r="F2" s="173"/>
      <c r="G2" s="173"/>
      <c r="H2" s="173"/>
      <c r="I2" s="173"/>
      <c r="J2" s="173"/>
    </row>
    <row r="3" spans="1:13" s="6" customFormat="1" ht="31.2" x14ac:dyDescent="0.25">
      <c r="A3" s="35" t="s">
        <v>55</v>
      </c>
      <c r="B3" s="35" t="s">
        <v>14</v>
      </c>
      <c r="C3" s="44" t="s">
        <v>17</v>
      </c>
      <c r="D3" s="44"/>
      <c r="E3" s="174"/>
      <c r="F3" s="174"/>
      <c r="G3" s="174"/>
      <c r="H3" s="35" t="s">
        <v>18</v>
      </c>
      <c r="I3" s="87" t="s">
        <v>33</v>
      </c>
      <c r="J3" s="88" t="s">
        <v>66</v>
      </c>
      <c r="K3" s="8"/>
      <c r="L3" s="8"/>
      <c r="M3" s="8"/>
    </row>
    <row r="4" spans="1:13" s="6" customFormat="1" ht="28.5" customHeight="1" x14ac:dyDescent="0.25">
      <c r="A4" s="35"/>
      <c r="B4" s="35"/>
      <c r="C4" s="88" t="s">
        <v>25</v>
      </c>
      <c r="D4" s="88" t="s">
        <v>26</v>
      </c>
      <c r="E4" s="87" t="s">
        <v>34</v>
      </c>
      <c r="F4" s="87" t="s">
        <v>35</v>
      </c>
      <c r="G4" s="87" t="s">
        <v>38</v>
      </c>
      <c r="H4" s="17"/>
      <c r="I4" s="44"/>
      <c r="J4" s="44"/>
      <c r="K4" s="8"/>
      <c r="L4" s="8"/>
      <c r="M4" s="8"/>
    </row>
    <row r="5" spans="1:13" ht="26.25" customHeight="1" x14ac:dyDescent="0.25">
      <c r="A5" s="1" t="s">
        <v>1</v>
      </c>
      <c r="B5" s="26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</row>
    <row r="6" spans="1:13" s="119" customFormat="1" ht="24.75" customHeight="1" x14ac:dyDescent="0.25">
      <c r="A6" s="103">
        <v>1</v>
      </c>
      <c r="B6" s="120" t="s">
        <v>112</v>
      </c>
      <c r="C6" s="104">
        <v>3</v>
      </c>
      <c r="D6" s="104">
        <v>1</v>
      </c>
      <c r="E6" s="104"/>
      <c r="F6" s="104"/>
      <c r="G6" s="104"/>
      <c r="H6" s="103"/>
      <c r="I6" s="103">
        <v>1</v>
      </c>
      <c r="J6" s="118"/>
    </row>
    <row r="7" spans="1:13" ht="21" customHeight="1" x14ac:dyDescent="0.25">
      <c r="A7" s="1">
        <v>2</v>
      </c>
      <c r="B7" s="11" t="s">
        <v>113</v>
      </c>
      <c r="C7" s="20">
        <v>1</v>
      </c>
      <c r="D7" s="20">
        <v>1</v>
      </c>
      <c r="E7" s="20"/>
      <c r="F7" s="20"/>
      <c r="G7" s="20"/>
      <c r="H7" s="1"/>
      <c r="I7" s="1">
        <v>1</v>
      </c>
      <c r="J7" s="96"/>
    </row>
    <row r="8" spans="1:13" x14ac:dyDescent="0.25">
      <c r="A8" s="1">
        <v>3</v>
      </c>
      <c r="B8" s="11" t="s">
        <v>114</v>
      </c>
      <c r="C8" s="20">
        <v>11</v>
      </c>
      <c r="D8" s="20">
        <v>13</v>
      </c>
      <c r="E8" s="20"/>
      <c r="F8" s="20"/>
      <c r="G8" s="20"/>
      <c r="H8" s="1"/>
      <c r="I8" s="1">
        <v>13</v>
      </c>
      <c r="J8" s="28" t="s">
        <v>74</v>
      </c>
    </row>
    <row r="9" spans="1:13" x14ac:dyDescent="0.25">
      <c r="A9" s="103">
        <v>4</v>
      </c>
      <c r="B9" s="11" t="s">
        <v>115</v>
      </c>
      <c r="C9" s="20">
        <v>3</v>
      </c>
      <c r="D9" s="20">
        <v>4</v>
      </c>
      <c r="E9" s="20"/>
      <c r="F9" s="20"/>
      <c r="G9" s="20"/>
      <c r="H9" s="1"/>
      <c r="I9" s="1">
        <v>4</v>
      </c>
      <c r="J9" s="28" t="s">
        <v>75</v>
      </c>
    </row>
    <row r="10" spans="1:13" ht="23.25" customHeight="1" x14ac:dyDescent="0.25">
      <c r="A10" s="1">
        <v>5</v>
      </c>
      <c r="B10" s="72" t="s">
        <v>116</v>
      </c>
      <c r="C10" s="20">
        <v>5</v>
      </c>
      <c r="D10" s="20">
        <v>2</v>
      </c>
      <c r="E10" s="20"/>
      <c r="F10" s="20"/>
      <c r="G10" s="20"/>
      <c r="H10" s="1"/>
      <c r="I10" s="1">
        <v>2</v>
      </c>
      <c r="J10" s="24"/>
    </row>
    <row r="11" spans="1:13" x14ac:dyDescent="0.25">
      <c r="A11" s="1">
        <v>6</v>
      </c>
      <c r="B11" s="11" t="s">
        <v>117</v>
      </c>
      <c r="C11" s="20">
        <v>3</v>
      </c>
      <c r="D11" s="20">
        <v>3</v>
      </c>
      <c r="E11" s="20"/>
      <c r="F11" s="20"/>
      <c r="G11" s="20"/>
      <c r="H11" s="1"/>
      <c r="I11" s="1">
        <v>3</v>
      </c>
      <c r="J11" s="23" t="s">
        <v>76</v>
      </c>
    </row>
    <row r="12" spans="1:13" x14ac:dyDescent="0.25">
      <c r="A12" s="103">
        <v>7</v>
      </c>
      <c r="B12" s="24" t="s">
        <v>118</v>
      </c>
      <c r="C12" s="20">
        <v>1</v>
      </c>
      <c r="D12" s="20">
        <v>1</v>
      </c>
      <c r="E12" s="20"/>
      <c r="F12" s="20"/>
      <c r="G12" s="20"/>
      <c r="H12" s="1"/>
      <c r="I12" s="1">
        <v>1</v>
      </c>
      <c r="J12" s="40"/>
    </row>
    <row r="13" spans="1:13" s="57" customFormat="1" ht="15.6" x14ac:dyDescent="0.3">
      <c r="A13" s="1">
        <v>8</v>
      </c>
      <c r="B13" s="33" t="s">
        <v>119</v>
      </c>
      <c r="C13" s="20">
        <v>3</v>
      </c>
      <c r="D13" s="20">
        <v>3</v>
      </c>
      <c r="E13" s="20"/>
      <c r="F13" s="20"/>
      <c r="G13" s="20"/>
      <c r="H13" s="1"/>
      <c r="I13" s="1">
        <v>3</v>
      </c>
      <c r="J13" s="53"/>
    </row>
    <row r="14" spans="1:13" s="57" customFormat="1" ht="15.6" x14ac:dyDescent="0.3">
      <c r="A14" s="1">
        <v>9</v>
      </c>
      <c r="B14" s="73" t="s">
        <v>120</v>
      </c>
      <c r="C14" s="20">
        <v>1</v>
      </c>
      <c r="D14" s="20">
        <v>1</v>
      </c>
      <c r="E14" s="20"/>
      <c r="F14" s="20"/>
      <c r="G14" s="20"/>
      <c r="H14" s="1"/>
      <c r="I14" s="1">
        <v>1</v>
      </c>
      <c r="J14" s="53"/>
    </row>
    <row r="15" spans="1:13" s="57" customFormat="1" ht="15.6" x14ac:dyDescent="0.3">
      <c r="A15" s="103">
        <v>10</v>
      </c>
      <c r="B15" s="73" t="s">
        <v>121</v>
      </c>
      <c r="C15" s="20">
        <v>1</v>
      </c>
      <c r="D15" s="20">
        <v>1</v>
      </c>
      <c r="E15" s="20"/>
      <c r="F15" s="20"/>
      <c r="G15" s="20"/>
      <c r="H15" s="1"/>
      <c r="I15" s="1">
        <v>1</v>
      </c>
      <c r="J15" s="139"/>
    </row>
    <row r="16" spans="1:13" s="111" customFormat="1" ht="15.6" x14ac:dyDescent="0.3">
      <c r="A16" s="1">
        <v>11</v>
      </c>
      <c r="B16" s="23" t="s">
        <v>123</v>
      </c>
      <c r="C16" s="20">
        <v>12</v>
      </c>
      <c r="D16" s="20">
        <v>13</v>
      </c>
      <c r="E16" s="20"/>
      <c r="F16" s="20"/>
      <c r="G16" s="20"/>
      <c r="H16" s="1"/>
      <c r="I16" s="1">
        <v>13</v>
      </c>
      <c r="J16" s="53" t="s">
        <v>73</v>
      </c>
    </row>
    <row r="17" spans="1:10" s="57" customFormat="1" ht="15.6" x14ac:dyDescent="0.3">
      <c r="A17" s="1">
        <v>12</v>
      </c>
      <c r="B17" s="23" t="s">
        <v>122</v>
      </c>
      <c r="C17" s="20">
        <v>1</v>
      </c>
      <c r="D17" s="20">
        <v>1</v>
      </c>
      <c r="E17" s="20"/>
      <c r="F17" s="20"/>
      <c r="G17" s="20"/>
      <c r="H17" s="1"/>
      <c r="I17" s="1">
        <v>1</v>
      </c>
      <c r="J17" s="53"/>
    </row>
    <row r="18" spans="1:10" s="57" customFormat="1" ht="15.6" x14ac:dyDescent="0.3">
      <c r="A18" s="103">
        <v>13</v>
      </c>
      <c r="B18" s="138" t="s">
        <v>124</v>
      </c>
      <c r="C18" s="20"/>
      <c r="D18" s="20">
        <v>1</v>
      </c>
      <c r="E18" s="20"/>
      <c r="F18" s="20"/>
      <c r="G18" s="20"/>
      <c r="H18" s="1"/>
      <c r="I18" s="1">
        <v>1</v>
      </c>
      <c r="J18" s="53"/>
    </row>
    <row r="19" spans="1:10" s="140" customFormat="1" ht="15.6" x14ac:dyDescent="0.3">
      <c r="A19" s="1">
        <v>14</v>
      </c>
      <c r="B19" s="24" t="s">
        <v>125</v>
      </c>
      <c r="C19" s="20">
        <v>9</v>
      </c>
      <c r="D19" s="20">
        <v>9</v>
      </c>
      <c r="E19" s="20"/>
      <c r="F19" s="20"/>
      <c r="G19" s="20"/>
      <c r="H19" s="1"/>
      <c r="I19" s="1">
        <v>9</v>
      </c>
      <c r="J19" s="53"/>
    </row>
  </sheetData>
  <autoFilter ref="A3:M19" xr:uid="{00000000-0009-0000-0000-000002000000}">
    <filterColumn colId="4" showButton="0"/>
    <filterColumn colId="5" showButton="0"/>
  </autoFilter>
  <mergeCells count="2">
    <mergeCell ref="A2:J2"/>
    <mergeCell ref="E3:G3"/>
  </mergeCells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.31496062992125984" right="0.19" top="0.74803149606299213" bottom="0.74803149606299213" header="0.31496062992125984" footer="0.31496062992125984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7216"/>
  </sheetPr>
  <dimension ref="A1:T14"/>
  <sheetViews>
    <sheetView view="pageBreakPreview" zoomScale="75" zoomScaleNormal="75" zoomScaleSheetLayoutView="75" workbookViewId="0">
      <pane ySplit="5" topLeftCell="A6" activePane="bottomLeft" state="frozen"/>
      <selection pane="bottomLeft" activeCell="A9" sqref="A9:B9"/>
    </sheetView>
  </sheetViews>
  <sheetFormatPr defaultColWidth="9.109375" defaultRowHeight="15.6" x14ac:dyDescent="0.3"/>
  <cols>
    <col min="1" max="1" width="6.33203125" style="6" customWidth="1"/>
    <col min="2" max="2" width="42" style="5" customWidth="1"/>
    <col min="3" max="3" width="11" style="15" bestFit="1" customWidth="1"/>
    <col min="4" max="4" width="11" style="15" customWidth="1"/>
    <col min="5" max="5" width="10.6640625" style="15" customWidth="1"/>
    <col min="6" max="6" width="8.6640625" style="15" bestFit="1" customWidth="1"/>
    <col min="7" max="7" width="9" style="15" customWidth="1"/>
    <col min="8" max="8" width="7" style="15" customWidth="1"/>
    <col min="9" max="9" width="9.5546875" style="15" customWidth="1"/>
    <col min="10" max="11" width="9.6640625" style="15" customWidth="1"/>
    <col min="12" max="12" width="12.5546875" style="15" customWidth="1"/>
    <col min="13" max="13" width="9.109375" style="15" customWidth="1"/>
    <col min="14" max="14" width="9.88671875" style="15" customWidth="1"/>
    <col min="15" max="15" width="8.88671875" style="4" customWidth="1"/>
    <col min="16" max="16" width="11.44140625" style="5" customWidth="1"/>
    <col min="17" max="17" width="13.44140625" style="5" bestFit="1" customWidth="1"/>
    <col min="18" max="18" width="12" style="5" bestFit="1" customWidth="1"/>
    <col min="19" max="19" width="14.109375" style="5" customWidth="1"/>
    <col min="20" max="20" width="81" style="5" customWidth="1"/>
    <col min="21" max="16384" width="9.109375" style="5"/>
  </cols>
  <sheetData>
    <row r="1" spans="1:20" ht="42" customHeight="1" x14ac:dyDescent="0.3">
      <c r="A1" s="41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122" t="s">
        <v>72</v>
      </c>
    </row>
    <row r="2" spans="1:20" x14ac:dyDescent="0.25">
      <c r="A2" s="175" t="s">
        <v>44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</row>
    <row r="3" spans="1:20" x14ac:dyDescent="0.3">
      <c r="A3" s="15"/>
      <c r="B3" s="42"/>
      <c r="R3" s="176"/>
      <c r="S3" s="177"/>
      <c r="T3" s="177"/>
    </row>
    <row r="4" spans="1:20" s="43" customFormat="1" ht="15.75" customHeight="1" x14ac:dyDescent="0.3">
      <c r="A4" s="178" t="s">
        <v>0</v>
      </c>
      <c r="B4" s="179" t="s">
        <v>16</v>
      </c>
      <c r="C4" s="180" t="s">
        <v>17</v>
      </c>
      <c r="D4" s="181"/>
      <c r="E4" s="178" t="s">
        <v>31</v>
      </c>
      <c r="F4" s="178"/>
      <c r="G4" s="178"/>
      <c r="H4" s="178"/>
      <c r="I4" s="178"/>
      <c r="J4" s="178"/>
      <c r="K4" s="178"/>
      <c r="L4" s="178"/>
      <c r="M4" s="165" t="s">
        <v>18</v>
      </c>
      <c r="N4" s="165" t="s">
        <v>32</v>
      </c>
      <c r="O4" s="182" t="s">
        <v>33</v>
      </c>
      <c r="P4" s="179" t="s">
        <v>21</v>
      </c>
      <c r="Q4" s="179" t="s">
        <v>22</v>
      </c>
      <c r="R4" s="179" t="s">
        <v>23</v>
      </c>
      <c r="S4" s="179" t="s">
        <v>24</v>
      </c>
      <c r="T4" s="184" t="s">
        <v>50</v>
      </c>
    </row>
    <row r="5" spans="1:20" s="43" customFormat="1" ht="31.2" x14ac:dyDescent="0.3">
      <c r="A5" s="178"/>
      <c r="B5" s="179"/>
      <c r="C5" s="89" t="s">
        <v>25</v>
      </c>
      <c r="D5" s="89" t="s">
        <v>26</v>
      </c>
      <c r="E5" s="100" t="s">
        <v>15</v>
      </c>
      <c r="F5" s="100" t="s">
        <v>34</v>
      </c>
      <c r="G5" s="100" t="s">
        <v>27</v>
      </c>
      <c r="H5" s="100" t="s">
        <v>35</v>
      </c>
      <c r="I5" s="100" t="s">
        <v>36</v>
      </c>
      <c r="J5" s="100" t="s">
        <v>37</v>
      </c>
      <c r="K5" s="100" t="s">
        <v>38</v>
      </c>
      <c r="L5" s="100" t="s">
        <v>28</v>
      </c>
      <c r="M5" s="166"/>
      <c r="N5" s="166"/>
      <c r="O5" s="183"/>
      <c r="P5" s="179"/>
      <c r="Q5" s="179"/>
      <c r="R5" s="179"/>
      <c r="S5" s="179"/>
      <c r="T5" s="170"/>
    </row>
    <row r="6" spans="1:20" s="43" customFormat="1" x14ac:dyDescent="0.3">
      <c r="A6" s="100" t="s">
        <v>1</v>
      </c>
      <c r="B6" s="101" t="s">
        <v>2</v>
      </c>
      <c r="C6" s="100" t="s">
        <v>3</v>
      </c>
      <c r="D6" s="100" t="s">
        <v>4</v>
      </c>
      <c r="E6" s="100" t="s">
        <v>5</v>
      </c>
      <c r="F6" s="100" t="s">
        <v>6</v>
      </c>
      <c r="G6" s="100" t="s">
        <v>7</v>
      </c>
      <c r="H6" s="100" t="s">
        <v>8</v>
      </c>
      <c r="I6" s="100" t="s">
        <v>9</v>
      </c>
      <c r="J6" s="100" t="s">
        <v>10</v>
      </c>
      <c r="K6" s="100" t="s">
        <v>11</v>
      </c>
      <c r="L6" s="100" t="s">
        <v>12</v>
      </c>
      <c r="M6" s="100" t="s">
        <v>13</v>
      </c>
      <c r="N6" s="100" t="s">
        <v>29</v>
      </c>
      <c r="O6" s="100" t="s">
        <v>30</v>
      </c>
      <c r="P6" s="100" t="s">
        <v>39</v>
      </c>
      <c r="Q6" s="100" t="s">
        <v>40</v>
      </c>
      <c r="R6" s="100" t="s">
        <v>41</v>
      </c>
      <c r="S6" s="100" t="s">
        <v>42</v>
      </c>
      <c r="T6" s="100" t="s">
        <v>43</v>
      </c>
    </row>
    <row r="7" spans="1:20" s="2" customFormat="1" ht="30" customHeight="1" x14ac:dyDescent="0.3">
      <c r="A7" s="29">
        <v>1</v>
      </c>
      <c r="B7" s="11" t="s">
        <v>126</v>
      </c>
      <c r="C7" s="46">
        <v>12</v>
      </c>
      <c r="D7" s="46">
        <v>13</v>
      </c>
      <c r="E7" s="46"/>
      <c r="F7" s="46"/>
      <c r="G7" s="46">
        <v>2</v>
      </c>
      <c r="H7" s="46"/>
      <c r="I7" s="46"/>
      <c r="J7" s="46"/>
      <c r="K7" s="46"/>
      <c r="L7" s="46"/>
      <c r="M7" s="46">
        <v>1</v>
      </c>
      <c r="N7" s="46">
        <v>1</v>
      </c>
      <c r="O7" s="46">
        <v>11</v>
      </c>
      <c r="P7" s="112">
        <f t="shared" ref="P7" si="0">IF(D7=0,"-",(M7/D7))</f>
        <v>7.6923076923076927E-2</v>
      </c>
      <c r="Q7" s="112">
        <f t="shared" ref="Q7" si="1">IF(D7=0,"-",(N7/D7))</f>
        <v>7.6923076923076927E-2</v>
      </c>
      <c r="R7" s="112">
        <f t="shared" ref="R7" si="2">IF(D7=0,"-",(O7/D7))</f>
        <v>0.84615384615384615</v>
      </c>
      <c r="S7" s="112">
        <f t="shared" ref="S7" si="3">IF(D7=0,"-",(Q7+R7))</f>
        <v>0.92307692307692313</v>
      </c>
      <c r="T7" s="77" t="s">
        <v>69</v>
      </c>
    </row>
    <row r="8" spans="1:20" s="2" customFormat="1" ht="45.75" customHeight="1" x14ac:dyDescent="0.3">
      <c r="A8" s="29">
        <v>2</v>
      </c>
      <c r="B8" s="11" t="s">
        <v>127</v>
      </c>
      <c r="C8" s="46">
        <v>48</v>
      </c>
      <c r="D8" s="46">
        <v>48</v>
      </c>
      <c r="E8" s="46"/>
      <c r="F8" s="46"/>
      <c r="G8" s="46"/>
      <c r="H8" s="46"/>
      <c r="I8" s="46"/>
      <c r="J8" s="46"/>
      <c r="K8" s="46"/>
      <c r="L8" s="46"/>
      <c r="M8" s="46">
        <v>1</v>
      </c>
      <c r="N8" s="46"/>
      <c r="O8" s="46">
        <v>47</v>
      </c>
      <c r="P8" s="112">
        <f t="shared" ref="P8" si="4">IF(D8=0,"-",(M8/D8))</f>
        <v>2.0833333333333332E-2</v>
      </c>
      <c r="Q8" s="112">
        <f t="shared" ref="Q8" si="5">IF(D8=0,"-",(N8/D8))</f>
        <v>0</v>
      </c>
      <c r="R8" s="112">
        <f t="shared" ref="R8" si="6">IF(D8=0,"-",(O8/D8))</f>
        <v>0.97916666666666663</v>
      </c>
      <c r="S8" s="112">
        <f t="shared" ref="S8" si="7">IF(D8=0,"-",(Q8+R8))</f>
        <v>0.97916666666666663</v>
      </c>
      <c r="T8" s="77" t="s">
        <v>77</v>
      </c>
    </row>
    <row r="9" spans="1:20" ht="36" customHeight="1" x14ac:dyDescent="0.3">
      <c r="A9" s="169" t="s">
        <v>54</v>
      </c>
      <c r="B9" s="169"/>
      <c r="C9" s="100">
        <f>SUM(C7:C8)</f>
        <v>60</v>
      </c>
      <c r="D9" s="100">
        <f t="shared" ref="D9:O9" si="8">SUM(D7:D8)</f>
        <v>61</v>
      </c>
      <c r="E9" s="100">
        <f t="shared" si="8"/>
        <v>0</v>
      </c>
      <c r="F9" s="100">
        <f t="shared" si="8"/>
        <v>0</v>
      </c>
      <c r="G9" s="100">
        <f t="shared" si="8"/>
        <v>2</v>
      </c>
      <c r="H9" s="100">
        <f t="shared" si="8"/>
        <v>0</v>
      </c>
      <c r="I9" s="100">
        <f t="shared" si="8"/>
        <v>0</v>
      </c>
      <c r="J9" s="100">
        <f t="shared" si="8"/>
        <v>0</v>
      </c>
      <c r="K9" s="100">
        <f t="shared" si="8"/>
        <v>0</v>
      </c>
      <c r="L9" s="100">
        <f t="shared" si="8"/>
        <v>0</v>
      </c>
      <c r="M9" s="100">
        <f t="shared" si="8"/>
        <v>2</v>
      </c>
      <c r="N9" s="100">
        <f t="shared" si="8"/>
        <v>1</v>
      </c>
      <c r="O9" s="100">
        <f t="shared" si="8"/>
        <v>58</v>
      </c>
      <c r="P9" s="100"/>
      <c r="Q9" s="100"/>
      <c r="R9" s="100"/>
      <c r="S9" s="100"/>
      <c r="T9" s="30"/>
    </row>
    <row r="10" spans="1:20" x14ac:dyDescent="0.3">
      <c r="T10" s="5" t="s">
        <v>52</v>
      </c>
    </row>
    <row r="12" spans="1:20" x14ac:dyDescent="0.3">
      <c r="S12" s="5" t="s">
        <v>52</v>
      </c>
    </row>
    <row r="14" spans="1:20" x14ac:dyDescent="0.3">
      <c r="T14" s="12"/>
    </row>
  </sheetData>
  <mergeCells count="15">
    <mergeCell ref="A9:B9"/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R4:R5"/>
    <mergeCell ref="S4:S5"/>
    <mergeCell ref="T4:T5"/>
    <mergeCell ref="P4:P5"/>
    <mergeCell ref="Q4:Q5"/>
  </mergeCells>
  <phoneticPr fontId="19" type="noConversion"/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147216"/>
  </sheetPr>
  <dimension ref="A1:T17"/>
  <sheetViews>
    <sheetView view="pageBreakPreview" zoomScale="70" zoomScaleSheetLayoutView="70" workbookViewId="0">
      <pane ySplit="5" topLeftCell="A6" activePane="bottomLeft" state="frozen"/>
      <selection pane="bottomLeft" activeCell="C6" sqref="C6"/>
    </sheetView>
  </sheetViews>
  <sheetFormatPr defaultColWidth="9.109375" defaultRowHeight="15" x14ac:dyDescent="0.25"/>
  <cols>
    <col min="1" max="1" width="5.5546875" style="3" customWidth="1"/>
    <col min="2" max="2" width="44.5546875" style="12" customWidth="1"/>
    <col min="3" max="3" width="12.109375" style="15" customWidth="1"/>
    <col min="4" max="4" width="10.109375" style="15" customWidth="1"/>
    <col min="5" max="5" width="7.5546875" style="15" customWidth="1"/>
    <col min="6" max="6" width="7.44140625" style="15" customWidth="1"/>
    <col min="7" max="7" width="6.33203125" style="15" customWidth="1"/>
    <col min="8" max="8" width="13" style="15" customWidth="1"/>
    <col min="9" max="9" width="6.33203125" style="15" customWidth="1"/>
    <col min="10" max="10" width="10.88671875" style="15" customWidth="1"/>
    <col min="11" max="11" width="9.6640625" style="15" customWidth="1"/>
    <col min="12" max="12" width="10.44140625" style="5" customWidth="1"/>
    <col min="13" max="13" width="11.6640625" style="5" customWidth="1"/>
    <col min="14" max="14" width="9.6640625" style="5" customWidth="1"/>
    <col min="15" max="15" width="18" style="5" customWidth="1"/>
    <col min="16" max="16" width="13.88671875" style="5" customWidth="1"/>
    <col min="17" max="17" width="54" style="5" customWidth="1"/>
    <col min="18" max="16384" width="9.109375" style="5"/>
  </cols>
  <sheetData>
    <row r="1" spans="1:20" ht="27" customHeight="1" x14ac:dyDescent="0.25">
      <c r="N1" s="5" t="s">
        <v>59</v>
      </c>
      <c r="P1" s="58"/>
      <c r="Q1" s="76" t="s">
        <v>63</v>
      </c>
    </row>
    <row r="2" spans="1:20" ht="15.6" x14ac:dyDescent="0.25">
      <c r="A2" s="185" t="s">
        <v>45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</row>
    <row r="3" spans="1:20" s="43" customFormat="1" ht="15.75" customHeight="1" x14ac:dyDescent="0.3">
      <c r="A3" s="182" t="s">
        <v>0</v>
      </c>
      <c r="B3" s="184" t="s">
        <v>16</v>
      </c>
      <c r="C3" s="178" t="s">
        <v>17</v>
      </c>
      <c r="D3" s="178"/>
      <c r="E3" s="178" t="s">
        <v>31</v>
      </c>
      <c r="F3" s="178"/>
      <c r="G3" s="178"/>
      <c r="H3" s="178"/>
      <c r="I3" s="178"/>
      <c r="J3" s="184" t="s">
        <v>18</v>
      </c>
      <c r="K3" s="184" t="s">
        <v>19</v>
      </c>
      <c r="L3" s="184" t="s">
        <v>20</v>
      </c>
      <c r="M3" s="184" t="s">
        <v>21</v>
      </c>
      <c r="N3" s="184" t="s">
        <v>22</v>
      </c>
      <c r="O3" s="184" t="s">
        <v>23</v>
      </c>
      <c r="P3" s="184" t="s">
        <v>24</v>
      </c>
      <c r="Q3" s="184" t="s">
        <v>50</v>
      </c>
    </row>
    <row r="4" spans="1:20" s="43" customFormat="1" ht="62.4" x14ac:dyDescent="0.3">
      <c r="A4" s="183"/>
      <c r="B4" s="184"/>
      <c r="C4" s="101" t="s">
        <v>25</v>
      </c>
      <c r="D4" s="101" t="s">
        <v>26</v>
      </c>
      <c r="E4" s="88" t="s">
        <v>58</v>
      </c>
      <c r="F4" s="54" t="s">
        <v>34</v>
      </c>
      <c r="G4" s="55" t="s">
        <v>27</v>
      </c>
      <c r="H4" s="56" t="s">
        <v>57</v>
      </c>
      <c r="I4" s="55" t="s">
        <v>28</v>
      </c>
      <c r="J4" s="184"/>
      <c r="K4" s="184"/>
      <c r="L4" s="184"/>
      <c r="M4" s="184"/>
      <c r="N4" s="184"/>
      <c r="O4" s="184"/>
      <c r="P4" s="184"/>
      <c r="Q4" s="170"/>
      <c r="T4" s="43" t="s">
        <v>52</v>
      </c>
    </row>
    <row r="5" spans="1:20" s="6" customFormat="1" ht="18.75" customHeight="1" x14ac:dyDescent="0.25">
      <c r="A5" s="46" t="s">
        <v>1</v>
      </c>
      <c r="B5" s="31" t="s">
        <v>2</v>
      </c>
      <c r="C5" s="46" t="s">
        <v>3</v>
      </c>
      <c r="D5" s="46" t="s">
        <v>4</v>
      </c>
      <c r="E5" s="46" t="s">
        <v>5</v>
      </c>
      <c r="F5" s="46" t="s">
        <v>6</v>
      </c>
      <c r="G5" s="46" t="s">
        <v>7</v>
      </c>
      <c r="H5" s="46" t="s">
        <v>8</v>
      </c>
      <c r="I5" s="46" t="s">
        <v>9</v>
      </c>
      <c r="J5" s="46" t="s">
        <v>10</v>
      </c>
      <c r="K5" s="46" t="s">
        <v>11</v>
      </c>
      <c r="L5" s="46" t="s">
        <v>12</v>
      </c>
      <c r="M5" s="46" t="s">
        <v>13</v>
      </c>
      <c r="N5" s="46" t="s">
        <v>29</v>
      </c>
      <c r="O5" s="46" t="s">
        <v>30</v>
      </c>
      <c r="P5" s="46" t="s">
        <v>39</v>
      </c>
      <c r="Q5" s="46" t="s">
        <v>40</v>
      </c>
    </row>
    <row r="6" spans="1:20" s="2" customFormat="1" ht="27" customHeight="1" x14ac:dyDescent="0.3">
      <c r="A6" s="1">
        <v>1</v>
      </c>
      <c r="B6" s="17" t="s">
        <v>128</v>
      </c>
      <c r="C6" s="113">
        <v>6</v>
      </c>
      <c r="D6" s="113">
        <v>2</v>
      </c>
      <c r="E6" s="113"/>
      <c r="F6" s="113"/>
      <c r="G6" s="113"/>
      <c r="H6" s="113"/>
      <c r="I6" s="113"/>
      <c r="J6" s="70"/>
      <c r="K6" s="113"/>
      <c r="L6" s="114">
        <v>2</v>
      </c>
      <c r="M6" s="112">
        <f t="shared" ref="M6" si="0">IF(D6=0,"-",(J6/D6))</f>
        <v>0</v>
      </c>
      <c r="N6" s="112">
        <f>IF(D6=0,"-",(K6/D6))</f>
        <v>0</v>
      </c>
      <c r="O6" s="112">
        <f t="shared" ref="O6" si="1">IF(D6=0,"-",(L6/D6))</f>
        <v>1</v>
      </c>
      <c r="P6" s="112">
        <f t="shared" ref="P6" si="2">IF(D6=0,"-",(N6+O6))</f>
        <v>1</v>
      </c>
      <c r="Q6" s="33"/>
    </row>
    <row r="7" spans="1:20" s="2" customFormat="1" ht="25.5" customHeight="1" x14ac:dyDescent="0.25">
      <c r="A7" s="1">
        <v>2</v>
      </c>
      <c r="B7" s="17" t="s">
        <v>129</v>
      </c>
      <c r="C7" s="113">
        <v>21</v>
      </c>
      <c r="D7" s="113">
        <v>13</v>
      </c>
      <c r="E7" s="113"/>
      <c r="F7" s="113"/>
      <c r="G7" s="113"/>
      <c r="H7" s="113"/>
      <c r="I7" s="113"/>
      <c r="J7" s="70"/>
      <c r="K7" s="113"/>
      <c r="L7" s="114">
        <v>13</v>
      </c>
      <c r="M7" s="112">
        <f t="shared" ref="M7" si="3">IF(D7=0,"-",(J7/D7))</f>
        <v>0</v>
      </c>
      <c r="N7" s="112">
        <f t="shared" ref="N7" si="4">IF(D7=0,"-",(K7/D7))</f>
        <v>0</v>
      </c>
      <c r="O7" s="112">
        <f t="shared" ref="O7" si="5">IF(D7=0,"-",(L7/D7))</f>
        <v>1</v>
      </c>
      <c r="P7" s="112">
        <f t="shared" ref="P7" si="6">IF(D7=0,"-",(N7+O7))</f>
        <v>1</v>
      </c>
      <c r="Q7" s="115"/>
    </row>
    <row r="8" spans="1:20" ht="24" hidden="1" customHeight="1" x14ac:dyDescent="0.25">
      <c r="A8" s="1">
        <v>19</v>
      </c>
      <c r="B8" s="17" t="s">
        <v>46</v>
      </c>
      <c r="C8" s="113"/>
      <c r="D8" s="113"/>
      <c r="E8" s="113"/>
      <c r="F8" s="113"/>
      <c r="G8" s="113"/>
      <c r="H8" s="113"/>
      <c r="I8" s="113"/>
      <c r="J8" s="70"/>
      <c r="K8" s="113"/>
      <c r="L8" s="114"/>
      <c r="M8" s="112" t="str">
        <f t="shared" ref="M8:M11" si="7">IF(D8=0,"-",(J8/D8))</f>
        <v>-</v>
      </c>
      <c r="N8" s="112" t="str">
        <f t="shared" ref="N8:N11" si="8">IF(D8=0,"-",(K8/D8))</f>
        <v>-</v>
      </c>
      <c r="O8" s="112" t="str">
        <f t="shared" ref="O8:O11" si="9">IF(D8=0,"-",(L8/D8))</f>
        <v>-</v>
      </c>
      <c r="P8" s="112" t="str">
        <f t="shared" ref="P8:P11" si="10">IF(D8=0,"-",(N8+O8))</f>
        <v>-</v>
      </c>
      <c r="Q8" s="52"/>
    </row>
    <row r="9" spans="1:20" ht="30" hidden="1" x14ac:dyDescent="0.25">
      <c r="A9" s="1">
        <v>20</v>
      </c>
      <c r="B9" s="17" t="s">
        <v>47</v>
      </c>
      <c r="C9" s="85">
        <v>220</v>
      </c>
      <c r="D9" s="113"/>
      <c r="E9" s="113"/>
      <c r="F9" s="113"/>
      <c r="G9" s="113"/>
      <c r="H9" s="18"/>
      <c r="I9" s="113"/>
      <c r="J9" s="70"/>
      <c r="K9" s="113"/>
      <c r="L9" s="114"/>
      <c r="M9" s="112" t="str">
        <f t="shared" si="7"/>
        <v>-</v>
      </c>
      <c r="N9" s="112" t="str">
        <f>IF(D9=0,"-",(K9/D9))</f>
        <v>-</v>
      </c>
      <c r="O9" s="112" t="str">
        <f t="shared" si="9"/>
        <v>-</v>
      </c>
      <c r="P9" s="112" t="str">
        <f t="shared" si="10"/>
        <v>-</v>
      </c>
      <c r="Q9" s="124" t="s">
        <v>68</v>
      </c>
    </row>
    <row r="10" spans="1:20" s="121" customFormat="1" ht="22.5" customHeight="1" x14ac:dyDescent="0.3">
      <c r="A10" s="1">
        <v>3</v>
      </c>
      <c r="B10" s="17" t="s">
        <v>130</v>
      </c>
      <c r="C10" s="141">
        <v>220</v>
      </c>
      <c r="D10" s="113">
        <v>6</v>
      </c>
      <c r="E10" s="113"/>
      <c r="F10" s="113"/>
      <c r="G10" s="113"/>
      <c r="H10" s="126"/>
      <c r="I10" s="126"/>
      <c r="J10" s="127"/>
      <c r="K10" s="126"/>
      <c r="L10" s="128">
        <v>6</v>
      </c>
      <c r="M10" s="129">
        <f t="shared" si="7"/>
        <v>0</v>
      </c>
      <c r="N10" s="129">
        <f t="shared" si="8"/>
        <v>0</v>
      </c>
      <c r="O10" s="129">
        <f t="shared" si="9"/>
        <v>1</v>
      </c>
      <c r="P10" s="129">
        <f t="shared" si="10"/>
        <v>1</v>
      </c>
      <c r="Q10" s="125"/>
    </row>
    <row r="11" spans="1:20" s="2" customFormat="1" ht="24.75" customHeight="1" x14ac:dyDescent="0.3">
      <c r="A11" s="1">
        <v>4</v>
      </c>
      <c r="B11" s="17" t="s">
        <v>131</v>
      </c>
      <c r="C11" s="137"/>
      <c r="D11" s="113">
        <v>317</v>
      </c>
      <c r="E11" s="113"/>
      <c r="F11" s="113"/>
      <c r="G11" s="113"/>
      <c r="H11" s="113"/>
      <c r="I11" s="113"/>
      <c r="J11" s="70"/>
      <c r="K11" s="113"/>
      <c r="L11" s="114">
        <v>317</v>
      </c>
      <c r="M11" s="112">
        <f t="shared" si="7"/>
        <v>0</v>
      </c>
      <c r="N11" s="112">
        <f t="shared" si="8"/>
        <v>0</v>
      </c>
      <c r="O11" s="112">
        <f t="shared" si="9"/>
        <v>1</v>
      </c>
      <c r="P11" s="112">
        <f t="shared" si="10"/>
        <v>1</v>
      </c>
      <c r="Q11" s="125"/>
    </row>
    <row r="12" spans="1:20" s="148" customFormat="1" ht="45" hidden="1" customHeight="1" x14ac:dyDescent="0.3">
      <c r="A12" s="145">
        <v>24</v>
      </c>
      <c r="B12" s="146" t="s">
        <v>132</v>
      </c>
      <c r="C12" s="149">
        <v>330</v>
      </c>
      <c r="D12" s="149">
        <v>207</v>
      </c>
      <c r="E12" s="150"/>
      <c r="F12" s="150"/>
      <c r="G12" s="150"/>
      <c r="H12" s="149">
        <v>3</v>
      </c>
      <c r="I12" s="149"/>
      <c r="J12" s="151">
        <v>3</v>
      </c>
      <c r="K12" s="149"/>
      <c r="L12" s="152">
        <v>204</v>
      </c>
      <c r="M12" s="153">
        <f t="shared" ref="M12" si="11">IF(D12=0,"-",(J12/D12))</f>
        <v>1.4492753623188406E-2</v>
      </c>
      <c r="N12" s="153">
        <f t="shared" ref="N12" si="12">IF(D12=0,"-",(K12/D12))</f>
        <v>0</v>
      </c>
      <c r="O12" s="153">
        <f t="shared" ref="O12" si="13">IF(D12=0,"-",(L12/D12))</f>
        <v>0.98550724637681164</v>
      </c>
      <c r="P12" s="153">
        <f t="shared" ref="P12" si="14">IF(D12=0,"-",(N12+O12))</f>
        <v>0.98550724637681164</v>
      </c>
      <c r="Q12" s="147" t="s">
        <v>92</v>
      </c>
    </row>
    <row r="13" spans="1:20" ht="26.25" customHeight="1" x14ac:dyDescent="0.25">
      <c r="A13" s="1">
        <v>5</v>
      </c>
      <c r="B13" s="17" t="s">
        <v>133</v>
      </c>
      <c r="C13" s="113">
        <v>31</v>
      </c>
      <c r="D13" s="113">
        <v>31</v>
      </c>
      <c r="E13" s="113"/>
      <c r="F13" s="113"/>
      <c r="G13" s="113"/>
      <c r="H13" s="113"/>
      <c r="I13" s="113"/>
      <c r="J13" s="70"/>
      <c r="K13" s="113"/>
      <c r="L13" s="114">
        <v>31</v>
      </c>
      <c r="M13" s="112">
        <f t="shared" ref="M13" si="15">IF(D13=0,"-",(J13/D13))</f>
        <v>0</v>
      </c>
      <c r="N13" s="112">
        <f t="shared" ref="N13" si="16">IF(D13=0,"-",(K13/D13))</f>
        <v>0</v>
      </c>
      <c r="O13" s="112">
        <f t="shared" ref="O13" si="17">IF(D13=0,"-",(L13/D13))</f>
        <v>1</v>
      </c>
      <c r="P13" s="112">
        <f t="shared" ref="P13" si="18">IF(D13=0,"-",(N13+O13))</f>
        <v>1</v>
      </c>
      <c r="Q13" s="33"/>
    </row>
    <row r="14" spans="1:20" s="2" customFormat="1" ht="21" customHeight="1" x14ac:dyDescent="0.25">
      <c r="A14" s="1">
        <v>6</v>
      </c>
      <c r="B14" s="37" t="s">
        <v>134</v>
      </c>
      <c r="C14" s="113">
        <v>0</v>
      </c>
      <c r="D14" s="113">
        <v>2</v>
      </c>
      <c r="E14" s="113"/>
      <c r="F14" s="113"/>
      <c r="G14" s="113"/>
      <c r="H14" s="113"/>
      <c r="I14" s="113"/>
      <c r="J14" s="70"/>
      <c r="K14" s="113"/>
      <c r="L14" s="114">
        <v>2</v>
      </c>
      <c r="M14" s="112">
        <f t="shared" ref="M14" si="19">IF(D14=0,"-",(J14/D14))</f>
        <v>0</v>
      </c>
      <c r="N14" s="112">
        <f t="shared" ref="N14" si="20">IF(D14=0,"-",(K14/D14))</f>
        <v>0</v>
      </c>
      <c r="O14" s="112">
        <f t="shared" ref="O14" si="21">IF(D14=0,"-",(L14/D14))</f>
        <v>1</v>
      </c>
      <c r="P14" s="112">
        <f t="shared" ref="P14" si="22">IF(D14=0,"-",(N14+O14))</f>
        <v>1</v>
      </c>
      <c r="Q14" s="52"/>
    </row>
    <row r="15" spans="1:20" s="116" customFormat="1" x14ac:dyDescent="0.25">
      <c r="A15" s="1">
        <v>7</v>
      </c>
      <c r="B15" s="77" t="s">
        <v>135</v>
      </c>
      <c r="C15" s="113">
        <v>3</v>
      </c>
      <c r="D15" s="113">
        <v>1</v>
      </c>
      <c r="E15" s="113"/>
      <c r="F15" s="113"/>
      <c r="G15" s="113"/>
      <c r="H15" s="113"/>
      <c r="I15" s="113"/>
      <c r="J15" s="70"/>
      <c r="K15" s="113"/>
      <c r="L15" s="114">
        <v>1</v>
      </c>
      <c r="M15" s="112">
        <f t="shared" ref="M15" si="23">IF(D15=0,"-",(J15/D15))</f>
        <v>0</v>
      </c>
      <c r="N15" s="112">
        <f t="shared" ref="N15" si="24">IF(D15=0,"-",(K15/D15))</f>
        <v>0</v>
      </c>
      <c r="O15" s="112">
        <f t="shared" ref="O15" si="25">IF(D15=0,"-",(L15/D15))</f>
        <v>1</v>
      </c>
      <c r="P15" s="112">
        <f t="shared" ref="P15" si="26">IF(D15=0,"-",(N15+O15))</f>
        <v>1</v>
      </c>
      <c r="Q15" s="52"/>
    </row>
    <row r="16" spans="1:20" x14ac:dyDescent="0.25">
      <c r="N16" s="5" t="s">
        <v>52</v>
      </c>
    </row>
    <row r="17" spans="13:13" x14ac:dyDescent="0.25">
      <c r="M17" s="5" t="s">
        <v>52</v>
      </c>
    </row>
  </sheetData>
  <protectedRanges>
    <protectedRange sqref="B14" name="Range1_3_1"/>
    <protectedRange sqref="B15" name="Range1_2"/>
  </protectedRanges>
  <autoFilter ref="A5:Q17" xr:uid="{00000000-0009-0000-0000-000004000000}">
    <filterColumn colId="15">
      <filters blank="1">
        <filter val="100.00%"/>
        <filter val="98.14%"/>
      </filters>
    </filterColumn>
  </autoFilter>
  <mergeCells count="13">
    <mergeCell ref="A2:Q2"/>
    <mergeCell ref="K3:K4"/>
    <mergeCell ref="L3:L4"/>
    <mergeCell ref="O3:O4"/>
    <mergeCell ref="P3:P4"/>
    <mergeCell ref="Q3:Q4"/>
    <mergeCell ref="M3:M4"/>
    <mergeCell ref="N3:N4"/>
    <mergeCell ref="A3:A4"/>
    <mergeCell ref="B3:B4"/>
    <mergeCell ref="C3:D3"/>
    <mergeCell ref="E3:I3"/>
    <mergeCell ref="J3:J4"/>
  </mergeCells>
  <dataValidations xWindow="214" yWindow="556" count="3">
    <dataValidation type="whole" allowBlank="1" showInputMessage="1" showErrorMessage="1" sqref="C8:C9 D8:I11 C6:I7 C12:I15" xr:uid="{00000000-0002-0000-0400-000000000000}">
      <formula1>0</formula1>
      <formula2>50000</formula2>
    </dataValidation>
    <dataValidation allowBlank="1" showInputMessage="1" showErrorMessage="1" promptTitle="FORMULA USED" prompt="Don't Ammend Here" sqref="B6:B13" xr:uid="{00000000-0002-0000-0400-000001000000}"/>
    <dataValidation type="whole" allowBlank="1" showInputMessage="1" showErrorMessage="1" errorTitle="Value Between 0 to 200000" sqref="L6:L15" xr:uid="{00000000-0002-0000-0400-000002000000}">
      <formula1>0</formula1>
      <formula2>200000</formula2>
    </dataValidation>
  </dataValidations>
  <printOptions horizontalCentered="1"/>
  <pageMargins left="0.27559055118110237" right="0.23622047244094491" top="0.23622047244094491" bottom="0.15748031496062992" header="0.23622047244094491" footer="0.19685039370078741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7216"/>
  </sheetPr>
  <dimension ref="A1:P20"/>
  <sheetViews>
    <sheetView view="pageBreakPreview" zoomScale="115" zoomScaleNormal="70" zoomScaleSheetLayoutView="115" workbookViewId="0">
      <pane ySplit="4" topLeftCell="A5" activePane="bottomLeft" state="frozen"/>
      <selection pane="bottomLeft" activeCell="F7" sqref="F7"/>
    </sheetView>
  </sheetViews>
  <sheetFormatPr defaultColWidth="9.109375" defaultRowHeight="15.6" x14ac:dyDescent="0.3"/>
  <cols>
    <col min="1" max="1" width="6.5546875" style="10" bestFit="1" customWidth="1"/>
    <col min="2" max="2" width="9.109375" style="10" customWidth="1"/>
    <col min="3" max="3" width="19.109375" style="10" customWidth="1"/>
    <col min="4" max="4" width="8.88671875" style="10" customWidth="1"/>
    <col min="5" max="5" width="14.44140625" style="10" customWidth="1"/>
    <col min="6" max="6" width="6" style="39" customWidth="1"/>
    <col min="7" max="7" width="18" style="39" customWidth="1"/>
    <col min="8" max="8" width="6" style="39" customWidth="1"/>
    <col min="9" max="9" width="11.5546875" style="39" customWidth="1"/>
    <col min="10" max="10" width="9.33203125" style="39" customWidth="1"/>
    <col min="11" max="11" width="15.44140625" style="10" bestFit="1" customWidth="1"/>
    <col min="12" max="12" width="11.109375" style="10" bestFit="1" customWidth="1"/>
    <col min="13" max="13" width="13.6640625" style="10" bestFit="1" customWidth="1"/>
    <col min="14" max="14" width="20.33203125" style="13" customWidth="1"/>
    <col min="15" max="15" width="11.5546875" style="10" customWidth="1"/>
    <col min="16" max="16" width="47.5546875" style="10" customWidth="1"/>
    <col min="17" max="16384" width="9.109375" style="10"/>
  </cols>
  <sheetData>
    <row r="1" spans="1:16" ht="23.25" customHeight="1" x14ac:dyDescent="0.3">
      <c r="B1" s="190" t="s">
        <v>60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</row>
    <row r="2" spans="1:16" s="59" customFormat="1" x14ac:dyDescent="0.3">
      <c r="A2" s="191" t="s">
        <v>48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</row>
    <row r="3" spans="1:16" s="14" customFormat="1" ht="15.75" customHeight="1" x14ac:dyDescent="0.3">
      <c r="A3" s="45" t="s">
        <v>0</v>
      </c>
      <c r="B3" s="60" t="s">
        <v>16</v>
      </c>
      <c r="C3" s="61"/>
      <c r="D3" s="62" t="s">
        <v>17</v>
      </c>
      <c r="E3" s="63"/>
      <c r="F3" s="45" t="s">
        <v>49</v>
      </c>
      <c r="G3" s="45"/>
      <c r="H3" s="45"/>
      <c r="I3" s="90" t="s">
        <v>18</v>
      </c>
      <c r="J3" s="64" t="s">
        <v>19</v>
      </c>
      <c r="K3" s="65" t="s">
        <v>20</v>
      </c>
      <c r="L3" s="48" t="s">
        <v>21</v>
      </c>
      <c r="M3" s="48" t="s">
        <v>22</v>
      </c>
      <c r="N3" s="35" t="s">
        <v>23</v>
      </c>
      <c r="O3" s="48" t="s">
        <v>24</v>
      </c>
      <c r="P3" s="48" t="s">
        <v>50</v>
      </c>
    </row>
    <row r="4" spans="1:16" s="14" customFormat="1" ht="56.25" customHeight="1" x14ac:dyDescent="0.3">
      <c r="A4" s="45"/>
      <c r="B4" s="66"/>
      <c r="C4" s="67"/>
      <c r="D4" s="89" t="s">
        <v>53</v>
      </c>
      <c r="E4" s="89" t="s">
        <v>26</v>
      </c>
      <c r="F4" s="55" t="s">
        <v>27</v>
      </c>
      <c r="G4" s="88" t="s">
        <v>51</v>
      </c>
      <c r="H4" s="55" t="s">
        <v>28</v>
      </c>
      <c r="I4" s="91"/>
      <c r="J4" s="68"/>
      <c r="K4" s="69"/>
      <c r="L4" s="48"/>
      <c r="M4" s="48"/>
      <c r="N4" s="35"/>
      <c r="O4" s="48"/>
      <c r="P4" s="45"/>
    </row>
    <row r="5" spans="1:16" s="47" customFormat="1" ht="39" customHeight="1" x14ac:dyDescent="0.3">
      <c r="A5" s="1" t="s">
        <v>1</v>
      </c>
      <c r="B5" s="50" t="s">
        <v>2</v>
      </c>
      <c r="C5" s="51"/>
      <c r="D5" s="1" t="s">
        <v>3</v>
      </c>
      <c r="E5" s="1" t="s">
        <v>4</v>
      </c>
      <c r="F5" s="3" t="s">
        <v>5</v>
      </c>
      <c r="G5" s="26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29</v>
      </c>
      <c r="P5" s="1" t="s">
        <v>30</v>
      </c>
    </row>
    <row r="6" spans="1:16" s="133" customFormat="1" ht="30.75" customHeight="1" x14ac:dyDescent="0.3">
      <c r="A6" s="1">
        <v>1</v>
      </c>
      <c r="B6" s="186" t="s">
        <v>136</v>
      </c>
      <c r="C6" s="187"/>
      <c r="D6" s="19">
        <v>6</v>
      </c>
      <c r="E6" s="19">
        <v>6</v>
      </c>
      <c r="F6" s="19"/>
      <c r="G6" s="19"/>
      <c r="H6" s="19"/>
      <c r="I6" s="19"/>
      <c r="J6" s="19"/>
      <c r="K6" s="21">
        <v>6</v>
      </c>
      <c r="L6" s="112">
        <f t="shared" ref="L6:M8" si="0">IF(D6=0,"-",(I6/D6))</f>
        <v>0</v>
      </c>
      <c r="M6" s="22">
        <f t="shared" si="0"/>
        <v>0</v>
      </c>
      <c r="N6" s="22">
        <f t="shared" ref="N6:N8" si="1">IF(E6=0,"-",(K6/E6))</f>
        <v>1</v>
      </c>
      <c r="O6" s="22">
        <f t="shared" ref="O6:O8" si="2">IF(E6=0,"-",(M6+N6))</f>
        <v>1</v>
      </c>
      <c r="P6" s="132"/>
    </row>
    <row r="7" spans="1:16" ht="37.5" customHeight="1" x14ac:dyDescent="0.3">
      <c r="A7" s="1">
        <v>2</v>
      </c>
      <c r="B7" s="186" t="s">
        <v>137</v>
      </c>
      <c r="C7" s="187"/>
      <c r="D7" s="19">
        <v>0</v>
      </c>
      <c r="E7" s="19">
        <v>2</v>
      </c>
      <c r="F7" s="19"/>
      <c r="G7" s="19"/>
      <c r="H7" s="19"/>
      <c r="I7" s="19"/>
      <c r="J7" s="19"/>
      <c r="K7" s="21">
        <v>2</v>
      </c>
      <c r="L7" s="22" t="s">
        <v>67</v>
      </c>
      <c r="M7" s="22">
        <f t="shared" si="0"/>
        <v>0</v>
      </c>
      <c r="N7" s="22">
        <f t="shared" si="1"/>
        <v>1</v>
      </c>
      <c r="O7" s="22">
        <f t="shared" si="2"/>
        <v>1</v>
      </c>
      <c r="P7" s="97"/>
    </row>
    <row r="8" spans="1:16" ht="20.25" customHeight="1" x14ac:dyDescent="0.3">
      <c r="A8" s="46">
        <v>3</v>
      </c>
      <c r="B8" s="188" t="s">
        <v>130</v>
      </c>
      <c r="C8" s="189"/>
      <c r="D8" s="19">
        <v>0</v>
      </c>
      <c r="E8" s="19">
        <v>2</v>
      </c>
      <c r="F8" s="19"/>
      <c r="G8" s="19"/>
      <c r="H8" s="19"/>
      <c r="I8" s="19"/>
      <c r="J8" s="19"/>
      <c r="K8" s="21">
        <v>2</v>
      </c>
      <c r="L8" s="112" t="str">
        <f t="shared" ref="L8" si="3">IF(D8=0,"-",(I8/D8))</f>
        <v>-</v>
      </c>
      <c r="M8" s="112">
        <f t="shared" si="0"/>
        <v>0</v>
      </c>
      <c r="N8" s="112">
        <f t="shared" si="1"/>
        <v>1</v>
      </c>
      <c r="O8" s="112">
        <f t="shared" si="2"/>
        <v>1</v>
      </c>
      <c r="P8" s="34"/>
    </row>
    <row r="9" spans="1:16" x14ac:dyDescent="0.3">
      <c r="A9" s="1">
        <v>4</v>
      </c>
      <c r="B9" s="186" t="s">
        <v>138</v>
      </c>
      <c r="C9" s="187"/>
      <c r="D9" s="19">
        <v>2</v>
      </c>
      <c r="E9" s="19">
        <v>2</v>
      </c>
      <c r="F9" s="19"/>
      <c r="G9" s="19"/>
      <c r="H9" s="19"/>
      <c r="I9" s="19"/>
      <c r="J9" s="19"/>
      <c r="K9" s="21">
        <v>2</v>
      </c>
      <c r="L9" s="112">
        <f t="shared" ref="L9:M9" si="4">IF(D9=0,"-",(I9/D9))</f>
        <v>0</v>
      </c>
      <c r="M9" s="112">
        <f t="shared" si="4"/>
        <v>0</v>
      </c>
      <c r="N9" s="112">
        <f t="shared" ref="N9" si="5">IF(E9=0,"-",(K9/E9))</f>
        <v>1</v>
      </c>
      <c r="O9" s="112">
        <f t="shared" ref="O9" si="6">IF(E9=0,"-",(M9+N9))</f>
        <v>1</v>
      </c>
      <c r="P9" s="99"/>
    </row>
    <row r="10" spans="1:16" s="133" customFormat="1" ht="27.75" customHeight="1" x14ac:dyDescent="0.3">
      <c r="A10" s="1">
        <v>5</v>
      </c>
      <c r="B10" s="188" t="s">
        <v>139</v>
      </c>
      <c r="C10" s="189"/>
      <c r="D10" s="19">
        <v>8</v>
      </c>
      <c r="E10" s="19">
        <v>11</v>
      </c>
      <c r="F10" s="19"/>
      <c r="G10" s="19"/>
      <c r="H10" s="19"/>
      <c r="I10" s="19"/>
      <c r="J10" s="19"/>
      <c r="K10" s="21">
        <v>11</v>
      </c>
      <c r="L10" s="22">
        <f t="shared" ref="L10:M12" si="7">IF(D10=0,"-",(I10/D10))</f>
        <v>0</v>
      </c>
      <c r="M10" s="22">
        <f t="shared" si="7"/>
        <v>0</v>
      </c>
      <c r="N10" s="22">
        <f t="shared" ref="N10:N12" si="8">IF(E10=0,"-",(K10/E10))</f>
        <v>1</v>
      </c>
      <c r="O10" s="22">
        <f t="shared" ref="O10:O12" si="9">IF(E10=0,"-",(M10+N10))</f>
        <v>1</v>
      </c>
      <c r="P10" s="134"/>
    </row>
    <row r="11" spans="1:16" x14ac:dyDescent="0.3">
      <c r="A11" s="46">
        <v>6</v>
      </c>
      <c r="B11" s="186" t="s">
        <v>140</v>
      </c>
      <c r="C11" s="187"/>
      <c r="D11" s="19">
        <v>0</v>
      </c>
      <c r="E11" s="19">
        <v>13</v>
      </c>
      <c r="F11" s="19"/>
      <c r="G11" s="19"/>
      <c r="H11" s="19"/>
      <c r="I11" s="19"/>
      <c r="J11" s="19"/>
      <c r="K11" s="21">
        <v>3</v>
      </c>
      <c r="L11" s="112" t="str">
        <f t="shared" si="7"/>
        <v>-</v>
      </c>
      <c r="M11" s="112">
        <f t="shared" si="7"/>
        <v>0</v>
      </c>
      <c r="N11" s="112">
        <f t="shared" si="8"/>
        <v>0.23076923076923078</v>
      </c>
      <c r="O11" s="112">
        <f t="shared" si="9"/>
        <v>0.23076923076923078</v>
      </c>
      <c r="P11" s="77"/>
    </row>
    <row r="12" spans="1:16" s="135" customFormat="1" ht="36.75" customHeight="1" x14ac:dyDescent="0.3">
      <c r="A12" s="1">
        <v>7</v>
      </c>
      <c r="B12" s="186" t="s">
        <v>141</v>
      </c>
      <c r="C12" s="187"/>
      <c r="D12" s="19">
        <v>0</v>
      </c>
      <c r="E12" s="19">
        <v>2</v>
      </c>
      <c r="F12" s="19"/>
      <c r="G12" s="19"/>
      <c r="H12" s="19"/>
      <c r="I12" s="19"/>
      <c r="J12" s="19"/>
      <c r="K12" s="21">
        <v>2</v>
      </c>
      <c r="L12" s="22" t="str">
        <f t="shared" si="7"/>
        <v>-</v>
      </c>
      <c r="M12" s="22">
        <f t="shared" si="7"/>
        <v>0</v>
      </c>
      <c r="N12" s="22">
        <f t="shared" si="8"/>
        <v>1</v>
      </c>
      <c r="O12" s="22">
        <f t="shared" si="9"/>
        <v>1</v>
      </c>
      <c r="P12" s="131"/>
    </row>
    <row r="13" spans="1:16" ht="22.5" customHeight="1" x14ac:dyDescent="0.3">
      <c r="A13" s="1">
        <v>8</v>
      </c>
      <c r="B13" s="186" t="s">
        <v>142</v>
      </c>
      <c r="C13" s="187"/>
      <c r="D13" s="19">
        <v>6</v>
      </c>
      <c r="E13" s="19">
        <v>6</v>
      </c>
      <c r="F13" s="19"/>
      <c r="G13" s="19"/>
      <c r="H13" s="19"/>
      <c r="I13" s="19"/>
      <c r="J13" s="19"/>
      <c r="K13" s="21">
        <v>6</v>
      </c>
      <c r="L13" s="112">
        <f t="shared" ref="L13:M13" si="10">IF(D13=0,"-",(I13/D13))</f>
        <v>0</v>
      </c>
      <c r="M13" s="112">
        <f t="shared" si="10"/>
        <v>0</v>
      </c>
      <c r="N13" s="112">
        <f t="shared" ref="N13" si="11">IF(E13=0,"-",(K13/E13))</f>
        <v>1</v>
      </c>
      <c r="O13" s="112">
        <f t="shared" ref="O13" si="12">IF(E13=0,"-",(M13+N13))</f>
        <v>1</v>
      </c>
      <c r="P13" s="99"/>
    </row>
    <row r="14" spans="1:16" x14ac:dyDescent="0.3">
      <c r="A14" s="46">
        <v>9</v>
      </c>
      <c r="B14" s="186" t="s">
        <v>143</v>
      </c>
      <c r="C14" s="187"/>
      <c r="D14" s="19">
        <v>25</v>
      </c>
      <c r="E14" s="19">
        <v>30</v>
      </c>
      <c r="F14" s="19"/>
      <c r="G14" s="19"/>
      <c r="H14" s="19"/>
      <c r="I14" s="19"/>
      <c r="J14" s="19"/>
      <c r="K14" s="21">
        <v>30</v>
      </c>
      <c r="L14" s="112">
        <f t="shared" ref="L14:M14" si="13">IF(D14=0,"-",(I14/D14))</f>
        <v>0</v>
      </c>
      <c r="M14" s="112">
        <f t="shared" si="13"/>
        <v>0</v>
      </c>
      <c r="N14" s="112">
        <f t="shared" ref="N14" si="14">IF(E14=0,"-",(K14/E14))</f>
        <v>1</v>
      </c>
      <c r="O14" s="112">
        <f t="shared" ref="O14" si="15">IF(E14=0,"-",(M14+N14))</f>
        <v>1</v>
      </c>
      <c r="P14" s="84"/>
    </row>
    <row r="15" spans="1:16" s="135" customFormat="1" x14ac:dyDescent="0.3">
      <c r="A15" s="1">
        <v>10</v>
      </c>
      <c r="B15" s="186" t="s">
        <v>135</v>
      </c>
      <c r="C15" s="187"/>
      <c r="D15" s="19">
        <v>0</v>
      </c>
      <c r="E15" s="19">
        <v>0</v>
      </c>
      <c r="F15" s="19"/>
      <c r="G15" s="19"/>
      <c r="H15" s="19"/>
      <c r="I15" s="19"/>
      <c r="J15" s="19"/>
      <c r="K15" s="112" t="str">
        <f t="shared" ref="K15:M15" si="16">IF(C15=0,"-",(H15/C15))</f>
        <v>-</v>
      </c>
      <c r="L15" s="112" t="str">
        <f t="shared" si="16"/>
        <v>-</v>
      </c>
      <c r="M15" s="112" t="str">
        <f t="shared" si="16"/>
        <v>-</v>
      </c>
      <c r="N15" s="112" t="str">
        <f t="shared" ref="N15" si="17">IF(E15=0,"-",(K15/E15))</f>
        <v>-</v>
      </c>
      <c r="O15" s="112" t="str">
        <f t="shared" ref="O15" si="18">IF(E15=0,"-",(M15+N15))</f>
        <v>-</v>
      </c>
      <c r="P15" s="134"/>
    </row>
    <row r="16" spans="1:16" s="13" customFormat="1" ht="30.75" customHeight="1" x14ac:dyDescent="0.3">
      <c r="A16" s="1">
        <v>11</v>
      </c>
      <c r="B16" s="186" t="s">
        <v>144</v>
      </c>
      <c r="C16" s="187"/>
      <c r="D16" s="19">
        <v>9</v>
      </c>
      <c r="E16" s="19">
        <v>6</v>
      </c>
      <c r="F16" s="19"/>
      <c r="G16" s="19"/>
      <c r="H16" s="19"/>
      <c r="I16" s="19"/>
      <c r="J16" s="19"/>
      <c r="K16" s="21">
        <v>6</v>
      </c>
      <c r="L16" s="112">
        <f t="shared" ref="L16:M16" si="19">IF(D16=0,"-",(I16/D16))</f>
        <v>0</v>
      </c>
      <c r="M16" s="112">
        <f t="shared" si="19"/>
        <v>0</v>
      </c>
      <c r="N16" s="112">
        <f t="shared" ref="N16" si="20">IF(E16=0,"-",(K16/E16))</f>
        <v>1</v>
      </c>
      <c r="O16" s="112">
        <f t="shared" ref="O16" si="21">IF(E16=0,"-",(M16+N16))</f>
        <v>1</v>
      </c>
      <c r="P16" s="102"/>
    </row>
    <row r="17" spans="1:16" s="135" customFormat="1" ht="29.25" customHeight="1" x14ac:dyDescent="0.3">
      <c r="A17" s="46">
        <v>12</v>
      </c>
      <c r="B17" s="186" t="s">
        <v>145</v>
      </c>
      <c r="C17" s="187"/>
      <c r="D17" s="19">
        <v>19</v>
      </c>
      <c r="E17" s="19">
        <v>20</v>
      </c>
      <c r="F17" s="19"/>
      <c r="G17" s="19"/>
      <c r="H17" s="19"/>
      <c r="I17" s="19"/>
      <c r="J17" s="19"/>
      <c r="K17" s="21">
        <v>20</v>
      </c>
      <c r="L17" s="22">
        <f t="shared" ref="L17:M17" si="22">IF(D17=0,"-",(I17/D17))</f>
        <v>0</v>
      </c>
      <c r="M17" s="22">
        <f t="shared" si="22"/>
        <v>0</v>
      </c>
      <c r="N17" s="22">
        <f t="shared" ref="N17" si="23">IF(E17=0,"-",(K17/E17))</f>
        <v>1</v>
      </c>
      <c r="O17" s="22">
        <f t="shared" ref="O17" si="24">IF(E17=0,"-",(M17+N17))</f>
        <v>1</v>
      </c>
      <c r="P17" s="131"/>
    </row>
    <row r="18" spans="1:16" ht="18" customHeight="1" x14ac:dyDescent="0.3">
      <c r="A18" s="1">
        <v>13</v>
      </c>
      <c r="B18" s="188" t="s">
        <v>146</v>
      </c>
      <c r="C18" s="189"/>
      <c r="D18" s="19">
        <v>26</v>
      </c>
      <c r="E18" s="19">
        <v>26</v>
      </c>
      <c r="F18" s="19"/>
      <c r="G18" s="19"/>
      <c r="H18" s="19"/>
      <c r="I18" s="19"/>
      <c r="J18" s="19"/>
      <c r="K18" s="21">
        <v>26</v>
      </c>
      <c r="L18" s="112">
        <f t="shared" ref="L18:M18" si="25">IF(D18=0,"-",(I18/D18))</f>
        <v>0</v>
      </c>
      <c r="M18" s="112">
        <f t="shared" si="25"/>
        <v>0</v>
      </c>
      <c r="N18" s="112">
        <f t="shared" ref="N18" si="26">IF(E18=0,"-",(K18/E18))</f>
        <v>1</v>
      </c>
      <c r="O18" s="112">
        <f t="shared" ref="O18" si="27">IF(E18=0,"-",(M18+N18))</f>
        <v>1</v>
      </c>
      <c r="P18" s="77"/>
    </row>
    <row r="19" spans="1:16" x14ac:dyDescent="0.3">
      <c r="A19" s="1">
        <v>14</v>
      </c>
      <c r="B19" s="186" t="s">
        <v>147</v>
      </c>
      <c r="C19" s="187"/>
      <c r="D19" s="19">
        <v>2</v>
      </c>
      <c r="E19" s="19">
        <v>2</v>
      </c>
      <c r="F19" s="19"/>
      <c r="G19" s="19"/>
      <c r="H19" s="19"/>
      <c r="I19" s="19"/>
      <c r="J19" s="19"/>
      <c r="K19" s="21">
        <v>2</v>
      </c>
      <c r="L19" s="112">
        <f t="shared" ref="L19:M19" si="28">IF(D19=0,"-",(I19/D19))</f>
        <v>0</v>
      </c>
      <c r="M19" s="112">
        <f t="shared" si="28"/>
        <v>0</v>
      </c>
      <c r="N19" s="112">
        <f t="shared" ref="N19" si="29">IF(E19=0,"-",(K19/E19))</f>
        <v>1</v>
      </c>
      <c r="O19" s="112">
        <f t="shared" ref="O19" si="30">IF(E19=0,"-",(M19+N19))</f>
        <v>1</v>
      </c>
      <c r="P19" s="99"/>
    </row>
    <row r="20" spans="1:16" x14ac:dyDescent="0.3">
      <c r="C20" s="16"/>
    </row>
  </sheetData>
  <autoFilter ref="A5:P19" xr:uid="{00000000-0009-0000-0000-000006000000}"/>
  <mergeCells count="16">
    <mergeCell ref="B1:P1"/>
    <mergeCell ref="A2:P2"/>
    <mergeCell ref="B8:C8"/>
    <mergeCell ref="B9:C9"/>
    <mergeCell ref="B10:C10"/>
    <mergeCell ref="B16:C16"/>
    <mergeCell ref="B17:C17"/>
    <mergeCell ref="B18:C18"/>
    <mergeCell ref="B19:C19"/>
    <mergeCell ref="B6:C6"/>
    <mergeCell ref="B7:C7"/>
    <mergeCell ref="B14:C14"/>
    <mergeCell ref="B11:C11"/>
    <mergeCell ref="B12:C12"/>
    <mergeCell ref="B13:C13"/>
    <mergeCell ref="B15:C15"/>
  </mergeCells>
  <dataValidations count="2">
    <dataValidation type="whole" allowBlank="1" showInputMessage="1" showErrorMessage="1" sqref="D6:F19 H6:J19" xr:uid="{00000000-0002-0000-0600-000000000000}">
      <formula1>0</formula1>
      <formula2>50000</formula2>
    </dataValidation>
    <dataValidation type="whole" allowBlank="1" showInputMessage="1" showErrorMessage="1" errorTitle="Value Between 0 to 200000" sqref="K6:K14 K16:K19" xr:uid="{00000000-0002-0000-0600-000001000000}">
      <formula1>0</formula1>
      <formula2>200000</formula2>
    </dataValidation>
  </dataValidations>
  <printOptions horizontalCentered="1"/>
  <pageMargins left="0.39370078740157483" right="0.27559055118110237" top="0.35433070866141736" bottom="0.35433070866141736" header="0.31496062992125984" footer="0.31496062992125984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tabSelected="1" view="pageBreakPreview" zoomScaleNormal="100" zoomScaleSheetLayoutView="100" workbookViewId="0">
      <pane ySplit="2" topLeftCell="A3" activePane="bottomLeft" state="frozen"/>
      <selection pane="bottomLeft" activeCell="I18" sqref="I18"/>
    </sheetView>
  </sheetViews>
  <sheetFormatPr defaultColWidth="9.109375" defaultRowHeight="15" x14ac:dyDescent="0.25"/>
  <cols>
    <col min="1" max="1" width="9.33203125" style="109" customWidth="1"/>
    <col min="2" max="2" width="26.5546875" style="83" customWidth="1"/>
    <col min="3" max="4" width="12.33203125" style="83" customWidth="1"/>
    <col min="5" max="5" width="14.33203125" style="83" customWidth="1"/>
    <col min="6" max="7" width="10.88671875" style="83" customWidth="1"/>
    <col min="8" max="8" width="16" style="83" customWidth="1"/>
    <col min="9" max="9" width="14.44140625" style="83" customWidth="1"/>
    <col min="10" max="10" width="26" style="83" customWidth="1"/>
    <col min="11" max="11" width="9.109375" style="83"/>
    <col min="12" max="12" width="14.5546875" style="83" customWidth="1"/>
    <col min="13" max="16384" width="9.109375" style="83"/>
  </cols>
  <sheetData>
    <row r="1" spans="1:12" ht="15.6" x14ac:dyDescent="0.3">
      <c r="A1" s="79"/>
      <c r="B1" s="80"/>
      <c r="C1" s="79"/>
      <c r="D1" s="81"/>
      <c r="E1" s="81"/>
      <c r="F1" s="81"/>
      <c r="G1" s="81"/>
      <c r="H1" s="81"/>
      <c r="I1" s="81"/>
      <c r="J1" s="154" t="s">
        <v>79</v>
      </c>
      <c r="K1" s="154"/>
      <c r="L1" s="154"/>
    </row>
    <row r="2" spans="1:12" ht="30.75" customHeight="1" x14ac:dyDescent="0.25">
      <c r="A2" s="155" t="s">
        <v>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2" ht="19.5" customHeight="1" x14ac:dyDescent="0.25">
      <c r="A3" s="165" t="s">
        <v>81</v>
      </c>
      <c r="B3" s="165" t="s">
        <v>82</v>
      </c>
      <c r="C3" s="156" t="s">
        <v>84</v>
      </c>
      <c r="D3" s="157"/>
      <c r="E3" s="156" t="s">
        <v>85</v>
      </c>
      <c r="F3" s="158"/>
      <c r="G3" s="158"/>
      <c r="H3" s="158"/>
      <c r="I3" s="157"/>
      <c r="J3" s="159" t="s">
        <v>85</v>
      </c>
      <c r="K3" s="161" t="s">
        <v>90</v>
      </c>
      <c r="L3" s="163" t="s">
        <v>83</v>
      </c>
    </row>
    <row r="4" spans="1:12" ht="15.6" x14ac:dyDescent="0.25">
      <c r="A4" s="166"/>
      <c r="B4" s="166"/>
      <c r="C4" s="144" t="s">
        <v>86</v>
      </c>
      <c r="D4" s="144" t="s">
        <v>87</v>
      </c>
      <c r="E4" s="144" t="s">
        <v>34</v>
      </c>
      <c r="F4" s="144" t="s">
        <v>27</v>
      </c>
      <c r="G4" s="144" t="s">
        <v>88</v>
      </c>
      <c r="H4" s="144" t="s">
        <v>37</v>
      </c>
      <c r="I4" s="144" t="s">
        <v>89</v>
      </c>
      <c r="J4" s="160"/>
      <c r="K4" s="162"/>
      <c r="L4" s="164"/>
    </row>
    <row r="5" spans="1:12" ht="53.25" customHeight="1" x14ac:dyDescent="0.25">
      <c r="A5" s="31">
        <v>1</v>
      </c>
      <c r="B5" s="77" t="s">
        <v>148</v>
      </c>
      <c r="C5" s="143" t="s">
        <v>67</v>
      </c>
      <c r="D5" s="143" t="s">
        <v>67</v>
      </c>
      <c r="E5" s="143"/>
      <c r="F5" s="143"/>
      <c r="G5" s="143"/>
      <c r="H5" s="143"/>
      <c r="I5" s="143"/>
      <c r="J5" s="143"/>
      <c r="K5" s="82"/>
      <c r="L5" s="82"/>
    </row>
    <row r="6" spans="1:12" x14ac:dyDescent="0.25">
      <c r="A6" s="31">
        <v>2</v>
      </c>
      <c r="B6" s="77" t="s">
        <v>149</v>
      </c>
      <c r="C6" s="143" t="s">
        <v>67</v>
      </c>
      <c r="D6" s="143" t="s">
        <v>67</v>
      </c>
      <c r="E6" s="143"/>
      <c r="F6" s="143"/>
      <c r="G6" s="143"/>
      <c r="H6" s="143"/>
      <c r="I6" s="143"/>
      <c r="J6" s="143"/>
      <c r="K6" s="82"/>
      <c r="L6" s="82"/>
    </row>
    <row r="7" spans="1:12" x14ac:dyDescent="0.25">
      <c r="A7" s="31">
        <v>3</v>
      </c>
      <c r="B7" s="77" t="s">
        <v>150</v>
      </c>
      <c r="C7" s="143" t="s">
        <v>67</v>
      </c>
      <c r="D7" s="143" t="s">
        <v>67</v>
      </c>
      <c r="E7" s="143"/>
      <c r="F7" s="143"/>
      <c r="G7" s="143"/>
      <c r="H7" s="143"/>
      <c r="I7" s="143"/>
      <c r="J7" s="143"/>
      <c r="K7" s="82"/>
      <c r="L7" s="82"/>
    </row>
    <row r="8" spans="1:12" x14ac:dyDescent="0.25">
      <c r="A8" s="31">
        <v>4</v>
      </c>
      <c r="B8" s="77" t="s">
        <v>151</v>
      </c>
      <c r="C8" s="143" t="s">
        <v>67</v>
      </c>
      <c r="D8" s="143" t="s">
        <v>67</v>
      </c>
      <c r="E8" s="143"/>
      <c r="F8" s="143"/>
      <c r="G8" s="143"/>
      <c r="H8" s="143"/>
      <c r="I8" s="143"/>
      <c r="J8" s="143"/>
      <c r="K8" s="82"/>
      <c r="L8" s="82"/>
    </row>
    <row r="9" spans="1:12" x14ac:dyDescent="0.25">
      <c r="A9" s="31">
        <v>5</v>
      </c>
      <c r="B9" s="77" t="s">
        <v>152</v>
      </c>
      <c r="C9" s="143" t="s">
        <v>67</v>
      </c>
      <c r="D9" s="143" t="s">
        <v>67</v>
      </c>
      <c r="E9" s="143"/>
      <c r="F9" s="143"/>
      <c r="G9" s="143"/>
      <c r="H9" s="143"/>
      <c r="I9" s="143"/>
      <c r="J9" s="143"/>
      <c r="K9" s="82"/>
      <c r="L9" s="82"/>
    </row>
    <row r="10" spans="1:12" x14ac:dyDescent="0.25">
      <c r="A10" s="31">
        <v>6</v>
      </c>
      <c r="B10" s="77" t="s">
        <v>153</v>
      </c>
      <c r="C10" s="143" t="s">
        <v>67</v>
      </c>
      <c r="D10" s="143" t="s">
        <v>67</v>
      </c>
      <c r="E10" s="143"/>
      <c r="F10" s="143"/>
      <c r="G10" s="143"/>
      <c r="H10" s="143"/>
      <c r="I10" s="143"/>
      <c r="J10" s="143"/>
      <c r="K10" s="82"/>
      <c r="L10" s="82"/>
    </row>
    <row r="11" spans="1:12" x14ac:dyDescent="0.25">
      <c r="A11" s="31">
        <v>7</v>
      </c>
      <c r="B11" s="77" t="s">
        <v>154</v>
      </c>
      <c r="C11" s="142" t="s">
        <v>67</v>
      </c>
      <c r="D11" s="142" t="s">
        <v>67</v>
      </c>
      <c r="E11" s="98"/>
      <c r="F11" s="98"/>
      <c r="G11" s="98"/>
      <c r="H11" s="98"/>
      <c r="I11" s="98"/>
      <c r="J11" s="98"/>
      <c r="K11" s="82"/>
      <c r="L11" s="82"/>
    </row>
  </sheetData>
  <mergeCells count="9">
    <mergeCell ref="J1:L1"/>
    <mergeCell ref="A2:J2"/>
    <mergeCell ref="C3:D3"/>
    <mergeCell ref="E3:I3"/>
    <mergeCell ref="J3:J4"/>
    <mergeCell ref="K3:K4"/>
    <mergeCell ref="L3:L4"/>
    <mergeCell ref="B3:B4"/>
    <mergeCell ref="A3:A4"/>
  </mergeCells>
  <phoneticPr fontId="19" type="noConversion"/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B Vehicle</vt:lpstr>
      <vt:lpstr>C Vehicle</vt:lpstr>
      <vt:lpstr>ARMT</vt:lpstr>
      <vt:lpstr>SA</vt:lpstr>
      <vt:lpstr>INSTS</vt:lpstr>
      <vt:lpstr>CBRN</vt:lpstr>
      <vt:lpstr>ARMT!Print_Area</vt:lpstr>
      <vt:lpstr>'B Vehicle'!Print_Area</vt:lpstr>
      <vt:lpstr>'C Vehicle'!Print_Area</vt:lpstr>
      <vt:lpstr>CBRN!Print_Area</vt:lpstr>
      <vt:lpstr>INSTS!Print_Area</vt:lpstr>
      <vt:lpstr>SA!Print_Area</vt:lpstr>
      <vt:lpstr>INSTS!Print_Titles</vt:lpstr>
      <vt:lpstr>SA!Print_Titles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2026-03-23T06:55:37Z</dcterms:modified>
</cp:coreProperties>
</file>
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1559485D-E2CB-4C18-A0B4-07A55F5375EE}" xr6:coauthVersionLast="47" xr6:coauthVersionMax="47" xr10:uidLastSave="{00000000-0000-0000-0000-000000000000}"/>
  <bookViews>
    <workbookView xWindow="-108" yWindow="-108" windowWidth="23256" windowHeight="12456" tabRatio="876" activeTab="4" xr2:uid="{00000000-000D-0000-FFFF-FFFF00000000}"/>
  </bookViews>
  <sheets>
    <sheet name="B Vehicle" sheetId="19" r:id="rId1"/>
    <sheet name="C Vehicle" sheetId="24" r:id="rId2"/>
    <sheet name="ARMT" sheetId="25" r:id="rId3"/>
    <sheet name="SA" sheetId="3" r:id="rId4"/>
    <sheet name="INSTS" sheetId="5" r:id="rId5"/>
  </sheets>
  <definedNames>
    <definedName name="_xlnm._FilterDatabase" localSheetId="0" hidden="1">'B Vehicle'!$A$4:$J$23</definedName>
    <definedName name="_xlnm.Print_Area" localSheetId="2">ARMT!$A$1:$T$9</definedName>
    <definedName name="_xlnm.Print_Area" localSheetId="0">'B Vehicle'!$A$1:$J$23</definedName>
    <definedName name="_xlnm.Print_Area" localSheetId="1">'C Vehicle'!$A$1:$O$19</definedName>
    <definedName name="_xlnm.Print_Area" localSheetId="4">INSTS!$A$1:$P$23</definedName>
    <definedName name="_xlnm.Print_Area" localSheetId="3">SA!$A$1:$Q$10</definedName>
    <definedName name="_xlnm.Print_Titles" localSheetId="2">ARMT!$3:$5</definedName>
    <definedName name="_xlnm.Print_Titles" localSheetId="0">'B Vehicle'!$4:$5</definedName>
    <definedName name="_xlnm.Print_Titles" localSheetId="1">'C Vehicle'!$3:$5</definedName>
    <definedName name="_xlnm.Print_Titles" localSheetId="4">INSTS!$4:$5</definedName>
    <definedName name="_xlnm.Print_Titles" localSheetId="3">SA!$3:$4</definedName>
  </definedNames>
  <calcPr calcId="191029" iterateDelta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5" l="1"/>
  <c r="N20" i="5" s="1"/>
  <c r="L20" i="5"/>
  <c r="M20" i="5"/>
  <c r="P6" i="3"/>
  <c r="O6" i="3"/>
  <c r="N6" i="3"/>
  <c r="M6" i="3"/>
  <c r="L8" i="3" l="1"/>
  <c r="M18" i="5" l="1"/>
  <c r="O18" i="5"/>
  <c r="K23" i="5"/>
  <c r="S9" i="25" l="1"/>
  <c r="Q9" i="25"/>
  <c r="P9" i="25"/>
  <c r="O9" i="25"/>
  <c r="R9" i="25" s="1"/>
  <c r="S8" i="25"/>
  <c r="R8" i="25"/>
  <c r="Q8" i="25"/>
  <c r="P8" i="25"/>
  <c r="S7" i="25"/>
  <c r="R7" i="25"/>
  <c r="Q7" i="25"/>
  <c r="P7" i="25"/>
  <c r="S6" i="25"/>
  <c r="R6" i="25"/>
  <c r="Q6" i="25"/>
  <c r="N12" i="24"/>
  <c r="N11" i="24"/>
  <c r="N8" i="24"/>
  <c r="N6" i="24"/>
  <c r="O16" i="5" l="1"/>
  <c r="O17" i="5"/>
  <c r="M22" i="5" l="1"/>
  <c r="K9" i="5" l="1"/>
  <c r="O11" i="5" l="1"/>
  <c r="P9" i="3" l="1"/>
  <c r="P10" i="3"/>
  <c r="I18" i="5" l="1"/>
  <c r="L18" i="5" s="1"/>
  <c r="I16" i="5" l="1"/>
  <c r="K16" i="5" s="1"/>
  <c r="I22" i="5"/>
  <c r="O8" i="3"/>
  <c r="K22" i="5" l="1"/>
  <c r="N22" i="5" s="1"/>
  <c r="L22" i="5"/>
  <c r="K19" i="5" l="1"/>
  <c r="P7" i="3" l="1"/>
  <c r="P8" i="3"/>
  <c r="K7" i="5"/>
  <c r="N7" i="5" s="1"/>
  <c r="L7" i="5"/>
  <c r="M7" i="5"/>
  <c r="O7" i="5"/>
  <c r="K8" i="5"/>
  <c r="N8" i="5" s="1"/>
  <c r="L8" i="5"/>
  <c r="M8" i="5"/>
  <c r="O8" i="5"/>
  <c r="N9" i="5"/>
  <c r="L9" i="5"/>
  <c r="M9" i="5"/>
  <c r="O9" i="5"/>
  <c r="K10" i="5"/>
  <c r="N10" i="5" s="1"/>
  <c r="L10" i="5"/>
  <c r="M10" i="5"/>
  <c r="O10" i="5"/>
  <c r="K11" i="5"/>
  <c r="N11" i="5" s="1"/>
  <c r="L11" i="5"/>
  <c r="M11" i="5"/>
  <c r="K12" i="5"/>
  <c r="N12" i="5" s="1"/>
  <c r="L12" i="5"/>
  <c r="M12" i="5"/>
  <c r="O12" i="5"/>
  <c r="K13" i="5"/>
  <c r="N13" i="5" s="1"/>
  <c r="L13" i="5"/>
  <c r="M13" i="5"/>
  <c r="O13" i="5"/>
  <c r="K14" i="5"/>
  <c r="N14" i="5" s="1"/>
  <c r="L14" i="5"/>
  <c r="M14" i="5"/>
  <c r="O14" i="5"/>
  <c r="K15" i="5"/>
  <c r="N15" i="5" s="1"/>
  <c r="L15" i="5"/>
  <c r="M15" i="5"/>
  <c r="O15" i="5"/>
  <c r="N16" i="5"/>
  <c r="L16" i="5"/>
  <c r="M16" i="5"/>
  <c r="K17" i="5"/>
  <c r="N17" i="5" s="1"/>
  <c r="L17" i="5"/>
  <c r="M17" i="5"/>
  <c r="K18" i="5"/>
  <c r="N18" i="5" s="1"/>
  <c r="N19" i="5"/>
  <c r="L19" i="5"/>
  <c r="M19" i="5"/>
  <c r="O19" i="5"/>
  <c r="K21" i="5"/>
  <c r="N21" i="5" s="1"/>
  <c r="L21" i="5"/>
  <c r="M21" i="5"/>
  <c r="O21" i="5"/>
  <c r="N23" i="5"/>
  <c r="L23" i="5"/>
  <c r="M23" i="5"/>
  <c r="O23" i="5"/>
  <c r="N7" i="3"/>
  <c r="N8" i="3"/>
  <c r="N9" i="3"/>
  <c r="N10" i="3"/>
  <c r="M7" i="3"/>
  <c r="M8" i="3"/>
  <c r="M9" i="3"/>
  <c r="M10" i="3"/>
  <c r="L7" i="3"/>
  <c r="O7" i="3" s="1"/>
  <c r="L9" i="3"/>
  <c r="O9" i="3" s="1"/>
  <c r="L10" i="3"/>
  <c r="O10" i="3" s="1"/>
</calcChain>
</file>

<file path=xl/sharedStrings.xml><?xml version="1.0" encoding="utf-8"?>
<sst xmlns="http://schemas.openxmlformats.org/spreadsheetml/2006/main" count="260" uniqueCount="150">
  <si>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</si>
  <si>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</si>
  <si>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</si>
  <si>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</si>
  <si>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</si>
  <si>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</si>
  <si>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</si>
  <si>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</si>
  <si>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</si>
  <si>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</si>
  <si>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</si>
  <si>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</si>
  <si>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</si>
  <si>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</si>
  <si>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</si>
  <si>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</si>
  <si>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 xml:space="preserve">Make &amp; Eqpt </t>
  </si>
  <si>
    <t>Dependency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</si>
  <si>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</si>
  <si>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</si>
  <si>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</si>
  <si>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</si>
  <si>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</si>
  <si>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</si>
  <si>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</si>
  <si>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</si>
  <si>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</si>
  <si>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</si>
  <si>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</si>
  <si>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</si>
  <si>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</si>
  <si>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</si>
  <si>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</si>
  <si>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</si>
  <si>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 xml:space="preserve">Remarks 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</si>
  <si>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</si>
  <si>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</si>
  <si>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</si>
  <si>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</si>
  <si>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</si>
  <si>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</si>
  <si>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</si>
  <si>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</si>
  <si>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</si>
  <si>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</si>
  <si>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Eng/Brl</t>
  </si>
  <si>
    <t xml:space="preserve"> Under OH / MR/R4/FR/ Base Repair</t>
  </si>
  <si>
    <t xml:space="preserve">NMC due to </t>
  </si>
  <si>
    <t xml:space="preserve"> Under OH /R4/FR/  Base Repair</t>
  </si>
  <si>
    <t>Total</t>
  </si>
  <si>
    <t xml:space="preserve">        Remarks 
(To incl present loc of eqpt EOA)</t>
  </si>
  <si>
    <t>Fitted with Digicora Met Sys</t>
  </si>
  <si>
    <t>Issued with ETC</t>
  </si>
  <si>
    <t>-</t>
  </si>
  <si>
    <t xml:space="preserve">   </t>
  </si>
  <si>
    <t>Auth</t>
  </si>
  <si>
    <t>Held</t>
  </si>
  <si>
    <t>DRWO</t>
  </si>
  <si>
    <t>NMC (Nos)</t>
  </si>
  <si>
    <t>PMC (Nos)</t>
  </si>
  <si>
    <t>GS Vehs</t>
  </si>
  <si>
    <t>NMC Due To</t>
  </si>
  <si>
    <t>Tata (2KL Water Bowser)</t>
  </si>
  <si>
    <t>ALS (5KL Water Boswer)</t>
  </si>
  <si>
    <t>Cl-V/ IV</t>
  </si>
  <si>
    <t>Fitted with Lrs &amp; Comd Post Veh</t>
  </si>
  <si>
    <t>Fitted with Comd Post Veh</t>
  </si>
  <si>
    <t>Fitted in LCR</t>
  </si>
  <si>
    <t>R4/Cl-V</t>
  </si>
  <si>
    <t>17*</t>
  </si>
  <si>
    <t>3*</t>
  </si>
  <si>
    <t>1*</t>
  </si>
  <si>
    <t>*ALS Med Amb 4x4 held in lieu</t>
  </si>
  <si>
    <t>*Held in lieu of 2.5 Ton Amb</t>
  </si>
  <si>
    <r>
      <t>1</t>
    </r>
    <r>
      <rPr>
        <b/>
        <vertAlign val="superscript"/>
        <sz val="11"/>
        <rFont val="Arial"/>
        <family val="2"/>
      </rPr>
      <t>#</t>
    </r>
  </si>
  <si>
    <t>0*</t>
  </si>
  <si>
    <t>* 01x7.6KVA held in lieu (Welding Genr)</t>
  </si>
  <si>
    <t>*Declared BER due to poor performance and no Output</t>
  </si>
  <si>
    <t>*Cyl head of air comp bkn (Under local purchase)</t>
  </si>
  <si>
    <t>01 x Single Phase Bty Charger UR at 510 ABW</t>
  </si>
  <si>
    <t>Eng assy decl BER due to internal crack . Half eng assy &amp; Head Complete Cyl  demanded on 09 Oct 25</t>
  </si>
  <si>
    <t>*05 x Lrs PMC with details are as under:-
05 x Aux console UR at 510 ABW.                                                         
03 x Main Console UR at 510 ABW.
02 x SIGMA-30 UR at 510 ABW 
04 x SAU UR at 510 ABW
02 x LCU UR at 510 ABW
06 x Single Phase Bty Charger UR at 510 ABW</t>
  </si>
  <si>
    <t>FMN READINESS STATE OF 172 (I) FWC (PINAKA) FOR THE MONTH OF DEC 2025 : 'B' VEHS</t>
  </si>
  <si>
    <t>Appx 'B'
(Ref 172 (I) FWC letter No 70304/FRS/TC-16 dt      Dec  25)</t>
  </si>
  <si>
    <r>
      <t>*1+</t>
    </r>
    <r>
      <rPr>
        <b/>
        <vertAlign val="superscript"/>
        <sz val="11"/>
        <color theme="1"/>
        <rFont val="Arial"/>
        <family val="2"/>
      </rPr>
      <t>@</t>
    </r>
    <r>
      <rPr>
        <b/>
        <sz val="11"/>
        <color theme="1"/>
        <rFont val="Arial"/>
        <family val="2"/>
      </rPr>
      <t>1</t>
    </r>
  </si>
  <si>
    <t>1@</t>
  </si>
  <si>
    <r>
      <rPr>
        <b/>
        <sz val="11"/>
        <rFont val="Arial"/>
        <family val="2"/>
      </rPr>
      <t xml:space="preserve">Appx </t>
    </r>
    <r>
      <rPr>
        <sz val="11"/>
        <rFont val="Arial"/>
        <family val="2"/>
      </rPr>
      <t>'</t>
    </r>
    <r>
      <rPr>
        <b/>
        <sz val="11"/>
        <rFont val="Arial"/>
        <family val="2"/>
      </rPr>
      <t>C</t>
    </r>
    <r>
      <rPr>
        <sz val="11"/>
        <rFont val="Arial"/>
        <family val="2"/>
      </rPr>
      <t>'
(Ref 172 (I) FWC letter No 
70304/FRS/TC-16 dt     Dec 2025)</t>
    </r>
  </si>
  <si>
    <t>FMN READINESS STATE OF 172 (I) FD WKSP COY (PINAKA) FOR THE MONTH OF DEC 2025 : 'C' VEHS</t>
  </si>
  <si>
    <t>FMN READINESS STATE OF 172 (I) FD WKSP COY (PINAKA) FOR THE MONTH OF DEC 2025  : ARMT</t>
  </si>
  <si>
    <r>
      <rPr>
        <b/>
        <sz val="11"/>
        <rFont val="Arial"/>
        <family val="2"/>
      </rPr>
      <t xml:space="preserve">Appx </t>
    </r>
    <r>
      <rPr>
        <sz val="11"/>
        <rFont val="Arial"/>
        <family val="2"/>
      </rPr>
      <t>'</t>
    </r>
    <r>
      <rPr>
        <b/>
        <sz val="11"/>
        <rFont val="Arial"/>
        <family val="2"/>
      </rPr>
      <t>E</t>
    </r>
    <r>
      <rPr>
        <sz val="11"/>
        <rFont val="Arial"/>
        <family val="2"/>
      </rPr>
      <t>'
(Ref 172 (I) FWC letter No 
70304/FRS/TC dt     Dec 2025)</t>
    </r>
  </si>
  <si>
    <t>FMN READINESS STATE OF 172 (I) FD WKSP COY (PINAKA) FOR THE MONTH OF DEC 2025 : SMALL ARMS</t>
  </si>
  <si>
    <t>FMN READINESS STATE OF 172 (I) FD WKSP COY (PINAKA) FOR THE MONTH OF DEC 2025  : INSTS</t>
  </si>
  <si>
    <r>
      <rPr>
        <b/>
        <sz val="11"/>
        <rFont val="Arial"/>
        <family val="2"/>
      </rPr>
      <t xml:space="preserve">Appx </t>
    </r>
    <r>
      <rPr>
        <sz val="11"/>
        <rFont val="Arial"/>
        <family val="2"/>
      </rPr>
      <t>'H'
(Ref 172 (I) FWC letter No 
70304/FRS/TC-16 dt     Dec 2025)</t>
    </r>
  </si>
  <si>
    <t>*03 x ALS based held in lieu (Digicora mtd)</t>
  </si>
  <si>
    <r>
      <rPr>
        <b/>
        <sz val="12"/>
        <rFont val="Arial"/>
        <family val="2"/>
      </rPr>
      <t>Appx 'E'</t>
    </r>
    <r>
      <rPr>
        <sz val="12"/>
        <rFont val="Arial"/>
        <family val="2"/>
      </rPr>
      <t xml:space="preserve">
(Ref 172 (I) FWC letter No  70304/FRS/TC dt    Dec  2025)</t>
    </r>
  </si>
  <si>
    <t>The veh (LCR BA No 08E019847E) fwd to 508 ABW (on 25  Nov 25 &amp; reported to 508 ABW on 29  Nov 25) for the change of cracked chassis.</t>
  </si>
  <si>
    <r>
      <t xml:space="preserve">* The veh (LCR BA No 08E019847E) fwd to 508 ABW (on 25  Nov 25 &amp; reported to 508 ABW on 29  Nov 25) for the change of cracked chassis.
</t>
    </r>
    <r>
      <rPr>
        <b/>
        <sz val="11"/>
        <color theme="1"/>
        <rFont val="Arial"/>
        <family val="2"/>
      </rPr>
      <t>@ 1 x Eng Assy of RV decl BER due to excessive wot in all cyl. New eng assy demanded on 27 Oct 25.</t>
    </r>
  </si>
  <si>
    <r>
      <t>03* x Digicora mtd (held in lieu of HMV 4x4).</t>
    </r>
    <r>
      <rPr>
        <b/>
        <vertAlign val="superscript"/>
        <sz val="11"/>
        <rFont val="Arial"/>
        <family val="2"/>
      </rPr>
      <t xml:space="preserve">
</t>
    </r>
    <r>
      <rPr>
        <b/>
        <sz val="11"/>
        <rFont val="Arial"/>
        <family val="2"/>
      </rPr>
      <t>01</t>
    </r>
    <r>
      <rPr>
        <b/>
        <vertAlign val="superscript"/>
        <sz val="11"/>
        <rFont val="Arial"/>
        <family val="2"/>
      </rPr>
      <t>#</t>
    </r>
    <r>
      <rPr>
        <b/>
        <sz val="11"/>
        <rFont val="Arial"/>
        <family val="2"/>
      </rPr>
      <t xml:space="preserve"> x Downgraded to Cl-V. Being backloaded.
</t>
    </r>
    <r>
      <rPr>
        <b/>
        <sz val="11"/>
        <color rgb="FFFF0000"/>
        <rFont val="Arial"/>
        <family val="2"/>
      </rPr>
      <t>01</t>
    </r>
    <r>
      <rPr>
        <b/>
        <vertAlign val="superscript"/>
        <sz val="11"/>
        <color rgb="FFFF0000"/>
        <rFont val="Arial"/>
        <family val="2"/>
      </rPr>
      <t>@</t>
    </r>
    <r>
      <rPr>
        <b/>
        <sz val="11"/>
        <color rgb="FFFF0000"/>
        <rFont val="Arial"/>
        <family val="2"/>
      </rPr>
      <t xml:space="preserve"> x Eng assy decl BER due to wot in all cylender. Eng assy demanded on 22 Dec 25</t>
    </r>
  </si>
  <si>
    <t>B1</t>
  </si>
  <si>
    <t>B2</t>
  </si>
  <si>
    <t>B3</t>
  </si>
  <si>
    <t>B18</t>
  </si>
  <si>
    <t>B35</t>
  </si>
  <si>
    <t>B58</t>
  </si>
  <si>
    <t>B61</t>
  </si>
  <si>
    <t>B64</t>
  </si>
  <si>
    <t>B65</t>
  </si>
  <si>
    <t>B70</t>
  </si>
  <si>
    <t>B71</t>
  </si>
  <si>
    <t>B73</t>
  </si>
  <si>
    <t>B74</t>
  </si>
  <si>
    <t>B80</t>
  </si>
  <si>
    <t>C13</t>
  </si>
  <si>
    <t>C30</t>
  </si>
  <si>
    <t>C65</t>
  </si>
  <si>
    <t>C68</t>
  </si>
  <si>
    <t>C227</t>
  </si>
  <si>
    <t>C213</t>
  </si>
  <si>
    <t>C77</t>
  </si>
  <si>
    <t>C83</t>
  </si>
  <si>
    <t>C84</t>
  </si>
  <si>
    <t>C99</t>
  </si>
  <si>
    <t>C108</t>
  </si>
  <si>
    <t>C118</t>
  </si>
  <si>
    <t>C119</t>
  </si>
  <si>
    <t>C66</t>
  </si>
  <si>
    <t>D20</t>
  </si>
  <si>
    <t>D23</t>
  </si>
  <si>
    <t>D24</t>
  </si>
  <si>
    <t>D25</t>
  </si>
  <si>
    <t>S6</t>
  </si>
  <si>
    <t>S10</t>
  </si>
  <si>
    <t>S22</t>
  </si>
  <si>
    <t>S24</t>
  </si>
  <si>
    <t>S26</t>
  </si>
  <si>
    <t>T17</t>
  </si>
  <si>
    <t>T18</t>
  </si>
  <si>
    <t>T25</t>
  </si>
  <si>
    <t>T28</t>
  </si>
  <si>
    <t>T32</t>
  </si>
  <si>
    <t>T39</t>
  </si>
  <si>
    <t>T46</t>
  </si>
  <si>
    <t>T48</t>
  </si>
  <si>
    <t>T51</t>
  </si>
  <si>
    <t>T53</t>
  </si>
  <si>
    <t>T55</t>
  </si>
  <si>
    <t>T60</t>
  </si>
  <si>
    <t>T67</t>
  </si>
  <si>
    <t>T78</t>
  </si>
  <si>
    <t>T87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</si>
</sst>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 tint="0.14999847407452621"/>
      <name val="Arial"/>
      <family val="2"/>
    </font>
    <font>
      <b/>
      <sz val="12"/>
      <color theme="1" tint="0.14999847407452621"/>
      <name val="Arial"/>
      <family val="2"/>
    </font>
    <font>
      <b/>
      <u/>
      <sz val="12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b/>
      <sz val="11"/>
      <color rgb="FFFF0000"/>
      <name val="Arial"/>
      <family val="2"/>
    </font>
    <font>
      <sz val="14"/>
      <name val="Arial"/>
      <family val="2"/>
    </font>
    <font>
      <b/>
      <sz val="11"/>
      <color theme="1"/>
      <name val="Calibri"/>
      <family val="2"/>
      <scheme val="minor"/>
    </font>
    <font>
      <b/>
      <vertAlign val="superscript"/>
      <sz val="1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perscript"/>
      <sz val="11"/>
      <color theme="1"/>
      <name val="Arial"/>
      <family val="2"/>
    </font>
    <font>
      <b/>
      <sz val="14"/>
      <color rgb="FFFF0000"/>
      <name val="Arial"/>
      <family val="2"/>
    </font>
    <font>
      <b/>
      <vertAlign val="superscript"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4" fillId="0" borderId="0"/>
    <xf numFmtId="9" fontId="5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85">
    <xf numFmtId="0" fontId="0" fillId="0" borderId="0" xfId="0"/>
    <xf numFmtId="0" fontId="10" fillId="2" borderId="1" xfId="0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3" fillId="0" borderId="1" xfId="0" applyFont="1" applyBorder="1" applyAlignment="1">
      <alignment horizontal="left" vertical="center" wrapText="1"/>
    </xf>
    <xf numFmtId="10" fontId="3" fillId="0" borderId="1" xfId="3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 applyProtection="1">
      <alignment vertical="top" wrapText="1"/>
      <protection locked="0"/>
    </xf>
    <xf numFmtId="0" fontId="3" fillId="0" borderId="0" xfId="0" applyFont="1" applyAlignment="1">
      <alignment horizontal="left" indent="2"/>
    </xf>
    <xf numFmtId="0" fontId="3" fillId="0" borderId="0" xfId="0" applyFont="1" applyAlignment="1" applyProtection="1">
      <alignment horizontal="center"/>
      <protection locked="0"/>
    </xf>
    <xf numFmtId="10" fontId="10" fillId="0" borderId="1" xfId="3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left" indent="2"/>
    </xf>
    <xf numFmtId="0" fontId="2" fillId="2" borderId="0" xfId="0" applyFont="1" applyFill="1" applyAlignment="1">
      <alignment horizontal="left" indent="2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3" fillId="2" borderId="1" xfId="0" applyFont="1" applyFill="1" applyBorder="1" applyAlignment="1">
      <alignment vertical="top" wrapText="1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/>
    <xf numFmtId="0" fontId="1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indent="2"/>
    </xf>
    <xf numFmtId="0" fontId="1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 applyProtection="1">
      <alignment horizontal="left" indent="2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vertical="top" wrapText="1"/>
      <protection locked="0"/>
    </xf>
    <xf numFmtId="0" fontId="10" fillId="0" borderId="1" xfId="0" applyFont="1" applyBorder="1" applyAlignment="1" applyProtection="1">
      <alignment horizontal="left" indent="2"/>
      <protection locked="0"/>
    </xf>
    <xf numFmtId="0" fontId="2" fillId="0" borderId="1" xfId="0" applyFont="1" applyBorder="1" applyAlignment="1">
      <alignment horizontal="center" vertical="top" wrapText="1"/>
    </xf>
    <xf numFmtId="0" fontId="14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indent="2"/>
    </xf>
    <xf numFmtId="0" fontId="3" fillId="2" borderId="1" xfId="0" applyFont="1" applyFill="1" applyBorder="1" applyAlignment="1">
      <alignment horizontal="left" vertical="center"/>
    </xf>
    <xf numFmtId="0" fontId="14" fillId="0" borderId="0" xfId="0" applyFont="1"/>
    <xf numFmtId="10" fontId="3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indent="2"/>
    </xf>
    <xf numFmtId="0" fontId="11" fillId="0" borderId="0" xfId="0" applyFont="1" applyAlignment="1">
      <alignment vertical="top"/>
    </xf>
    <xf numFmtId="0" fontId="6" fillId="0" borderId="0" xfId="0" applyFont="1" applyAlignment="1">
      <alignment horizontal="left" indent="2"/>
    </xf>
    <xf numFmtId="0" fontId="12" fillId="0" borderId="1" xfId="0" applyFont="1" applyBorder="1" applyAlignment="1" applyProtection="1">
      <alignment horizontal="center" vertical="center" wrapText="1"/>
      <protection locked="0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0" fontId="12" fillId="0" borderId="1" xfId="3" applyNumberFormat="1" applyFont="1" applyFill="1" applyBorder="1" applyAlignment="1" applyProtection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10" fontId="10" fillId="0" borderId="1" xfId="3" applyNumberFormat="1" applyFont="1" applyFill="1" applyBorder="1" applyAlignment="1" applyProtection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>
      <alignment horizontal="left" indent="2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 applyProtection="1">
      <alignment vertical="top"/>
      <protection locked="0"/>
    </xf>
    <xf numFmtId="0" fontId="20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7" fillId="2" borderId="1" xfId="3" applyNumberFormat="1" applyFont="1" applyFill="1" applyBorder="1" applyAlignment="1" applyProtection="1">
      <alignment horizontal="center" vertical="center"/>
    </xf>
    <xf numFmtId="0" fontId="0" fillId="2" borderId="0" xfId="0" applyFill="1"/>
    <xf numFmtId="0" fontId="7" fillId="2" borderId="1" xfId="0" applyFont="1" applyFill="1" applyBorder="1" applyAlignment="1">
      <alignment horizontal="left" indent="2"/>
    </xf>
    <xf numFmtId="0" fontId="21" fillId="2" borderId="0" xfId="0" applyFont="1" applyFill="1"/>
    <xf numFmtId="0" fontId="10" fillId="2" borderId="4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5" fillId="2" borderId="1" xfId="0" applyFont="1" applyFill="1" applyBorder="1"/>
    <xf numFmtId="0" fontId="7" fillId="0" borderId="1" xfId="0" applyFont="1" applyBorder="1" applyAlignment="1" applyProtection="1">
      <alignment vertical="top" wrapText="1"/>
      <protection locked="0"/>
    </xf>
    <xf numFmtId="0" fontId="7" fillId="0" borderId="1" xfId="0" applyFont="1" applyBorder="1" applyAlignment="1">
      <alignment vertical="center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>
      <alignment horizontal="left" vertical="center"/>
    </xf>
    <xf numFmtId="0" fontId="0" fillId="2" borderId="0" xfId="0" applyFill="1" applyAlignment="1">
      <alignment vertical="center"/>
    </xf>
    <xf numFmtId="0" fontId="9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0" xfId="0" applyFont="1" applyAlignment="1">
      <alignment horizontal="left" indent="2"/>
    </xf>
    <xf numFmtId="0" fontId="17" fillId="2" borderId="0" xfId="0" applyFont="1" applyFill="1" applyAlignment="1">
      <alignment horizontal="left" vertical="top"/>
    </xf>
    <xf numFmtId="0" fontId="7" fillId="0" borderId="1" xfId="4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10" fontId="9" fillId="2" borderId="1" xfId="3" applyNumberFormat="1" applyFont="1" applyFill="1" applyBorder="1" applyAlignment="1" applyProtection="1">
      <alignment horizontal="center" vertical="center" wrapText="1"/>
    </xf>
    <xf numFmtId="0" fontId="26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vertical="center"/>
      <protection locked="0"/>
    </xf>
    <xf numFmtId="0" fontId="10" fillId="0" borderId="2" xfId="0" applyFont="1" applyBorder="1" applyAlignment="1" applyProtection="1">
      <alignment vertical="center"/>
      <protection locked="0"/>
    </xf>
    <xf numFmtId="0" fontId="10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justify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9" fillId="2" borderId="4" xfId="0" applyFont="1" applyFill="1" applyBorder="1" applyAlignment="1">
      <alignment horizontal="justify" vertical="center" wrapText="1"/>
    </xf>
    <xf numFmtId="0" fontId="9" fillId="2" borderId="5" xfId="0" applyFont="1" applyFill="1" applyBorder="1" applyAlignment="1">
      <alignment horizontal="justify" vertical="center" wrapText="1"/>
    </xf>
    <xf numFmtId="0" fontId="18" fillId="2" borderId="0" xfId="0" applyFont="1" applyFill="1" applyAlignment="1">
      <alignment horizontal="center" vertical="top"/>
    </xf>
    <xf numFmtId="0" fontId="13" fillId="2" borderId="6" xfId="0" applyFont="1" applyFill="1" applyBorder="1" applyAlignment="1">
      <alignment horizontal="left" vertical="top"/>
    </xf>
    <xf numFmtId="0" fontId="10" fillId="2" borderId="6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4" xfId="2" xr:uid="{00000000-0005-0000-0000-000003000000}"/>
    <cellStyle name="Percent" xfId="3" builtinId="5"/>
  </cellStyles>
  <dxfs count="6"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*1+@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2:U118"/>
  <sheetViews>
    <sheetView view="pageBreakPreview" zoomScale="85" zoomScaleNormal="70" zoomScaleSheetLayoutView="85" workbookViewId="0">
      <pane ySplit="5" topLeftCell="A6" activePane="bottomLeft" state="frozen"/>
      <selection activeCell="A2" sqref="A2:O2"/>
      <selection pane="bottomLeft" activeCell="A8" sqref="A8:A23"/>
    </sheetView>
  </sheetViews>
  <sheetFormatPr defaultColWidth="9.109375" defaultRowHeight="13.8" x14ac:dyDescent="0.25"/>
  <cols>
    <col min="1" max="1" width="7" style="10" customWidth="1"/>
    <col min="2" max="2" width="51.6640625" style="12" customWidth="1"/>
    <col min="3" max="3" width="7.88671875" style="11" customWidth="1"/>
    <col min="4" max="4" width="7.44140625" style="11" customWidth="1"/>
    <col min="5" max="5" width="7.5546875" style="11" customWidth="1"/>
    <col min="6" max="6" width="7.6640625" style="11" customWidth="1"/>
    <col min="7" max="7" width="8.109375" style="11" customWidth="1"/>
    <col min="8" max="8" width="7.33203125" style="11" customWidth="1"/>
    <col min="9" max="9" width="8.33203125" style="11" customWidth="1"/>
    <col min="10" max="10" width="81.88671875" style="13" customWidth="1"/>
    <col min="11" max="16384" width="9.109375" style="12"/>
  </cols>
  <sheetData>
    <row r="2" spans="1:21" ht="53.25" customHeight="1" x14ac:dyDescent="0.25">
      <c r="J2" s="13" t="s">
        <v>83</v>
      </c>
    </row>
    <row r="3" spans="1:21" s="15" customFormat="1" ht="19.5" customHeight="1" x14ac:dyDescent="0.25">
      <c r="A3" s="129" t="s">
        <v>82</v>
      </c>
      <c r="B3" s="129"/>
      <c r="C3" s="129"/>
      <c r="D3" s="129"/>
      <c r="E3" s="129"/>
      <c r="F3" s="129"/>
      <c r="G3" s="129"/>
      <c r="H3" s="129"/>
      <c r="I3" s="129"/>
      <c r="J3" s="129"/>
    </row>
    <row r="4" spans="1:21" s="30" customFormat="1" ht="24" customHeight="1" x14ac:dyDescent="0.3">
      <c r="A4" s="130" t="s">
        <v>0</v>
      </c>
      <c r="B4" s="132" t="s">
        <v>14</v>
      </c>
      <c r="C4" s="134" t="s">
        <v>17</v>
      </c>
      <c r="D4" s="135"/>
      <c r="E4" s="136" t="s">
        <v>61</v>
      </c>
      <c r="F4" s="136"/>
      <c r="G4" s="136"/>
      <c r="H4" s="136"/>
      <c r="I4" s="132" t="s">
        <v>33</v>
      </c>
      <c r="J4" s="132" t="s">
        <v>34</v>
      </c>
    </row>
    <row r="5" spans="1:21" s="16" customFormat="1" x14ac:dyDescent="0.25">
      <c r="A5" s="131"/>
      <c r="B5" s="133"/>
      <c r="C5" s="86" t="s">
        <v>55</v>
      </c>
      <c r="D5" s="86" t="s">
        <v>56</v>
      </c>
      <c r="E5" s="39" t="s">
        <v>35</v>
      </c>
      <c r="F5" s="39" t="s">
        <v>36</v>
      </c>
      <c r="G5" s="39" t="s">
        <v>68</v>
      </c>
      <c r="H5" s="39" t="s">
        <v>49</v>
      </c>
      <c r="I5" s="137"/>
      <c r="J5" s="133"/>
    </row>
    <row r="6" spans="1:21" s="16" customFormat="1" x14ac:dyDescent="0.25">
      <c r="A6" s="39" t="s">
        <v>1</v>
      </c>
      <c r="B6" s="41" t="s">
        <v>2</v>
      </c>
      <c r="C6" s="41" t="s">
        <v>3</v>
      </c>
      <c r="D6" s="41" t="s">
        <v>4</v>
      </c>
      <c r="E6" s="39" t="s">
        <v>5</v>
      </c>
      <c r="F6" s="39" t="s">
        <v>6</v>
      </c>
      <c r="G6" s="39" t="s">
        <v>7</v>
      </c>
      <c r="H6" s="39" t="s">
        <v>8</v>
      </c>
      <c r="I6" s="39" t="s">
        <v>9</v>
      </c>
      <c r="J6" s="41" t="s">
        <v>9</v>
      </c>
    </row>
    <row r="7" spans="1:21" s="10" customFormat="1" ht="15.75" customHeight="1" x14ac:dyDescent="0.25">
      <c r="A7" s="138" t="s">
        <v>60</v>
      </c>
      <c r="B7" s="139"/>
      <c r="C7" s="18"/>
      <c r="D7" s="18"/>
      <c r="E7" s="18"/>
      <c r="F7" s="18"/>
      <c r="G7" s="18"/>
      <c r="H7" s="18"/>
      <c r="I7" s="18"/>
      <c r="J7" s="53"/>
    </row>
    <row r="8" spans="1:21" s="15" customFormat="1" ht="27.6" x14ac:dyDescent="0.25">
      <c r="A8" s="40">
        <v>1</v>
      </c>
      <c r="B8" s="6" t="s">
        <v>98</v>
      </c>
      <c r="C8" s="66">
        <v>20</v>
      </c>
      <c r="D8" s="66">
        <v>10</v>
      </c>
      <c r="E8" s="66">
        <v>1</v>
      </c>
      <c r="F8" s="66">
        <v>0</v>
      </c>
      <c r="G8" s="66">
        <v>0</v>
      </c>
      <c r="H8" s="66">
        <v>1</v>
      </c>
      <c r="I8" s="66">
        <v>9</v>
      </c>
      <c r="J8" s="19" t="s">
        <v>80</v>
      </c>
    </row>
    <row r="9" spans="1:21" s="94" customFormat="1" x14ac:dyDescent="0.25">
      <c r="A9" s="89">
        <v>2</v>
      </c>
      <c r="B9" s="6" t="s">
        <v>99</v>
      </c>
      <c r="C9" s="91">
        <v>14</v>
      </c>
      <c r="D9" s="91">
        <v>9</v>
      </c>
      <c r="E9" s="91">
        <v>0</v>
      </c>
      <c r="F9" s="91">
        <v>0</v>
      </c>
      <c r="G9" s="91">
        <v>0</v>
      </c>
      <c r="H9" s="91">
        <v>0</v>
      </c>
      <c r="I9" s="89">
        <v>9</v>
      </c>
      <c r="J9" s="112"/>
      <c r="N9" s="15"/>
      <c r="O9" s="15"/>
      <c r="P9" s="15"/>
      <c r="Q9" s="15"/>
      <c r="R9" s="15"/>
      <c r="S9" s="15"/>
      <c r="T9" s="15"/>
      <c r="U9" s="15"/>
    </row>
    <row r="10" spans="1:21" s="15" customFormat="1" ht="62.4" x14ac:dyDescent="0.25">
      <c r="A10" s="40">
        <v>3</v>
      </c>
      <c r="B10" s="6" t="s">
        <v>100</v>
      </c>
      <c r="C10" s="67">
        <v>17</v>
      </c>
      <c r="D10" s="67" t="s">
        <v>69</v>
      </c>
      <c r="E10" s="45" t="s">
        <v>85</v>
      </c>
      <c r="F10" s="67">
        <v>0</v>
      </c>
      <c r="G10" s="67" t="s">
        <v>74</v>
      </c>
      <c r="H10" s="67">
        <v>1</v>
      </c>
      <c r="I10" s="87">
        <v>16</v>
      </c>
      <c r="J10" s="28" t="s">
        <v>97</v>
      </c>
      <c r="N10" s="94"/>
      <c r="O10" s="94"/>
      <c r="P10" s="94"/>
      <c r="Q10" s="94"/>
      <c r="R10" s="94"/>
      <c r="S10" s="94"/>
      <c r="T10" s="94"/>
      <c r="U10" s="94"/>
    </row>
    <row r="11" spans="1:21" s="15" customFormat="1" ht="18" customHeight="1" x14ac:dyDescent="0.25">
      <c r="A11" s="40">
        <v>4</v>
      </c>
      <c r="B11" s="6" t="s">
        <v>101</v>
      </c>
      <c r="C11" s="66" t="s">
        <v>70</v>
      </c>
      <c r="D11" s="66">
        <v>0</v>
      </c>
      <c r="E11" s="66">
        <v>0</v>
      </c>
      <c r="F11" s="66">
        <v>0</v>
      </c>
      <c r="G11" s="66">
        <v>0</v>
      </c>
      <c r="H11" s="66">
        <v>0</v>
      </c>
      <c r="I11" s="40">
        <v>0</v>
      </c>
      <c r="J11" s="20" t="s">
        <v>93</v>
      </c>
      <c r="N11" s="12"/>
      <c r="O11" s="12"/>
      <c r="P11" s="12"/>
      <c r="Q11" s="12"/>
      <c r="R11" s="12"/>
      <c r="S11" s="12"/>
      <c r="T11" s="12"/>
      <c r="U11" s="12"/>
    </row>
    <row r="12" spans="1:21" s="119" customFormat="1" ht="55.2" x14ac:dyDescent="0.25">
      <c r="A12" s="89">
        <v>5</v>
      </c>
      <c r="B12" s="90" t="s">
        <v>102</v>
      </c>
      <c r="C12" s="91">
        <v>52</v>
      </c>
      <c r="D12" s="91">
        <v>57</v>
      </c>
      <c r="E12" s="121" t="s">
        <v>84</v>
      </c>
      <c r="F12" s="91">
        <v>0</v>
      </c>
      <c r="G12" s="91">
        <v>0</v>
      </c>
      <c r="H12" s="91">
        <v>2</v>
      </c>
      <c r="I12" s="89">
        <v>55</v>
      </c>
      <c r="J12" s="118" t="s">
        <v>96</v>
      </c>
    </row>
    <row r="13" spans="1:21" s="15" customFormat="1" ht="18" customHeight="1" x14ac:dyDescent="0.25">
      <c r="A13" s="40">
        <v>6</v>
      </c>
      <c r="B13" s="36" t="s">
        <v>103</v>
      </c>
      <c r="C13" s="66">
        <v>0</v>
      </c>
      <c r="D13" s="66" t="s">
        <v>71</v>
      </c>
      <c r="E13" s="66">
        <v>0</v>
      </c>
      <c r="F13" s="66">
        <v>0</v>
      </c>
      <c r="G13" s="66">
        <v>0</v>
      </c>
      <c r="H13" s="66">
        <v>0</v>
      </c>
      <c r="I13" s="40" t="s">
        <v>71</v>
      </c>
      <c r="J13" s="68" t="s">
        <v>73</v>
      </c>
    </row>
    <row r="14" spans="1:21" s="15" customFormat="1" ht="18" customHeight="1" x14ac:dyDescent="0.25">
      <c r="A14" s="40">
        <v>7</v>
      </c>
      <c r="B14" s="6" t="s">
        <v>104</v>
      </c>
      <c r="C14" s="66" t="s">
        <v>71</v>
      </c>
      <c r="D14" s="66">
        <v>0</v>
      </c>
      <c r="E14" s="66">
        <v>0</v>
      </c>
      <c r="F14" s="66">
        <v>0</v>
      </c>
      <c r="G14" s="66">
        <v>0</v>
      </c>
      <c r="H14" s="66">
        <v>0</v>
      </c>
      <c r="I14" s="40">
        <v>0</v>
      </c>
      <c r="J14" s="68" t="s">
        <v>72</v>
      </c>
    </row>
    <row r="15" spans="1:21" s="15" customFormat="1" ht="18" customHeight="1" x14ac:dyDescent="0.25">
      <c r="A15" s="89">
        <v>8</v>
      </c>
      <c r="B15" s="6" t="s">
        <v>105</v>
      </c>
      <c r="C15" s="66">
        <v>3</v>
      </c>
      <c r="D15" s="66">
        <v>1</v>
      </c>
      <c r="E15" s="66">
        <v>0</v>
      </c>
      <c r="F15" s="66">
        <v>0</v>
      </c>
      <c r="G15" s="66">
        <v>0</v>
      </c>
      <c r="H15" s="66">
        <v>0</v>
      </c>
      <c r="I15" s="40">
        <v>1</v>
      </c>
      <c r="J15" s="68"/>
    </row>
    <row r="16" spans="1:21" s="15" customFormat="1" ht="18" customHeight="1" x14ac:dyDescent="0.25">
      <c r="A16" s="40">
        <v>9</v>
      </c>
      <c r="B16" s="6" t="s">
        <v>106</v>
      </c>
      <c r="C16" s="66">
        <v>1</v>
      </c>
      <c r="D16" s="66">
        <v>1</v>
      </c>
      <c r="E16" s="66">
        <v>0</v>
      </c>
      <c r="F16" s="66">
        <v>0</v>
      </c>
      <c r="G16" s="66">
        <v>0</v>
      </c>
      <c r="H16" s="66">
        <v>0</v>
      </c>
      <c r="I16" s="40">
        <v>1</v>
      </c>
      <c r="J16" s="68"/>
    </row>
    <row r="17" spans="1:10" ht="18" customHeight="1" x14ac:dyDescent="0.25">
      <c r="A17" s="40">
        <v>10</v>
      </c>
      <c r="B17" s="88" t="s">
        <v>62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9">
        <v>0</v>
      </c>
      <c r="J17" s="35"/>
    </row>
    <row r="18" spans="1:10" s="15" customFormat="1" ht="18" customHeight="1" x14ac:dyDescent="0.25">
      <c r="A18" s="89">
        <v>11</v>
      </c>
      <c r="B18" s="36" t="s">
        <v>63</v>
      </c>
      <c r="C18" s="67">
        <v>5</v>
      </c>
      <c r="D18" s="67">
        <v>4</v>
      </c>
      <c r="E18" s="67">
        <v>0</v>
      </c>
      <c r="F18" s="67">
        <v>0</v>
      </c>
      <c r="G18" s="67">
        <v>0</v>
      </c>
      <c r="H18" s="67">
        <v>0</v>
      </c>
      <c r="I18" s="87">
        <v>4</v>
      </c>
      <c r="J18" s="68"/>
    </row>
    <row r="19" spans="1:10" s="15" customFormat="1" ht="18" customHeight="1" x14ac:dyDescent="0.25">
      <c r="A19" s="40">
        <v>12</v>
      </c>
      <c r="B19" s="36" t="s">
        <v>107</v>
      </c>
      <c r="C19" s="140"/>
      <c r="D19" s="42">
        <v>1</v>
      </c>
      <c r="E19" s="42">
        <v>0</v>
      </c>
      <c r="F19" s="42">
        <v>0</v>
      </c>
      <c r="G19" s="66">
        <v>0</v>
      </c>
      <c r="H19" s="42">
        <v>0</v>
      </c>
      <c r="I19" s="42">
        <v>1</v>
      </c>
      <c r="J19" s="68"/>
    </row>
    <row r="20" spans="1:10" s="115" customFormat="1" ht="32.25" customHeight="1" x14ac:dyDescent="0.3">
      <c r="A20" s="40">
        <v>13</v>
      </c>
      <c r="B20" s="113" t="s">
        <v>108</v>
      </c>
      <c r="C20" s="131"/>
      <c r="D20" s="89">
        <v>5</v>
      </c>
      <c r="E20" s="89">
        <v>0</v>
      </c>
      <c r="F20" s="89">
        <v>0</v>
      </c>
      <c r="G20" s="91">
        <v>0</v>
      </c>
      <c r="H20" s="89">
        <v>0</v>
      </c>
      <c r="I20" s="89">
        <v>5</v>
      </c>
      <c r="J20" s="114"/>
    </row>
    <row r="21" spans="1:10" s="15" customFormat="1" ht="18" customHeight="1" x14ac:dyDescent="0.25">
      <c r="A21" s="89">
        <v>14</v>
      </c>
      <c r="B21" s="36" t="s">
        <v>109</v>
      </c>
      <c r="C21" s="66">
        <v>0</v>
      </c>
      <c r="D21" s="66">
        <v>1</v>
      </c>
      <c r="E21" s="66">
        <v>0</v>
      </c>
      <c r="F21" s="66">
        <v>0</v>
      </c>
      <c r="G21" s="66">
        <v>0</v>
      </c>
      <c r="H21" s="66">
        <v>0</v>
      </c>
      <c r="I21" s="40">
        <v>1</v>
      </c>
      <c r="J21" s="68"/>
    </row>
    <row r="22" spans="1:10" s="15" customFormat="1" ht="18" customHeight="1" x14ac:dyDescent="0.25">
      <c r="A22" s="40">
        <v>15</v>
      </c>
      <c r="B22" s="36" t="s">
        <v>110</v>
      </c>
      <c r="C22" s="66">
        <v>0</v>
      </c>
      <c r="D22" s="66">
        <v>2</v>
      </c>
      <c r="E22" s="66">
        <v>0</v>
      </c>
      <c r="F22" s="66">
        <v>0</v>
      </c>
      <c r="G22" s="66">
        <v>0</v>
      </c>
      <c r="H22" s="66">
        <v>0</v>
      </c>
      <c r="I22" s="40">
        <v>2</v>
      </c>
      <c r="J22" s="68"/>
    </row>
    <row r="23" spans="1:10" s="15" customFormat="1" ht="18" customHeight="1" x14ac:dyDescent="0.25">
      <c r="A23" s="40">
        <v>16</v>
      </c>
      <c r="B23" s="36" t="s">
        <v>111</v>
      </c>
      <c r="C23" s="66">
        <v>0</v>
      </c>
      <c r="D23" s="66">
        <v>2</v>
      </c>
      <c r="E23" s="66">
        <v>0</v>
      </c>
      <c r="F23" s="66">
        <v>0</v>
      </c>
      <c r="G23" s="66">
        <v>0</v>
      </c>
      <c r="H23" s="66">
        <v>2</v>
      </c>
      <c r="I23" s="40">
        <v>2</v>
      </c>
      <c r="J23" s="68"/>
    </row>
    <row r="118" spans="1:15" s="11" customFormat="1" x14ac:dyDescent="0.25">
      <c r="A118" s="10"/>
      <c r="B118" s="12"/>
      <c r="H118" s="11">
        <v>0</v>
      </c>
      <c r="J118" s="13"/>
      <c r="K118" s="12"/>
      <c r="L118" s="12"/>
      <c r="M118" s="12"/>
      <c r="N118" s="12"/>
      <c r="O118" s="12"/>
    </row>
  </sheetData>
  <mergeCells count="9">
    <mergeCell ref="A7:B7"/>
    <mergeCell ref="C19:C20"/>
    <mergeCell ref="A3:J3"/>
    <mergeCell ref="A4:A5"/>
    <mergeCell ref="B4:B5"/>
    <mergeCell ref="C4:D4"/>
    <mergeCell ref="E4:H4"/>
    <mergeCell ref="I4:I5"/>
    <mergeCell ref="J4:J5"/>
  </mergeCells>
  <phoneticPr fontId="23" type="noConversion"/>
  <dataValidations disablePrompts="1" count="1">
    <dataValidation type="whole" allowBlank="1" showInputMessage="1" showErrorMessage="1" sqref="C65251:H65304" xr:uid="{00000000-0002-0000-0200-000000000000}">
      <formula1>0</formula1>
      <formula2>50000</formula2>
    </dataValidation>
  </dataValidations>
  <hyperlinks>
    <hyperlink ref="E12" r:id="rId1" xr:uid="{00000000-0004-0000-0200-000000000000}"/>
  </hyperlinks>
  <printOptions horizontalCentered="1"/>
  <pageMargins left="0.5" right="0.5" top="0.25" bottom="0" header="0.31496062992126" footer="0.31496062992126"/>
  <pageSetup paperSize="9" scale="69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0"/>
  <sheetViews>
    <sheetView view="pageBreakPreview" zoomScale="80" zoomScaleNormal="100" zoomScaleSheetLayoutView="80" workbookViewId="0">
      <selection activeCell="A6" sqref="A6:A19"/>
    </sheetView>
  </sheetViews>
  <sheetFormatPr defaultColWidth="9.109375" defaultRowHeight="13.8" x14ac:dyDescent="0.25"/>
  <cols>
    <col min="1" max="1" width="7" style="10" customWidth="1"/>
    <col min="2" max="2" width="61.33203125" style="15" customWidth="1"/>
    <col min="3" max="3" width="7.88671875" style="11" customWidth="1"/>
    <col min="4" max="4" width="7.44140625" style="11" customWidth="1"/>
    <col min="5" max="5" width="6.6640625" style="11" customWidth="1"/>
    <col min="6" max="6" width="7.5546875" style="11" customWidth="1"/>
    <col min="7" max="7" width="8.88671875" style="11" customWidth="1"/>
    <col min="8" max="8" width="7.109375" style="11" customWidth="1"/>
    <col min="9" max="9" width="7.33203125" style="11" customWidth="1"/>
    <col min="10" max="10" width="6.44140625" style="11" customWidth="1"/>
    <col min="11" max="11" width="9.88671875" style="11" customWidth="1"/>
    <col min="12" max="12" width="7.5546875" style="11" customWidth="1"/>
    <col min="13" max="13" width="8.109375" style="11" customWidth="1"/>
    <col min="14" max="14" width="9.6640625" style="12" customWidth="1"/>
    <col min="15" max="15" width="34.33203125" style="13" customWidth="1"/>
    <col min="16" max="16384" width="9.109375" style="12"/>
  </cols>
  <sheetData>
    <row r="1" spans="1:15" ht="43.5" customHeight="1" x14ac:dyDescent="0.25">
      <c r="N1" s="142" t="s">
        <v>86</v>
      </c>
      <c r="O1" s="142"/>
    </row>
    <row r="2" spans="1:15" ht="19.5" customHeight="1" x14ac:dyDescent="0.25">
      <c r="A2" s="129" t="s">
        <v>87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</row>
    <row r="3" spans="1:15" s="30" customFormat="1" ht="18" customHeight="1" x14ac:dyDescent="0.3">
      <c r="A3" s="130" t="s">
        <v>0</v>
      </c>
      <c r="B3" s="132" t="s">
        <v>14</v>
      </c>
      <c r="C3" s="134" t="s">
        <v>17</v>
      </c>
      <c r="D3" s="135"/>
      <c r="E3" s="136" t="s">
        <v>31</v>
      </c>
      <c r="F3" s="136"/>
      <c r="G3" s="136"/>
      <c r="H3" s="136"/>
      <c r="I3" s="136"/>
      <c r="J3" s="136"/>
      <c r="K3" s="136"/>
      <c r="L3" s="132" t="s">
        <v>58</v>
      </c>
      <c r="M3" s="132" t="s">
        <v>59</v>
      </c>
      <c r="N3" s="132" t="s">
        <v>20</v>
      </c>
      <c r="O3" s="132" t="s">
        <v>34</v>
      </c>
    </row>
    <row r="4" spans="1:15" s="16" customFormat="1" ht="16.5" customHeight="1" x14ac:dyDescent="0.25">
      <c r="A4" s="131"/>
      <c r="B4" s="133"/>
      <c r="C4" s="77" t="s">
        <v>55</v>
      </c>
      <c r="D4" s="77" t="s">
        <v>56</v>
      </c>
      <c r="E4" s="40" t="s">
        <v>15</v>
      </c>
      <c r="F4" s="40" t="s">
        <v>35</v>
      </c>
      <c r="G4" s="40" t="s">
        <v>27</v>
      </c>
      <c r="H4" s="40" t="s">
        <v>57</v>
      </c>
      <c r="I4" s="40" t="s">
        <v>37</v>
      </c>
      <c r="J4" s="40" t="s">
        <v>38</v>
      </c>
      <c r="K4" s="81" t="s">
        <v>64</v>
      </c>
      <c r="L4" s="141"/>
      <c r="M4" s="133"/>
      <c r="N4" s="133"/>
      <c r="O4" s="133"/>
    </row>
    <row r="5" spans="1:15" s="16" customFormat="1" ht="14.4" x14ac:dyDescent="0.25">
      <c r="A5" s="39" t="s">
        <v>1</v>
      </c>
      <c r="B5" s="81" t="s">
        <v>2</v>
      </c>
      <c r="C5" s="41" t="s">
        <v>3</v>
      </c>
      <c r="D5" s="41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9</v>
      </c>
      <c r="J5" s="39" t="s">
        <v>10</v>
      </c>
      <c r="K5" s="41" t="s">
        <v>11</v>
      </c>
      <c r="L5" s="43" t="s">
        <v>12</v>
      </c>
      <c r="M5" s="81" t="s">
        <v>13</v>
      </c>
      <c r="N5" s="81" t="s">
        <v>29</v>
      </c>
      <c r="O5" s="81" t="s">
        <v>30</v>
      </c>
    </row>
    <row r="6" spans="1:15" s="94" customFormat="1" ht="18" customHeight="1" x14ac:dyDescent="0.25">
      <c r="A6" s="89">
        <v>1</v>
      </c>
      <c r="B6" s="90" t="s">
        <v>112</v>
      </c>
      <c r="C6" s="127">
        <v>3</v>
      </c>
      <c r="D6" s="91">
        <v>1</v>
      </c>
      <c r="E6" s="91">
        <v>0</v>
      </c>
      <c r="F6" s="91">
        <v>0</v>
      </c>
      <c r="G6" s="91">
        <v>0</v>
      </c>
      <c r="H6" s="91">
        <v>0</v>
      </c>
      <c r="I6" s="91">
        <v>0</v>
      </c>
      <c r="J6" s="91">
        <v>0</v>
      </c>
      <c r="K6" s="91">
        <v>0</v>
      </c>
      <c r="L6" s="91">
        <v>0</v>
      </c>
      <c r="M6" s="91">
        <v>0</v>
      </c>
      <c r="N6" s="92">
        <f t="shared" ref="N6" si="0">D6-L6</f>
        <v>1</v>
      </c>
      <c r="O6" s="93"/>
    </row>
    <row r="7" spans="1:15" s="94" customFormat="1" ht="27.6" x14ac:dyDescent="0.25">
      <c r="A7" s="95">
        <v>2</v>
      </c>
      <c r="B7" s="90" t="s">
        <v>113</v>
      </c>
      <c r="C7" s="91">
        <v>0</v>
      </c>
      <c r="D7" s="91">
        <v>2</v>
      </c>
      <c r="E7" s="91">
        <v>0</v>
      </c>
      <c r="F7" s="91">
        <v>1</v>
      </c>
      <c r="G7" s="91">
        <v>0</v>
      </c>
      <c r="H7" s="91">
        <v>0</v>
      </c>
      <c r="I7" s="91">
        <v>0</v>
      </c>
      <c r="J7" s="91">
        <v>0</v>
      </c>
      <c r="K7" s="91">
        <v>0</v>
      </c>
      <c r="L7" s="91" t="s">
        <v>71</v>
      </c>
      <c r="M7" s="91">
        <v>0</v>
      </c>
      <c r="N7" s="92">
        <v>1</v>
      </c>
      <c r="O7" s="93" t="s">
        <v>78</v>
      </c>
    </row>
    <row r="8" spans="1:15" s="94" customFormat="1" ht="18" customHeight="1" x14ac:dyDescent="0.25">
      <c r="A8" s="89">
        <v>3</v>
      </c>
      <c r="B8" s="96" t="s">
        <v>114</v>
      </c>
      <c r="C8" s="97">
        <v>18</v>
      </c>
      <c r="D8" s="97">
        <v>20</v>
      </c>
      <c r="E8" s="97">
        <v>0</v>
      </c>
      <c r="F8" s="97">
        <v>0</v>
      </c>
      <c r="G8" s="97">
        <v>0</v>
      </c>
      <c r="H8" s="97">
        <v>0</v>
      </c>
      <c r="I8" s="97">
        <v>0</v>
      </c>
      <c r="J8" s="97">
        <v>0</v>
      </c>
      <c r="K8" s="97">
        <v>0</v>
      </c>
      <c r="L8" s="98">
        <v>0</v>
      </c>
      <c r="M8" s="97">
        <v>0</v>
      </c>
      <c r="N8" s="99">
        <f>D8-L8</f>
        <v>20</v>
      </c>
      <c r="O8" s="93" t="s">
        <v>67</v>
      </c>
    </row>
    <row r="9" spans="1:15" s="94" customFormat="1" ht="18" customHeight="1" x14ac:dyDescent="0.25">
      <c r="A9" s="89">
        <v>4</v>
      </c>
      <c r="B9" s="90" t="s">
        <v>125</v>
      </c>
      <c r="C9" s="91">
        <v>25</v>
      </c>
      <c r="D9" s="91">
        <v>27</v>
      </c>
      <c r="E9" s="91">
        <v>0</v>
      </c>
      <c r="F9" s="91">
        <v>0</v>
      </c>
      <c r="G9" s="91">
        <v>0</v>
      </c>
      <c r="H9" s="91">
        <v>0</v>
      </c>
      <c r="I9" s="91">
        <v>0</v>
      </c>
      <c r="J9" s="91">
        <v>0</v>
      </c>
      <c r="K9" s="91">
        <v>0</v>
      </c>
      <c r="L9" s="89">
        <v>0</v>
      </c>
      <c r="M9" s="91">
        <v>0</v>
      </c>
      <c r="N9" s="92">
        <v>27</v>
      </c>
      <c r="O9" s="90" t="s">
        <v>65</v>
      </c>
    </row>
    <row r="10" spans="1:15" ht="27.6" x14ac:dyDescent="0.25">
      <c r="A10" s="95">
        <v>5</v>
      </c>
      <c r="B10" s="6" t="s">
        <v>115</v>
      </c>
      <c r="C10" s="66">
        <v>3</v>
      </c>
      <c r="D10" s="66" t="s">
        <v>75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6">
        <v>0</v>
      </c>
      <c r="L10" s="40">
        <v>0</v>
      </c>
      <c r="M10" s="66">
        <v>0</v>
      </c>
      <c r="N10" s="81">
        <v>0</v>
      </c>
      <c r="O10" s="90" t="s">
        <v>76</v>
      </c>
    </row>
    <row r="11" spans="1:15" s="94" customFormat="1" ht="18" customHeight="1" x14ac:dyDescent="0.25">
      <c r="A11" s="89">
        <v>6</v>
      </c>
      <c r="B11" s="90" t="s">
        <v>116</v>
      </c>
      <c r="C11" s="91">
        <v>3</v>
      </c>
      <c r="D11" s="91">
        <v>3</v>
      </c>
      <c r="E11" s="91">
        <v>0</v>
      </c>
      <c r="F11" s="91">
        <v>0</v>
      </c>
      <c r="G11" s="91">
        <v>0</v>
      </c>
      <c r="H11" s="91">
        <v>0</v>
      </c>
      <c r="I11" s="91">
        <v>0</v>
      </c>
      <c r="J11" s="91">
        <v>0</v>
      </c>
      <c r="K11" s="91">
        <v>0</v>
      </c>
      <c r="L11" s="89">
        <v>0</v>
      </c>
      <c r="M11" s="91">
        <v>0</v>
      </c>
      <c r="N11" s="92">
        <f>D11-L11</f>
        <v>3</v>
      </c>
      <c r="O11" s="90" t="s">
        <v>51</v>
      </c>
    </row>
    <row r="12" spans="1:15" s="94" customFormat="1" ht="18" customHeight="1" x14ac:dyDescent="0.25">
      <c r="A12" s="89">
        <v>7</v>
      </c>
      <c r="B12" s="90" t="s">
        <v>117</v>
      </c>
      <c r="C12" s="91">
        <v>2</v>
      </c>
      <c r="D12" s="91">
        <v>1</v>
      </c>
      <c r="E12" s="91">
        <v>0</v>
      </c>
      <c r="F12" s="91">
        <v>0</v>
      </c>
      <c r="G12" s="91">
        <v>0</v>
      </c>
      <c r="H12" s="91">
        <v>0</v>
      </c>
      <c r="I12" s="91">
        <v>0</v>
      </c>
      <c r="J12" s="91">
        <v>0</v>
      </c>
      <c r="K12" s="91">
        <v>0</v>
      </c>
      <c r="L12" s="89">
        <v>0</v>
      </c>
      <c r="M12" s="91">
        <v>0</v>
      </c>
      <c r="N12" s="92">
        <f t="shared" ref="N12" si="1">D12-L12</f>
        <v>1</v>
      </c>
      <c r="O12" s="100" t="s">
        <v>52</v>
      </c>
    </row>
    <row r="13" spans="1:15" s="15" customFormat="1" ht="18" customHeight="1" x14ac:dyDescent="0.25">
      <c r="A13" s="95">
        <v>8</v>
      </c>
      <c r="B13" s="6" t="s">
        <v>118</v>
      </c>
      <c r="C13" s="66">
        <v>1</v>
      </c>
      <c r="D13" s="66">
        <v>1</v>
      </c>
      <c r="E13" s="66">
        <v>0</v>
      </c>
      <c r="F13" s="66">
        <v>0</v>
      </c>
      <c r="G13" s="66">
        <v>0</v>
      </c>
      <c r="H13" s="66">
        <v>0</v>
      </c>
      <c r="I13" s="66">
        <v>0</v>
      </c>
      <c r="J13" s="66">
        <v>0</v>
      </c>
      <c r="K13" s="66">
        <v>0</v>
      </c>
      <c r="L13" s="40">
        <v>0</v>
      </c>
      <c r="M13" s="66">
        <v>0</v>
      </c>
      <c r="N13" s="81">
        <v>1</v>
      </c>
      <c r="O13" s="20"/>
    </row>
    <row r="14" spans="1:15" s="15" customFormat="1" ht="18" customHeight="1" x14ac:dyDescent="0.25">
      <c r="A14" s="89">
        <v>9</v>
      </c>
      <c r="B14" s="6" t="s">
        <v>119</v>
      </c>
      <c r="C14" s="66">
        <v>7</v>
      </c>
      <c r="D14" s="66">
        <v>8</v>
      </c>
      <c r="E14" s="66">
        <v>0</v>
      </c>
      <c r="F14" s="66">
        <v>0</v>
      </c>
      <c r="G14" s="66">
        <v>0</v>
      </c>
      <c r="H14" s="66">
        <v>0</v>
      </c>
      <c r="I14" s="66">
        <v>0</v>
      </c>
      <c r="J14" s="66">
        <v>0</v>
      </c>
      <c r="K14" s="66">
        <v>0</v>
      </c>
      <c r="L14" s="40">
        <v>0</v>
      </c>
      <c r="M14" s="66">
        <v>0</v>
      </c>
      <c r="N14" s="81">
        <v>8</v>
      </c>
      <c r="O14" s="6" t="s">
        <v>66</v>
      </c>
    </row>
    <row r="15" spans="1:15" s="94" customFormat="1" ht="18" customHeight="1" x14ac:dyDescent="0.25">
      <c r="A15" s="89">
        <v>10</v>
      </c>
      <c r="B15" s="90" t="s">
        <v>120</v>
      </c>
      <c r="C15" s="91">
        <v>1</v>
      </c>
      <c r="D15" s="91">
        <v>1</v>
      </c>
      <c r="E15" s="91">
        <v>0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  <c r="L15" s="89">
        <v>0</v>
      </c>
      <c r="M15" s="91">
        <v>0</v>
      </c>
      <c r="N15" s="92">
        <v>1</v>
      </c>
      <c r="O15" s="90"/>
    </row>
    <row r="16" spans="1:15" s="15" customFormat="1" ht="18.75" customHeight="1" x14ac:dyDescent="0.25">
      <c r="A16" s="95">
        <v>11</v>
      </c>
      <c r="B16" s="6" t="s">
        <v>121</v>
      </c>
      <c r="C16" s="66">
        <v>1</v>
      </c>
      <c r="D16" s="66">
        <v>1</v>
      </c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0</v>
      </c>
      <c r="K16" s="66">
        <v>0</v>
      </c>
      <c r="L16" s="40">
        <v>0</v>
      </c>
      <c r="M16" s="66">
        <v>0</v>
      </c>
      <c r="N16" s="81">
        <v>1</v>
      </c>
      <c r="O16" s="14"/>
    </row>
    <row r="17" spans="1:15" s="15" customFormat="1" ht="18" customHeight="1" x14ac:dyDescent="0.25">
      <c r="A17" s="89">
        <v>12</v>
      </c>
      <c r="B17" s="6" t="s">
        <v>122</v>
      </c>
      <c r="C17" s="66">
        <v>0</v>
      </c>
      <c r="D17" s="66">
        <v>2</v>
      </c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40">
        <v>0</v>
      </c>
      <c r="M17" s="66">
        <v>0</v>
      </c>
      <c r="N17" s="81">
        <v>2</v>
      </c>
      <c r="O17" s="20"/>
    </row>
    <row r="18" spans="1:15" s="94" customFormat="1" ht="27.6" x14ac:dyDescent="0.25">
      <c r="A18" s="89">
        <v>13</v>
      </c>
      <c r="B18" s="90" t="s">
        <v>123</v>
      </c>
      <c r="C18" s="91">
        <v>4</v>
      </c>
      <c r="D18" s="91">
        <v>1</v>
      </c>
      <c r="E18" s="91">
        <v>0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  <c r="L18" s="89" t="s">
        <v>71</v>
      </c>
      <c r="M18" s="91">
        <v>0</v>
      </c>
      <c r="N18" s="92">
        <v>1</v>
      </c>
      <c r="O18" s="112" t="s">
        <v>77</v>
      </c>
    </row>
    <row r="19" spans="1:15" s="94" customFormat="1" ht="18" customHeight="1" x14ac:dyDescent="0.25">
      <c r="A19" s="95">
        <v>14</v>
      </c>
      <c r="B19" s="90" t="s">
        <v>124</v>
      </c>
      <c r="C19" s="91">
        <v>0</v>
      </c>
      <c r="D19" s="91">
        <v>2</v>
      </c>
      <c r="E19" s="91">
        <v>0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 s="91">
        <v>0</v>
      </c>
      <c r="L19" s="89">
        <v>0</v>
      </c>
      <c r="M19" s="91">
        <v>0</v>
      </c>
      <c r="N19" s="92">
        <v>2</v>
      </c>
      <c r="O19" s="100"/>
    </row>
    <row r="20" spans="1:15" ht="18" customHeight="1" x14ac:dyDescent="0.25"/>
    <row r="21" spans="1:15" ht="18" customHeight="1" x14ac:dyDescent="0.25"/>
    <row r="22" spans="1:15" ht="18" customHeight="1" x14ac:dyDescent="0.25"/>
    <row r="23" spans="1:15" ht="18" customHeight="1" x14ac:dyDescent="0.25"/>
    <row r="24" spans="1:15" ht="18" customHeight="1" x14ac:dyDescent="0.25"/>
    <row r="25" spans="1:15" ht="18" customHeight="1" x14ac:dyDescent="0.25"/>
    <row r="26" spans="1:15" ht="18" customHeight="1" x14ac:dyDescent="0.25"/>
    <row r="27" spans="1:15" ht="18" customHeight="1" x14ac:dyDescent="0.25"/>
    <row r="28" spans="1:15" ht="18" customHeight="1" x14ac:dyDescent="0.25"/>
    <row r="29" spans="1:15" ht="18" customHeight="1" x14ac:dyDescent="0.25"/>
    <row r="30" spans="1:15" ht="18" customHeight="1" x14ac:dyDescent="0.25"/>
    <row r="31" spans="1:15" ht="18" customHeight="1" x14ac:dyDescent="0.25"/>
    <row r="32" spans="1:15" ht="18" customHeight="1" x14ac:dyDescent="0.25"/>
    <row r="33" ht="18" customHeight="1" x14ac:dyDescent="0.25"/>
    <row r="34" ht="18" customHeight="1" x14ac:dyDescent="0.25"/>
    <row r="35" ht="18" customHeight="1" x14ac:dyDescent="0.25"/>
    <row r="114" spans="9:9" x14ac:dyDescent="0.25">
      <c r="I114" s="11">
        <v>0</v>
      </c>
    </row>
    <row r="130" spans="1:20" s="11" customFormat="1" x14ac:dyDescent="0.25">
      <c r="A130" s="10"/>
      <c r="B130" s="15"/>
      <c r="N130" s="12"/>
      <c r="O130" s="13"/>
      <c r="P130" s="12"/>
      <c r="Q130" s="12"/>
      <c r="R130" s="12"/>
      <c r="S130" s="12"/>
      <c r="T130" s="12"/>
    </row>
  </sheetData>
  <mergeCells count="10">
    <mergeCell ref="L3:L4"/>
    <mergeCell ref="M3:M4"/>
    <mergeCell ref="N3:N4"/>
    <mergeCell ref="O3:O4"/>
    <mergeCell ref="N1:O1"/>
    <mergeCell ref="A2:O2"/>
    <mergeCell ref="A3:A4"/>
    <mergeCell ref="B3:B4"/>
    <mergeCell ref="C3:D3"/>
    <mergeCell ref="E3:K3"/>
  </mergeCells>
  <conditionalFormatting sqref="B8">
    <cfRule type="duplicateValues" dxfId="5" priority="1" stopIfTrue="1"/>
    <cfRule type="duplicateValues" dxfId="4" priority="2" stopIfTrue="1"/>
  </conditionalFormatting>
  <conditionalFormatting sqref="B11">
    <cfRule type="duplicateValues" dxfId="3" priority="9" stopIfTrue="1"/>
    <cfRule type="duplicateValues" dxfId="2" priority="10" stopIfTrue="1"/>
  </conditionalFormatting>
  <conditionalFormatting sqref="B18:B19">
    <cfRule type="duplicateValues" dxfId="1" priority="5" stopIfTrue="1"/>
    <cfRule type="duplicateValues" dxfId="0" priority="6" stopIfTrue="1"/>
  </conditionalFormatting>
  <dataValidations count="2">
    <dataValidation type="whole" allowBlank="1" showInputMessage="1" showErrorMessage="1" sqref="C65247:K65300" xr:uid="{00000000-0002-0000-0400-000000000000}">
      <formula1>0</formula1>
      <formula2>50000</formula2>
    </dataValidation>
    <dataValidation type="whole" allowBlank="1" showInputMessage="1" showErrorMessage="1" errorTitle="Value Between 0 to 200000" sqref="N65247:N65300" xr:uid="{00000000-0002-0000-0400-000001000000}">
      <formula1>0</formula1>
      <formula2>200000</formula2>
    </dataValidation>
  </dataValidations>
  <pageMargins left="0.7" right="0.2" top="0.25" bottom="0.25" header="0.3" footer="0.3"/>
  <pageSetup paperSize="9" scale="64" orientation="landscape" r:id="rId1"/>
  <rowBreaks count="1" manualBreakCount="1">
    <brk id="19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20"/>
  <sheetViews>
    <sheetView view="pageBreakPreview" zoomScale="55" zoomScaleNormal="70" zoomScaleSheetLayoutView="55" workbookViewId="0">
      <selection activeCell="C6" sqref="C6"/>
    </sheetView>
  </sheetViews>
  <sheetFormatPr defaultColWidth="9.109375" defaultRowHeight="15" x14ac:dyDescent="0.25"/>
  <cols>
    <col min="1" max="1" width="7.33203125" style="69" customWidth="1"/>
    <col min="2" max="2" width="22.6640625" style="70" customWidth="1"/>
    <col min="3" max="3" width="8" style="24" customWidth="1"/>
    <col min="4" max="4" width="8.33203125" style="24" customWidth="1"/>
    <col min="5" max="5" width="6.44140625" style="24" customWidth="1"/>
    <col min="6" max="6" width="7" style="24" customWidth="1"/>
    <col min="7" max="7" width="10.33203125" style="24" customWidth="1"/>
    <col min="8" max="8" width="5.5546875" style="24" bestFit="1" customWidth="1"/>
    <col min="9" max="9" width="5.33203125" style="24" customWidth="1"/>
    <col min="10" max="10" width="4.88671875" style="24" customWidth="1"/>
    <col min="11" max="11" width="5" style="24" customWidth="1"/>
    <col min="12" max="12" width="6.88671875" style="24" customWidth="1"/>
    <col min="13" max="13" width="11" style="24" customWidth="1"/>
    <col min="14" max="14" width="9.44140625" style="24" customWidth="1"/>
    <col min="15" max="15" width="6.109375" style="70" bestFit="1" customWidth="1"/>
    <col min="16" max="17" width="11.6640625" style="70" customWidth="1"/>
    <col min="18" max="18" width="13.44140625" style="70" customWidth="1"/>
    <col min="19" max="19" width="12.88671875" style="70" customWidth="1"/>
    <col min="20" max="20" width="114.5546875" style="70" customWidth="1"/>
    <col min="21" max="16384" width="9.109375" style="72"/>
  </cols>
  <sheetData>
    <row r="1" spans="1:20" ht="50.25" customHeight="1" x14ac:dyDescent="0.25">
      <c r="S1" s="71"/>
      <c r="T1" s="32" t="s">
        <v>94</v>
      </c>
    </row>
    <row r="2" spans="1:20" ht="27.9" customHeight="1" x14ac:dyDescent="0.25">
      <c r="A2" s="146" t="s">
        <v>88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</row>
    <row r="3" spans="1:20" s="45" customFormat="1" ht="27.9" customHeight="1" x14ac:dyDescent="0.3">
      <c r="A3" s="147" t="s">
        <v>0</v>
      </c>
      <c r="B3" s="143" t="s">
        <v>14</v>
      </c>
      <c r="C3" s="148" t="s">
        <v>17</v>
      </c>
      <c r="D3" s="149"/>
      <c r="E3" s="147" t="s">
        <v>31</v>
      </c>
      <c r="F3" s="147"/>
      <c r="G3" s="147"/>
      <c r="H3" s="147"/>
      <c r="I3" s="147"/>
      <c r="J3" s="147"/>
      <c r="K3" s="147"/>
      <c r="L3" s="147"/>
      <c r="M3" s="144" t="s">
        <v>18</v>
      </c>
      <c r="N3" s="144" t="s">
        <v>32</v>
      </c>
      <c r="O3" s="151" t="s">
        <v>33</v>
      </c>
      <c r="P3" s="143" t="s">
        <v>21</v>
      </c>
      <c r="Q3" s="143" t="s">
        <v>22</v>
      </c>
      <c r="R3" s="143" t="s">
        <v>23</v>
      </c>
      <c r="S3" s="143" t="s">
        <v>24</v>
      </c>
      <c r="T3" s="144" t="s">
        <v>34</v>
      </c>
    </row>
    <row r="4" spans="1:20" s="45" customFormat="1" ht="60" customHeight="1" x14ac:dyDescent="0.3">
      <c r="A4" s="147"/>
      <c r="B4" s="143"/>
      <c r="C4" s="79" t="s">
        <v>25</v>
      </c>
      <c r="D4" s="79" t="s">
        <v>26</v>
      </c>
      <c r="E4" s="80" t="s">
        <v>15</v>
      </c>
      <c r="F4" s="80" t="s">
        <v>35</v>
      </c>
      <c r="G4" s="80" t="s">
        <v>27</v>
      </c>
      <c r="H4" s="80" t="s">
        <v>36</v>
      </c>
      <c r="I4" s="80" t="s">
        <v>37</v>
      </c>
      <c r="J4" s="80" t="s">
        <v>38</v>
      </c>
      <c r="K4" s="80" t="s">
        <v>39</v>
      </c>
      <c r="L4" s="80" t="s">
        <v>28</v>
      </c>
      <c r="M4" s="150"/>
      <c r="N4" s="150"/>
      <c r="O4" s="145"/>
      <c r="P4" s="143"/>
      <c r="Q4" s="143"/>
      <c r="R4" s="143"/>
      <c r="S4" s="143"/>
      <c r="T4" s="145"/>
    </row>
    <row r="5" spans="1:20" s="45" customFormat="1" ht="27.9" customHeight="1" x14ac:dyDescent="0.3">
      <c r="A5" s="80" t="s">
        <v>1</v>
      </c>
      <c r="B5" s="78" t="s">
        <v>2</v>
      </c>
      <c r="C5" s="80" t="s">
        <v>3</v>
      </c>
      <c r="D5" s="80" t="s">
        <v>4</v>
      </c>
      <c r="E5" s="80" t="s">
        <v>5</v>
      </c>
      <c r="F5" s="80" t="s">
        <v>6</v>
      </c>
      <c r="G5" s="80" t="s">
        <v>7</v>
      </c>
      <c r="H5" s="80" t="s">
        <v>8</v>
      </c>
      <c r="I5" s="80" t="s">
        <v>9</v>
      </c>
      <c r="J5" s="80" t="s">
        <v>10</v>
      </c>
      <c r="K5" s="80" t="s">
        <v>11</v>
      </c>
      <c r="L5" s="80" t="s">
        <v>12</v>
      </c>
      <c r="M5" s="80" t="s">
        <v>13</v>
      </c>
      <c r="N5" s="80" t="s">
        <v>29</v>
      </c>
      <c r="O5" s="80" t="s">
        <v>30</v>
      </c>
      <c r="P5" s="80" t="s">
        <v>40</v>
      </c>
      <c r="Q5" s="80" t="s">
        <v>41</v>
      </c>
      <c r="R5" s="80" t="s">
        <v>42</v>
      </c>
      <c r="S5" s="80" t="s">
        <v>43</v>
      </c>
      <c r="T5" s="80" t="s">
        <v>44</v>
      </c>
    </row>
    <row r="6" spans="1:20" s="120" customFormat="1" ht="159" customHeight="1" x14ac:dyDescent="0.3">
      <c r="A6" s="102">
        <v>1</v>
      </c>
      <c r="B6" s="122" t="s">
        <v>126</v>
      </c>
      <c r="C6" s="123">
        <v>18</v>
      </c>
      <c r="D6" s="123">
        <v>19</v>
      </c>
      <c r="E6" s="123">
        <v>0</v>
      </c>
      <c r="F6" s="123">
        <v>0</v>
      </c>
      <c r="G6" s="123">
        <v>0</v>
      </c>
      <c r="H6" s="123">
        <v>0</v>
      </c>
      <c r="I6" s="123">
        <v>0</v>
      </c>
      <c r="J6" s="123">
        <v>0</v>
      </c>
      <c r="K6" s="123">
        <v>0</v>
      </c>
      <c r="L6" s="123">
        <v>0</v>
      </c>
      <c r="M6" s="123">
        <v>0</v>
      </c>
      <c r="N6" s="123">
        <v>5</v>
      </c>
      <c r="O6" s="82">
        <v>14</v>
      </c>
      <c r="P6" s="124">
        <v>0.16</v>
      </c>
      <c r="Q6" s="124">
        <f t="shared" ref="Q6:Q9" si="0">N6/D6</f>
        <v>0.26315789473684209</v>
      </c>
      <c r="R6" s="124">
        <f t="shared" ref="R6:R9" si="1">O6/D6</f>
        <v>0.73684210526315785</v>
      </c>
      <c r="S6" s="124">
        <f t="shared" ref="S6:S9" si="2">D6/C6</f>
        <v>1.0555555555555556</v>
      </c>
      <c r="T6" s="122" t="s">
        <v>81</v>
      </c>
    </row>
    <row r="7" spans="1:20" ht="15.6" x14ac:dyDescent="0.25">
      <c r="A7" s="78">
        <v>2</v>
      </c>
      <c r="B7" s="75" t="s">
        <v>127</v>
      </c>
      <c r="C7" s="73">
        <v>7</v>
      </c>
      <c r="D7" s="73">
        <v>8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8">
        <v>0</v>
      </c>
      <c r="N7" s="73">
        <v>8</v>
      </c>
      <c r="O7" s="74">
        <v>8</v>
      </c>
      <c r="P7" s="76">
        <f>M7/D7</f>
        <v>0</v>
      </c>
      <c r="Q7" s="76">
        <f t="shared" si="0"/>
        <v>1</v>
      </c>
      <c r="R7" s="76">
        <f t="shared" si="1"/>
        <v>1</v>
      </c>
      <c r="S7" s="76">
        <f t="shared" si="2"/>
        <v>1.1428571428571428</v>
      </c>
      <c r="T7" s="117" t="s">
        <v>79</v>
      </c>
    </row>
    <row r="8" spans="1:20" s="31" customFormat="1" ht="60.75" customHeight="1" x14ac:dyDescent="0.25">
      <c r="A8" s="33">
        <v>3</v>
      </c>
      <c r="B8" s="83" t="s">
        <v>128</v>
      </c>
      <c r="C8" s="84">
        <v>18</v>
      </c>
      <c r="D8" s="84">
        <v>20</v>
      </c>
      <c r="E8" s="84">
        <v>0</v>
      </c>
      <c r="F8" s="84">
        <v>0</v>
      </c>
      <c r="G8" s="84">
        <v>0</v>
      </c>
      <c r="H8" s="84">
        <v>0</v>
      </c>
      <c r="I8" s="84">
        <v>0</v>
      </c>
      <c r="J8" s="84">
        <v>1</v>
      </c>
      <c r="K8" s="84">
        <v>0</v>
      </c>
      <c r="L8" s="84">
        <v>0</v>
      </c>
      <c r="M8" s="33">
        <v>1</v>
      </c>
      <c r="N8" s="84">
        <v>0</v>
      </c>
      <c r="O8" s="23">
        <v>19</v>
      </c>
      <c r="P8" s="85">
        <f>M8/D8</f>
        <v>0.05</v>
      </c>
      <c r="Q8" s="85">
        <f t="shared" si="0"/>
        <v>0</v>
      </c>
      <c r="R8" s="85">
        <f t="shared" si="1"/>
        <v>0.95</v>
      </c>
      <c r="S8" s="85">
        <f t="shared" si="2"/>
        <v>1.1111111111111112</v>
      </c>
      <c r="T8" s="125" t="s">
        <v>95</v>
      </c>
    </row>
    <row r="9" spans="1:20" ht="99.75" customHeight="1" x14ac:dyDescent="0.25">
      <c r="A9" s="78">
        <v>4</v>
      </c>
      <c r="B9" s="75" t="s">
        <v>129</v>
      </c>
      <c r="C9" s="73">
        <v>9</v>
      </c>
      <c r="D9" s="73">
        <v>10</v>
      </c>
      <c r="E9" s="73">
        <v>0</v>
      </c>
      <c r="F9" s="73">
        <v>0</v>
      </c>
      <c r="G9" s="73">
        <v>0</v>
      </c>
      <c r="H9" s="73">
        <v>0</v>
      </c>
      <c r="I9" s="73">
        <v>0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4">
        <f>D9-M9-N9</f>
        <v>10</v>
      </c>
      <c r="P9" s="76">
        <f>M9/D9</f>
        <v>0</v>
      </c>
      <c r="Q9" s="76">
        <f t="shared" si="0"/>
        <v>0</v>
      </c>
      <c r="R9" s="76">
        <f t="shared" si="1"/>
        <v>1</v>
      </c>
      <c r="S9" s="76">
        <f t="shared" si="2"/>
        <v>1.1111111111111112</v>
      </c>
      <c r="T9" s="101"/>
    </row>
    <row r="10" spans="1:20" ht="27.9" customHeight="1" x14ac:dyDescent="0.25">
      <c r="T10" s="70" t="s">
        <v>54</v>
      </c>
    </row>
    <row r="11" spans="1:20" ht="27.9" customHeight="1" x14ac:dyDescent="0.25"/>
    <row r="12" spans="1:20" ht="27.9" customHeight="1" x14ac:dyDescent="0.25"/>
    <row r="13" spans="1:20" ht="27.9" customHeight="1" x14ac:dyDescent="0.25"/>
    <row r="14" spans="1:20" ht="27.9" customHeight="1" x14ac:dyDescent="0.25"/>
    <row r="15" spans="1:20" ht="27.9" customHeight="1" x14ac:dyDescent="0.25"/>
    <row r="16" spans="1:20" ht="27.9" customHeight="1" x14ac:dyDescent="0.25"/>
    <row r="17" ht="27.9" customHeight="1" x14ac:dyDescent="0.25"/>
    <row r="18" ht="27.9" customHeight="1" x14ac:dyDescent="0.25"/>
    <row r="19" ht="27.9" customHeight="1" x14ac:dyDescent="0.25"/>
    <row r="20" ht="27.9" customHeight="1" x14ac:dyDescent="0.25"/>
  </sheetData>
  <protectedRanges>
    <protectedRange sqref="B6:B9" name="Range1_1"/>
  </protectedRanges>
  <mergeCells count="13">
    <mergeCell ref="R3:R4"/>
    <mergeCell ref="S3:S4"/>
    <mergeCell ref="T3:T4"/>
    <mergeCell ref="A2:T2"/>
    <mergeCell ref="A3:A4"/>
    <mergeCell ref="B3:B4"/>
    <mergeCell ref="C3:D3"/>
    <mergeCell ref="E3:L3"/>
    <mergeCell ref="M3:M4"/>
    <mergeCell ref="N3:N4"/>
    <mergeCell ref="O3:O4"/>
    <mergeCell ref="P3:P4"/>
    <mergeCell ref="Q3:Q4"/>
  </mergeCells>
  <dataValidations count="2">
    <dataValidation type="whole" allowBlank="1" showInputMessage="1" showErrorMessage="1" sqref="M6 M9 C6:L9" xr:uid="{00000000-0002-0000-0700-000000000000}">
      <formula1>0</formula1>
      <formula2>50000</formula2>
    </dataValidation>
    <dataValidation type="whole" allowBlank="1" showInputMessage="1" showErrorMessage="1" errorTitle="Value Between 0 to 200000" sqref="O6:O9" xr:uid="{00000000-0002-0000-0700-000001000000}">
      <formula1>0</formula1>
      <formula2>200000</formula2>
    </dataValidation>
  </dataValidations>
  <pageMargins left="0.45" right="0.2" top="0.25" bottom="0.25" header="0.3" footer="0.3"/>
  <pageSetup paperSize="9" scale="4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Q10"/>
  <sheetViews>
    <sheetView view="pageBreakPreview" zoomScale="75" zoomScaleSheetLayoutView="75" workbookViewId="0">
      <selection activeCell="A6" sqref="A6:XFD6"/>
    </sheetView>
  </sheetViews>
  <sheetFormatPr defaultColWidth="9.109375" defaultRowHeight="13.8" x14ac:dyDescent="0.25"/>
  <cols>
    <col min="1" max="1" width="7.44140625" style="10" customWidth="1"/>
    <col min="2" max="2" width="38" style="46" customWidth="1"/>
    <col min="3" max="3" width="8.5546875" style="11" customWidth="1"/>
    <col min="4" max="4" width="7.88671875" style="11" customWidth="1"/>
    <col min="5" max="6" width="4.88671875" style="11" customWidth="1"/>
    <col min="7" max="7" width="4.88671875" style="11" bestFit="1" customWidth="1"/>
    <col min="8" max="8" width="7.5546875" style="11" customWidth="1"/>
    <col min="9" max="9" width="5.6640625" style="11" customWidth="1"/>
    <col min="10" max="10" width="8.88671875" style="11" customWidth="1"/>
    <col min="11" max="11" width="6.44140625" style="11" bestFit="1" customWidth="1"/>
    <col min="12" max="12" width="10" style="12" customWidth="1"/>
    <col min="13" max="13" width="8.6640625" style="12" customWidth="1"/>
    <col min="14" max="14" width="10.88671875" style="12" customWidth="1"/>
    <col min="15" max="15" width="11.88671875" style="12" customWidth="1"/>
    <col min="16" max="16" width="12.88671875" style="12" customWidth="1"/>
    <col min="17" max="17" width="26.33203125" style="12" customWidth="1"/>
    <col min="18" max="16384" width="9.109375" style="12"/>
  </cols>
  <sheetData>
    <row r="1" spans="1:17" ht="45.75" customHeight="1" x14ac:dyDescent="0.25">
      <c r="P1" s="152" t="s">
        <v>89</v>
      </c>
      <c r="Q1" s="152"/>
    </row>
    <row r="2" spans="1:17" ht="27" customHeight="1" x14ac:dyDescent="0.25">
      <c r="A2" s="153" t="s">
        <v>90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</row>
    <row r="3" spans="1:17" s="44" customFormat="1" x14ac:dyDescent="0.3">
      <c r="A3" s="130" t="s">
        <v>0</v>
      </c>
      <c r="B3" s="132" t="s">
        <v>16</v>
      </c>
      <c r="C3" s="134" t="s">
        <v>17</v>
      </c>
      <c r="D3" s="135"/>
      <c r="E3" s="136" t="s">
        <v>31</v>
      </c>
      <c r="F3" s="136"/>
      <c r="G3" s="136"/>
      <c r="H3" s="136"/>
      <c r="I3" s="136"/>
      <c r="J3" s="132" t="s">
        <v>18</v>
      </c>
      <c r="K3" s="132" t="s">
        <v>19</v>
      </c>
      <c r="L3" s="132" t="s">
        <v>20</v>
      </c>
      <c r="M3" s="154" t="s">
        <v>21</v>
      </c>
      <c r="N3" s="154" t="s">
        <v>22</v>
      </c>
      <c r="O3" s="154" t="s">
        <v>23</v>
      </c>
      <c r="P3" s="154" t="s">
        <v>24</v>
      </c>
      <c r="Q3" s="154" t="s">
        <v>34</v>
      </c>
    </row>
    <row r="4" spans="1:17" s="44" customFormat="1" ht="124.2" x14ac:dyDescent="0.3">
      <c r="A4" s="131"/>
      <c r="B4" s="133"/>
      <c r="C4" s="77" t="s">
        <v>25</v>
      </c>
      <c r="D4" s="77" t="s">
        <v>26</v>
      </c>
      <c r="E4" s="47" t="s">
        <v>45</v>
      </c>
      <c r="F4" s="47" t="s">
        <v>35</v>
      </c>
      <c r="G4" s="47" t="s">
        <v>27</v>
      </c>
      <c r="H4" s="48" t="s">
        <v>46</v>
      </c>
      <c r="I4" s="47" t="s">
        <v>28</v>
      </c>
      <c r="J4" s="133"/>
      <c r="K4" s="133"/>
      <c r="L4" s="133"/>
      <c r="M4" s="154"/>
      <c r="N4" s="154"/>
      <c r="O4" s="154"/>
      <c r="P4" s="154"/>
      <c r="Q4" s="136"/>
    </row>
    <row r="5" spans="1:17" s="38" customFormat="1" x14ac:dyDescent="0.25">
      <c r="A5" s="39" t="s">
        <v>1</v>
      </c>
      <c r="B5" s="41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9</v>
      </c>
      <c r="J5" s="39" t="s">
        <v>10</v>
      </c>
      <c r="K5" s="39" t="s">
        <v>11</v>
      </c>
      <c r="L5" s="39" t="s">
        <v>12</v>
      </c>
      <c r="M5" s="39" t="s">
        <v>13</v>
      </c>
      <c r="N5" s="39" t="s">
        <v>29</v>
      </c>
      <c r="O5" s="39" t="s">
        <v>30</v>
      </c>
      <c r="P5" s="39" t="s">
        <v>40</v>
      </c>
      <c r="Q5" s="39" t="s">
        <v>41</v>
      </c>
    </row>
    <row r="6" spans="1:17" ht="18" customHeight="1" x14ac:dyDescent="0.25">
      <c r="A6" s="126">
        <v>1</v>
      </c>
      <c r="B6" s="21" t="s">
        <v>130</v>
      </c>
      <c r="C6" s="34">
        <v>3</v>
      </c>
      <c r="D6" s="128">
        <v>3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37">
        <v>0</v>
      </c>
      <c r="K6" s="22">
        <v>0</v>
      </c>
      <c r="L6" s="23">
        <v>3</v>
      </c>
      <c r="M6" s="17">
        <f t="shared" ref="M6" si="0">J6/D6</f>
        <v>0</v>
      </c>
      <c r="N6" s="17">
        <f t="shared" ref="N6" si="1">K6/D6</f>
        <v>0</v>
      </c>
      <c r="O6" s="17">
        <f t="shared" ref="O6" si="2">L6/D6</f>
        <v>1</v>
      </c>
      <c r="P6" s="17">
        <f t="shared" ref="P6" si="3">D6/C6</f>
        <v>1</v>
      </c>
      <c r="Q6" s="49"/>
    </row>
    <row r="7" spans="1:17" ht="18" customHeight="1" x14ac:dyDescent="0.25">
      <c r="A7" s="40">
        <v>2</v>
      </c>
      <c r="B7" s="21" t="s">
        <v>131</v>
      </c>
      <c r="C7" s="22">
        <v>25</v>
      </c>
      <c r="D7" s="22">
        <v>21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37">
        <v>0</v>
      </c>
      <c r="K7" s="22">
        <v>0</v>
      </c>
      <c r="L7" s="23">
        <f t="shared" ref="L7:L10" si="4">D7-J7</f>
        <v>21</v>
      </c>
      <c r="M7" s="17">
        <f t="shared" ref="M7:M10" si="5">J7/D7</f>
        <v>0</v>
      </c>
      <c r="N7" s="17">
        <f t="shared" ref="N7:N10" si="6">K7/D7</f>
        <v>0</v>
      </c>
      <c r="O7" s="17">
        <f t="shared" ref="O7:O10" si="7">L7/D7</f>
        <v>1</v>
      </c>
      <c r="P7" s="17">
        <f t="shared" ref="P7:P10" si="8">D7/C7</f>
        <v>0.84</v>
      </c>
      <c r="Q7" s="51"/>
    </row>
    <row r="8" spans="1:17" ht="34.5" customHeight="1" x14ac:dyDescent="0.25">
      <c r="A8" s="40">
        <v>3</v>
      </c>
      <c r="B8" s="21" t="s">
        <v>132</v>
      </c>
      <c r="C8" s="22">
        <v>211</v>
      </c>
      <c r="D8" s="22">
        <v>368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37">
        <v>0</v>
      </c>
      <c r="K8" s="22">
        <v>0</v>
      </c>
      <c r="L8" s="23">
        <f>D8-J8-K8</f>
        <v>368</v>
      </c>
      <c r="M8" s="17">
        <f t="shared" si="5"/>
        <v>0</v>
      </c>
      <c r="N8" s="17">
        <f t="shared" si="6"/>
        <v>0</v>
      </c>
      <c r="O8" s="17">
        <f>L8/D8</f>
        <v>1</v>
      </c>
      <c r="P8" s="17">
        <f t="shared" si="8"/>
        <v>1.7440758293838863</v>
      </c>
      <c r="Q8" s="50"/>
    </row>
    <row r="9" spans="1:17" ht="15.6" x14ac:dyDescent="0.25">
      <c r="A9" s="40">
        <v>4</v>
      </c>
      <c r="B9" s="21" t="s">
        <v>133</v>
      </c>
      <c r="C9" s="22">
        <v>306</v>
      </c>
      <c r="D9" s="22">
        <v>100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37">
        <v>0</v>
      </c>
      <c r="K9" s="22">
        <v>0</v>
      </c>
      <c r="L9" s="23">
        <f t="shared" si="4"/>
        <v>100</v>
      </c>
      <c r="M9" s="17">
        <f t="shared" si="5"/>
        <v>0</v>
      </c>
      <c r="N9" s="17">
        <f t="shared" si="6"/>
        <v>0</v>
      </c>
      <c r="O9" s="17">
        <f t="shared" si="7"/>
        <v>1</v>
      </c>
      <c r="P9" s="17">
        <f t="shared" si="8"/>
        <v>0.32679738562091504</v>
      </c>
      <c r="Q9" s="50"/>
    </row>
    <row r="10" spans="1:17" ht="18" customHeight="1" x14ac:dyDescent="0.3">
      <c r="A10" s="40">
        <v>5</v>
      </c>
      <c r="B10" s="21" t="s">
        <v>134</v>
      </c>
      <c r="C10" s="22">
        <v>23</v>
      </c>
      <c r="D10" s="22">
        <v>14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37">
        <v>0</v>
      </c>
      <c r="K10" s="22">
        <v>0</v>
      </c>
      <c r="L10" s="23">
        <f t="shared" si="4"/>
        <v>14</v>
      </c>
      <c r="M10" s="17">
        <f t="shared" si="5"/>
        <v>0</v>
      </c>
      <c r="N10" s="17">
        <f t="shared" si="6"/>
        <v>0</v>
      </c>
      <c r="O10" s="17">
        <f t="shared" si="7"/>
        <v>1</v>
      </c>
      <c r="P10" s="17">
        <f t="shared" si="8"/>
        <v>0.60869565217391308</v>
      </c>
      <c r="Q10" s="52"/>
    </row>
  </sheetData>
  <mergeCells count="14">
    <mergeCell ref="P1:Q1"/>
    <mergeCell ref="A2:Q2"/>
    <mergeCell ref="A3:A4"/>
    <mergeCell ref="B3:B4"/>
    <mergeCell ref="C3:D3"/>
    <mergeCell ref="E3:I3"/>
    <mergeCell ref="J3:J4"/>
    <mergeCell ref="K3:K4"/>
    <mergeCell ref="L3:L4"/>
    <mergeCell ref="O3:O4"/>
    <mergeCell ref="P3:P4"/>
    <mergeCell ref="Q3:Q4"/>
    <mergeCell ref="M3:M4"/>
    <mergeCell ref="N3:N4"/>
  </mergeCells>
  <dataValidations count="3">
    <dataValidation allowBlank="1" showInputMessage="1" showErrorMessage="1" promptTitle="FORMULA USED" prompt="Don't Ammend Here" sqref="B6:B10" xr:uid="{00000000-0002-0000-0900-000000000000}"/>
    <dataValidation type="whole" allowBlank="1" showInputMessage="1" showErrorMessage="1" sqref="K6:K10 C6:I10" xr:uid="{00000000-0002-0000-0900-000001000000}">
      <formula1>0</formula1>
      <formula2>50000</formula2>
    </dataValidation>
    <dataValidation type="whole" allowBlank="1" showInputMessage="1" showErrorMessage="1" errorTitle="Value Between 0 to 200000" sqref="L6:L10" xr:uid="{00000000-0002-0000-0900-000002000000}">
      <formula1>0</formula1>
      <formula2>200000</formula2>
    </dataValidation>
  </dataValidations>
  <printOptions horizontalCentered="1"/>
  <pageMargins left="0.47244094488188998" right="0.43307086614173201" top="0.48622047200000001" bottom="0.23622047244094499" header="0.31496062992126" footer="0.31496062992126"/>
  <pageSetup paperSize="305" scale="54" orientation="landscape" r:id="rId1"/>
  <ignoredErrors>
    <ignoredError sqref="L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-0.499984740745262"/>
  </sheetPr>
  <dimension ref="A1:P23"/>
  <sheetViews>
    <sheetView tabSelected="1" view="pageBreakPreview" zoomScale="70" zoomScaleSheetLayoutView="70" workbookViewId="0">
      <pane ySplit="5" topLeftCell="A6" activePane="bottomLeft" state="frozen"/>
      <selection activeCell="B1" sqref="B1"/>
      <selection pane="bottomLeft" activeCell="Q18" sqref="Q18"/>
    </sheetView>
  </sheetViews>
  <sheetFormatPr defaultColWidth="9.109375" defaultRowHeight="14.4" x14ac:dyDescent="0.3"/>
  <cols>
    <col min="1" max="1" width="5.44140625" style="4" customWidth="1"/>
    <col min="2" max="2" width="9.109375" style="4"/>
    <col min="3" max="3" width="32" style="4" customWidth="1"/>
    <col min="4" max="4" width="9" style="4" customWidth="1"/>
    <col min="5" max="5" width="8.6640625" style="4" customWidth="1"/>
    <col min="6" max="6" width="8.33203125" style="4" customWidth="1"/>
    <col min="7" max="7" width="11" style="4" customWidth="1"/>
    <col min="8" max="8" width="8.5546875" style="4" customWidth="1"/>
    <col min="9" max="9" width="12.88671875" style="4" customWidth="1"/>
    <col min="10" max="10" width="9" style="4" customWidth="1"/>
    <col min="11" max="11" width="9.109375" style="4" customWidth="1"/>
    <col min="12" max="12" width="9.33203125" style="4" bestFit="1" customWidth="1"/>
    <col min="13" max="13" width="9.6640625" style="4" customWidth="1"/>
    <col min="14" max="14" width="13.109375" style="4" customWidth="1"/>
    <col min="15" max="15" width="13.44140625" style="4" customWidth="1"/>
    <col min="16" max="16" width="30" style="4" customWidth="1"/>
    <col min="17" max="16384" width="9.109375" style="4"/>
  </cols>
  <sheetData>
    <row r="1" spans="1:16" ht="51.75" customHeight="1" x14ac:dyDescent="0.3">
      <c r="N1" s="54"/>
      <c r="O1" s="142" t="s">
        <v>92</v>
      </c>
      <c r="P1" s="142"/>
    </row>
    <row r="2" spans="1:16" ht="17.399999999999999" x14ac:dyDescent="0.3">
      <c r="A2" s="169" t="s">
        <v>91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1:16" ht="15.6" x14ac:dyDescent="0.3">
      <c r="A3" s="55"/>
      <c r="B3" s="55"/>
      <c r="C3" s="25"/>
      <c r="D3" s="55"/>
      <c r="E3" s="55"/>
      <c r="F3" s="55"/>
      <c r="G3" s="55"/>
      <c r="H3" s="55"/>
      <c r="I3" s="55"/>
      <c r="J3" s="55"/>
      <c r="K3" s="27"/>
      <c r="L3" s="27"/>
      <c r="M3" s="27"/>
      <c r="N3" s="170"/>
      <c r="O3" s="171"/>
      <c r="P3" s="171"/>
    </row>
    <row r="4" spans="1:16" ht="15" customHeight="1" x14ac:dyDescent="0.3">
      <c r="A4" s="172" t="s">
        <v>0</v>
      </c>
      <c r="B4" s="173" t="s">
        <v>16</v>
      </c>
      <c r="C4" s="174"/>
      <c r="D4" s="177" t="s">
        <v>17</v>
      </c>
      <c r="E4" s="178"/>
      <c r="F4" s="172" t="s">
        <v>47</v>
      </c>
      <c r="G4" s="172"/>
      <c r="H4" s="172"/>
      <c r="I4" s="179" t="s">
        <v>18</v>
      </c>
      <c r="J4" s="179" t="s">
        <v>19</v>
      </c>
      <c r="K4" s="179" t="s">
        <v>20</v>
      </c>
      <c r="L4" s="181" t="s">
        <v>21</v>
      </c>
      <c r="M4" s="181" t="s">
        <v>22</v>
      </c>
      <c r="N4" s="181" t="s">
        <v>23</v>
      </c>
      <c r="O4" s="181" t="s">
        <v>24</v>
      </c>
      <c r="P4" s="179" t="s">
        <v>50</v>
      </c>
    </row>
    <row r="5" spans="1:16" ht="61.5" customHeight="1" x14ac:dyDescent="0.3">
      <c r="A5" s="172"/>
      <c r="B5" s="175"/>
      <c r="C5" s="176"/>
      <c r="D5" s="65" t="s">
        <v>25</v>
      </c>
      <c r="E5" s="65" t="s">
        <v>26</v>
      </c>
      <c r="F5" s="56" t="s">
        <v>27</v>
      </c>
      <c r="G5" s="57" t="s">
        <v>48</v>
      </c>
      <c r="H5" s="56" t="s">
        <v>28</v>
      </c>
      <c r="I5" s="180"/>
      <c r="J5" s="180"/>
      <c r="K5" s="180"/>
      <c r="L5" s="181"/>
      <c r="M5" s="181"/>
      <c r="N5" s="181"/>
      <c r="O5" s="181"/>
      <c r="P5" s="182"/>
    </row>
    <row r="6" spans="1:16" x14ac:dyDescent="0.3">
      <c r="A6" s="58" t="s">
        <v>1</v>
      </c>
      <c r="B6" s="183" t="s">
        <v>2</v>
      </c>
      <c r="C6" s="184"/>
      <c r="D6" s="58" t="s">
        <v>3</v>
      </c>
      <c r="E6" s="58" t="s">
        <v>4</v>
      </c>
      <c r="F6" s="59" t="s">
        <v>5</v>
      </c>
      <c r="G6" s="59" t="s">
        <v>6</v>
      </c>
      <c r="H6" s="58" t="s">
        <v>7</v>
      </c>
      <c r="I6" s="58" t="s">
        <v>8</v>
      </c>
      <c r="J6" s="58" t="s">
        <v>9</v>
      </c>
      <c r="K6" s="58" t="s">
        <v>10</v>
      </c>
      <c r="L6" s="58" t="s">
        <v>11</v>
      </c>
      <c r="M6" s="58" t="s">
        <v>12</v>
      </c>
      <c r="N6" s="58" t="s">
        <v>13</v>
      </c>
      <c r="O6" s="58" t="s">
        <v>29</v>
      </c>
      <c r="P6" s="58" t="s">
        <v>30</v>
      </c>
    </row>
    <row r="7" spans="1:16" ht="15" customHeight="1" x14ac:dyDescent="0.3">
      <c r="A7" s="60">
        <v>1</v>
      </c>
      <c r="B7" s="164" t="s">
        <v>135</v>
      </c>
      <c r="C7" s="164"/>
      <c r="D7" s="1">
        <v>4</v>
      </c>
      <c r="E7" s="1">
        <v>4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2">
        <f t="shared" ref="K7:K8" si="0">E7-I7</f>
        <v>4</v>
      </c>
      <c r="L7" s="3">
        <f t="shared" ref="L7:L8" si="1">I7/E7</f>
        <v>0</v>
      </c>
      <c r="M7" s="3">
        <f t="shared" ref="M7:M8" si="2">J7/E7</f>
        <v>0</v>
      </c>
      <c r="N7" s="3">
        <f t="shared" ref="N7:N8" si="3">K7/E7</f>
        <v>1</v>
      </c>
      <c r="O7" s="3">
        <f t="shared" ref="O7:O8" si="4">E7/D7</f>
        <v>1</v>
      </c>
      <c r="P7" s="26"/>
    </row>
    <row r="8" spans="1:16" ht="15.6" x14ac:dyDescent="0.3">
      <c r="A8" s="60">
        <v>2</v>
      </c>
      <c r="B8" s="157" t="s">
        <v>136</v>
      </c>
      <c r="C8" s="158"/>
      <c r="D8" s="1">
        <v>3</v>
      </c>
      <c r="E8" s="1">
        <v>5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2">
        <f t="shared" si="0"/>
        <v>5</v>
      </c>
      <c r="L8" s="3">
        <f t="shared" si="1"/>
        <v>0</v>
      </c>
      <c r="M8" s="3">
        <f t="shared" si="2"/>
        <v>0</v>
      </c>
      <c r="N8" s="3">
        <f t="shared" si="3"/>
        <v>1</v>
      </c>
      <c r="O8" s="3">
        <f t="shared" si="4"/>
        <v>1.6666666666666667</v>
      </c>
      <c r="P8" s="26"/>
    </row>
    <row r="9" spans="1:16" s="106" customFormat="1" ht="15.6" x14ac:dyDescent="0.3">
      <c r="A9" s="102">
        <v>3</v>
      </c>
      <c r="B9" s="167" t="s">
        <v>137</v>
      </c>
      <c r="C9" s="168"/>
      <c r="D9" s="103">
        <v>5</v>
      </c>
      <c r="E9" s="103">
        <v>2</v>
      </c>
      <c r="F9" s="103">
        <v>0</v>
      </c>
      <c r="G9" s="103">
        <v>0</v>
      </c>
      <c r="H9" s="103">
        <v>0</v>
      </c>
      <c r="I9" s="104">
        <v>0</v>
      </c>
      <c r="J9" s="104">
        <v>0</v>
      </c>
      <c r="K9" s="82">
        <f t="shared" ref="K9:K21" si="5">E9-I9</f>
        <v>2</v>
      </c>
      <c r="L9" s="105">
        <f t="shared" ref="L9:L21" si="6">I9/E9</f>
        <v>0</v>
      </c>
      <c r="M9" s="105">
        <f t="shared" ref="M9:M21" si="7">J9/E9</f>
        <v>0</v>
      </c>
      <c r="N9" s="105">
        <f t="shared" ref="N9:N21" si="8">K9/E9</f>
        <v>1</v>
      </c>
      <c r="O9" s="105">
        <f t="shared" ref="O9:O21" si="9">E9/D9</f>
        <v>0.4</v>
      </c>
      <c r="P9" s="96"/>
    </row>
    <row r="10" spans="1:16" ht="15" customHeight="1" x14ac:dyDescent="0.3">
      <c r="A10" s="60">
        <v>4</v>
      </c>
      <c r="B10" s="164" t="s">
        <v>138</v>
      </c>
      <c r="C10" s="164"/>
      <c r="D10" s="1">
        <v>4</v>
      </c>
      <c r="E10" s="1">
        <v>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2">
        <f t="shared" si="5"/>
        <v>2</v>
      </c>
      <c r="L10" s="3">
        <f t="shared" si="6"/>
        <v>0</v>
      </c>
      <c r="M10" s="3">
        <f t="shared" si="7"/>
        <v>0</v>
      </c>
      <c r="N10" s="3">
        <f t="shared" si="8"/>
        <v>1</v>
      </c>
      <c r="O10" s="3">
        <f t="shared" si="9"/>
        <v>0.5</v>
      </c>
      <c r="P10" s="61"/>
    </row>
    <row r="11" spans="1:16" ht="15.6" x14ac:dyDescent="0.3">
      <c r="A11" s="60">
        <v>5</v>
      </c>
      <c r="B11" s="162" t="s">
        <v>139</v>
      </c>
      <c r="C11" s="162"/>
      <c r="D11" s="155">
        <v>10</v>
      </c>
      <c r="E11" s="1">
        <v>6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2">
        <f t="shared" si="5"/>
        <v>6</v>
      </c>
      <c r="L11" s="3">
        <f t="shared" si="6"/>
        <v>0</v>
      </c>
      <c r="M11" s="3">
        <f t="shared" si="7"/>
        <v>0</v>
      </c>
      <c r="N11" s="3">
        <f t="shared" si="8"/>
        <v>1</v>
      </c>
      <c r="O11" s="3" t="e">
        <f>E11/#REF!</f>
        <v>#REF!</v>
      </c>
      <c r="P11" s="62"/>
    </row>
    <row r="12" spans="1:16" s="63" customFormat="1" ht="15.6" x14ac:dyDescent="0.3">
      <c r="A12" s="102">
        <v>6</v>
      </c>
      <c r="B12" s="165">
        <v>133</v>
      </c>
      <c r="C12" s="166"/>
      <c r="D12" s="156"/>
      <c r="E12" s="37">
        <v>10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23">
        <f t="shared" si="5"/>
        <v>10</v>
      </c>
      <c r="L12" s="7">
        <f t="shared" si="6"/>
        <v>0</v>
      </c>
      <c r="M12" s="7">
        <f t="shared" si="7"/>
        <v>0</v>
      </c>
      <c r="N12" s="7">
        <f t="shared" si="8"/>
        <v>1</v>
      </c>
      <c r="O12" s="7">
        <f>E12/D11</f>
        <v>1</v>
      </c>
      <c r="P12" s="42"/>
    </row>
    <row r="13" spans="1:16" ht="15.6" x14ac:dyDescent="0.3">
      <c r="A13" s="60">
        <v>7</v>
      </c>
      <c r="B13" s="162" t="s">
        <v>140</v>
      </c>
      <c r="C13" s="162"/>
      <c r="D13" s="1">
        <v>49</v>
      </c>
      <c r="E13" s="1">
        <v>14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2">
        <f t="shared" si="5"/>
        <v>14</v>
      </c>
      <c r="L13" s="3">
        <f t="shared" si="6"/>
        <v>0</v>
      </c>
      <c r="M13" s="3">
        <f t="shared" si="7"/>
        <v>0</v>
      </c>
      <c r="N13" s="3">
        <f t="shared" si="8"/>
        <v>1</v>
      </c>
      <c r="O13" s="3">
        <f t="shared" si="9"/>
        <v>0.2857142857142857</v>
      </c>
      <c r="P13" s="61"/>
    </row>
    <row r="14" spans="1:16" ht="15" customHeight="1" x14ac:dyDescent="0.3">
      <c r="A14" s="60">
        <v>8</v>
      </c>
      <c r="B14" s="162" t="s">
        <v>141</v>
      </c>
      <c r="C14" s="162"/>
      <c r="D14" s="1">
        <v>3</v>
      </c>
      <c r="E14" s="1">
        <v>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2">
        <f t="shared" si="5"/>
        <v>3</v>
      </c>
      <c r="L14" s="3">
        <f t="shared" si="6"/>
        <v>0</v>
      </c>
      <c r="M14" s="3">
        <f t="shared" si="7"/>
        <v>0</v>
      </c>
      <c r="N14" s="3">
        <f t="shared" si="8"/>
        <v>1</v>
      </c>
      <c r="O14" s="3">
        <f t="shared" si="9"/>
        <v>1</v>
      </c>
      <c r="P14" s="29"/>
    </row>
    <row r="15" spans="1:16" s="116" customFormat="1" ht="15.6" x14ac:dyDescent="0.3">
      <c r="A15" s="102">
        <v>9</v>
      </c>
      <c r="B15" s="163" t="s">
        <v>142</v>
      </c>
      <c r="C15" s="163"/>
      <c r="D15" s="103">
        <v>36</v>
      </c>
      <c r="E15" s="103">
        <v>33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82">
        <f t="shared" si="5"/>
        <v>33</v>
      </c>
      <c r="L15" s="105">
        <f t="shared" si="6"/>
        <v>0</v>
      </c>
      <c r="M15" s="105">
        <f t="shared" si="7"/>
        <v>0</v>
      </c>
      <c r="N15" s="105">
        <f t="shared" si="8"/>
        <v>1</v>
      </c>
      <c r="O15" s="105">
        <f t="shared" si="9"/>
        <v>0.91666666666666663</v>
      </c>
      <c r="P15" s="96"/>
    </row>
    <row r="16" spans="1:16" ht="15.6" x14ac:dyDescent="0.3">
      <c r="A16" s="60">
        <v>10</v>
      </c>
      <c r="B16" s="161" t="s">
        <v>143</v>
      </c>
      <c r="C16" s="161"/>
      <c r="D16" s="1">
        <v>19</v>
      </c>
      <c r="E16" s="1">
        <v>19</v>
      </c>
      <c r="F16" s="1">
        <v>0</v>
      </c>
      <c r="G16" s="1">
        <v>0</v>
      </c>
      <c r="H16" s="1">
        <v>0</v>
      </c>
      <c r="I16" s="1">
        <f>F16+G16+H16</f>
        <v>0</v>
      </c>
      <c r="J16" s="1">
        <v>0</v>
      </c>
      <c r="K16" s="2">
        <f>E16-I16-J16</f>
        <v>19</v>
      </c>
      <c r="L16" s="3">
        <f t="shared" si="6"/>
        <v>0</v>
      </c>
      <c r="M16" s="3">
        <f t="shared" si="7"/>
        <v>0</v>
      </c>
      <c r="N16" s="3">
        <f t="shared" si="8"/>
        <v>1</v>
      </c>
      <c r="O16" s="3">
        <f t="shared" si="9"/>
        <v>1</v>
      </c>
      <c r="P16" s="29"/>
    </row>
    <row r="17" spans="1:16" ht="18.75" customHeight="1" x14ac:dyDescent="0.3">
      <c r="A17" s="60">
        <v>11</v>
      </c>
      <c r="B17" s="157" t="s">
        <v>144</v>
      </c>
      <c r="C17" s="158"/>
      <c r="D17" s="1">
        <v>6</v>
      </c>
      <c r="E17" s="1">
        <v>5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2">
        <f t="shared" si="5"/>
        <v>5</v>
      </c>
      <c r="L17" s="3">
        <f t="shared" si="6"/>
        <v>0</v>
      </c>
      <c r="M17" s="3">
        <f t="shared" si="7"/>
        <v>0</v>
      </c>
      <c r="N17" s="3">
        <f t="shared" si="8"/>
        <v>1</v>
      </c>
      <c r="O17" s="3">
        <f t="shared" si="9"/>
        <v>0.83333333333333337</v>
      </c>
      <c r="P17" s="29"/>
    </row>
    <row r="18" spans="1:16" ht="15.6" x14ac:dyDescent="0.3">
      <c r="A18" s="102">
        <v>12</v>
      </c>
      <c r="B18" s="161" t="s">
        <v>145</v>
      </c>
      <c r="C18" s="161"/>
      <c r="D18" s="1">
        <v>4</v>
      </c>
      <c r="E18" s="1">
        <v>3</v>
      </c>
      <c r="F18" s="1">
        <v>0</v>
      </c>
      <c r="G18" s="1">
        <v>0</v>
      </c>
      <c r="H18" s="1">
        <v>0</v>
      </c>
      <c r="I18" s="1">
        <f>F18+G18+H18</f>
        <v>0</v>
      </c>
      <c r="J18" s="1">
        <v>0</v>
      </c>
      <c r="K18" s="2">
        <f t="shared" si="5"/>
        <v>3</v>
      </c>
      <c r="L18" s="3">
        <f t="shared" ref="L18" si="10">I18/E18</f>
        <v>0</v>
      </c>
      <c r="M18" s="3">
        <f t="shared" ref="M18" si="11">J18/E18</f>
        <v>0</v>
      </c>
      <c r="N18" s="3">
        <f t="shared" ref="N18" si="12">K18/E18</f>
        <v>1</v>
      </c>
      <c r="O18" s="3">
        <f t="shared" ref="O18" si="13">E18/D18</f>
        <v>0.75</v>
      </c>
      <c r="P18" s="62"/>
    </row>
    <row r="19" spans="1:16" ht="15.6" x14ac:dyDescent="0.3">
      <c r="A19" s="60">
        <v>13</v>
      </c>
      <c r="B19" s="161" t="s">
        <v>146</v>
      </c>
      <c r="C19" s="161"/>
      <c r="D19" s="1">
        <v>41</v>
      </c>
      <c r="E19" s="1">
        <v>40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2">
        <f>E19-I19</f>
        <v>40</v>
      </c>
      <c r="L19" s="3">
        <f t="shared" si="6"/>
        <v>0</v>
      </c>
      <c r="M19" s="3">
        <f t="shared" si="7"/>
        <v>0</v>
      </c>
      <c r="N19" s="3">
        <f t="shared" si="8"/>
        <v>1</v>
      </c>
      <c r="O19" s="3">
        <f t="shared" si="9"/>
        <v>0.97560975609756095</v>
      </c>
      <c r="P19" s="62"/>
    </row>
    <row r="20" spans="1:16" s="108" customFormat="1" ht="15" customHeight="1" x14ac:dyDescent="0.3">
      <c r="A20" s="60">
        <v>14</v>
      </c>
      <c r="B20" s="159" t="s">
        <v>147</v>
      </c>
      <c r="C20" s="160"/>
      <c r="D20" s="103">
        <v>5</v>
      </c>
      <c r="E20" s="103">
        <v>17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82">
        <f t="shared" si="5"/>
        <v>17</v>
      </c>
      <c r="L20" s="105">
        <f t="shared" ref="L20" si="14">I20/E20</f>
        <v>0</v>
      </c>
      <c r="M20" s="105">
        <f t="shared" ref="M20" si="15">J20/E20</f>
        <v>0</v>
      </c>
      <c r="N20" s="105">
        <f t="shared" ref="N20" si="16">K20/E20</f>
        <v>1</v>
      </c>
      <c r="O20" s="98" t="s">
        <v>53</v>
      </c>
      <c r="P20" s="107"/>
    </row>
    <row r="21" spans="1:16" ht="15.6" x14ac:dyDescent="0.3">
      <c r="A21" s="102">
        <v>15</v>
      </c>
      <c r="B21" s="161" t="s">
        <v>147</v>
      </c>
      <c r="C21" s="161"/>
      <c r="D21" s="1">
        <v>17</v>
      </c>
      <c r="E21" s="1">
        <v>15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2">
        <f t="shared" si="5"/>
        <v>15</v>
      </c>
      <c r="L21" s="3">
        <f t="shared" si="6"/>
        <v>0</v>
      </c>
      <c r="M21" s="3">
        <f t="shared" si="7"/>
        <v>0</v>
      </c>
      <c r="N21" s="3">
        <f t="shared" si="8"/>
        <v>1</v>
      </c>
      <c r="O21" s="3">
        <f t="shared" si="9"/>
        <v>0.88235294117647056</v>
      </c>
      <c r="P21" s="61"/>
    </row>
    <row r="22" spans="1:16" s="5" customFormat="1" ht="15.6" x14ac:dyDescent="0.3">
      <c r="A22" s="60">
        <v>16</v>
      </c>
      <c r="B22" s="157" t="s">
        <v>148</v>
      </c>
      <c r="C22" s="158"/>
      <c r="D22" s="1">
        <v>19</v>
      </c>
      <c r="E22" s="1">
        <v>19</v>
      </c>
      <c r="F22" s="1">
        <v>0</v>
      </c>
      <c r="G22" s="1">
        <v>0</v>
      </c>
      <c r="H22" s="1">
        <v>0</v>
      </c>
      <c r="I22" s="1">
        <f>F22+G22+H22</f>
        <v>0</v>
      </c>
      <c r="J22" s="1">
        <v>0</v>
      </c>
      <c r="K22" s="2">
        <f>E22-I22-J22</f>
        <v>19</v>
      </c>
      <c r="L22" s="3">
        <f t="shared" ref="L22" si="17">I22/E22</f>
        <v>0</v>
      </c>
      <c r="M22" s="3">
        <f t="shared" ref="M22" si="18">J22/E22</f>
        <v>0</v>
      </c>
      <c r="N22" s="3">
        <f t="shared" ref="N22" si="19">K22/E22</f>
        <v>1</v>
      </c>
      <c r="O22" s="64">
        <v>1</v>
      </c>
      <c r="P22" s="29"/>
    </row>
    <row r="23" spans="1:16" s="5" customFormat="1" ht="15.6" x14ac:dyDescent="0.3">
      <c r="A23" s="60">
        <v>17</v>
      </c>
      <c r="B23" s="109" t="s">
        <v>149</v>
      </c>
      <c r="C23" s="110"/>
      <c r="D23" s="1">
        <v>10</v>
      </c>
      <c r="E23" s="1">
        <v>4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2">
        <f t="shared" ref="K23" si="20">E23-I23-J23</f>
        <v>4</v>
      </c>
      <c r="L23" s="3">
        <f>I22/E22</f>
        <v>0</v>
      </c>
      <c r="M23" s="3">
        <f>J22/E22</f>
        <v>0</v>
      </c>
      <c r="N23" s="3">
        <f>K22/E22</f>
        <v>1</v>
      </c>
      <c r="O23" s="3">
        <f>E22/D22</f>
        <v>1</v>
      </c>
      <c r="P23" s="111"/>
    </row>
  </sheetData>
  <mergeCells count="33">
    <mergeCell ref="O1:P1"/>
    <mergeCell ref="B6:C6"/>
    <mergeCell ref="A2:P2"/>
    <mergeCell ref="N3:P3"/>
    <mergeCell ref="A4:A5"/>
    <mergeCell ref="B4:C5"/>
    <mergeCell ref="D4:E4"/>
    <mergeCell ref="F4:H4"/>
    <mergeCell ref="I4:I5"/>
    <mergeCell ref="J4:J5"/>
    <mergeCell ref="K4:K5"/>
    <mergeCell ref="L4:L5"/>
    <mergeCell ref="M4:M5"/>
    <mergeCell ref="N4:N5"/>
    <mergeCell ref="O4:O5"/>
    <mergeCell ref="P4:P5"/>
    <mergeCell ref="B10:C10"/>
    <mergeCell ref="B11:C11"/>
    <mergeCell ref="B12:C12"/>
    <mergeCell ref="B9:C9"/>
    <mergeCell ref="B7:C7"/>
    <mergeCell ref="B8:C8"/>
    <mergeCell ref="D11:D12"/>
    <mergeCell ref="B22:C22"/>
    <mergeCell ref="B20:C20"/>
    <mergeCell ref="B21:C21"/>
    <mergeCell ref="B17:C17"/>
    <mergeCell ref="B18:C18"/>
    <mergeCell ref="B19:C19"/>
    <mergeCell ref="B14:C14"/>
    <mergeCell ref="B15:C15"/>
    <mergeCell ref="B16:C16"/>
    <mergeCell ref="B13:C13"/>
  </mergeCells>
  <dataValidations count="2">
    <dataValidation type="whole" allowBlank="1" showInputMessage="1" showErrorMessage="1" sqref="I15 D7:D11 E7:E12 F7:F14 F16:F21 D13:E22 J7:J22 H7:H22 D23:J23" xr:uid="{00000000-0002-0000-0D00-000001000000}">
      <formula1>0</formula1>
      <formula2>50000</formula2>
    </dataValidation>
    <dataValidation type="whole" allowBlank="1" showInputMessage="1" showErrorMessage="1" errorTitle="Value Between 0 to 200000" sqref="K7:K23" xr:uid="{00000000-0002-0000-0D00-000000000000}">
      <formula1>0</formula1>
      <formula2>200000</formula2>
    </dataValidation>
  </dataValidations>
  <pageMargins left="0.45" right="0.2" top="0.5" bottom="0.25" header="0.3" footer="0.3"/>
  <pageSetup paperSize="305" scale="59" fitToHeight="0" orientation="landscape" r:id="rId1"/>
  <ignoredErrors>
    <ignoredError sqref="K16 K22" formula="1"/>
    <ignoredError sqref="O12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B Vehicle</vt:lpstr>
      <vt:lpstr>C Vehicle</vt:lpstr>
      <vt:lpstr>ARMT</vt:lpstr>
      <vt:lpstr>SA</vt:lpstr>
      <vt:lpstr>INSTS</vt:lpstr>
      <vt:lpstr>ARMT!Print_Area</vt:lpstr>
      <vt:lpstr>'B Vehicle'!Print_Area</vt:lpstr>
      <vt:lpstr>'C Vehicle'!Print_Area</vt:lpstr>
      <vt:lpstr>INSTS!Print_Area</vt:lpstr>
      <vt:lpstr>SA!Print_Area</vt:lpstr>
      <vt:lpstr>ARMT!Print_Titles</vt:lpstr>
      <vt:lpstr>'B Vehicle'!Print_Titles</vt:lpstr>
      <vt:lpstr>'C Vehicle'!Print_Titles</vt:lpstr>
      <vt:lpstr>INSTS!Print_Titles</vt:lpstr>
      <vt:lpstr>SA!Print_Titles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2026-03-23T06:56:13Z</dcterms:modified>
</cp:coreProperties>
</file>
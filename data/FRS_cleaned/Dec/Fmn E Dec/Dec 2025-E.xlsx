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codeName="ThisWorkbook" defaultThemeVersion="124226"/>
  <xr:revisionPtr revIDLastSave="0" documentId="13_ncr:1_{893DA91D-4167-483A-86E0-37AF68837334}" xr6:coauthVersionLast="47" xr6:coauthVersionMax="47" xr10:uidLastSave="{00000000-0000-0000-0000-000000000000}"/>
  <bookViews>
    <workbookView xWindow="-108" yWindow="-108" windowWidth="23256" windowHeight="12456" tabRatio="846" activeTab="4" xr2:uid="{00000000-000D-0000-FFFF-FFFF00000000}"/>
  </bookViews>
  <sheets>
    <sheet name="B Vehicle" sheetId="89" r:id="rId1"/>
    <sheet name="C Vehicle" sheetId="94" r:id="rId2"/>
    <sheet name="ARMT" sheetId="97" r:id="rId3"/>
    <sheet name="SA" sheetId="98" r:id="rId4"/>
    <sheet name="INSTS" sheetId="101" r:id="rId5"/>
  </sheets>
  <externalReferences>
    <externalReference r:id="rId6"/>
    <externalReference r:id="rId7"/>
    <externalReference r:id="rId8"/>
    <externalReference r:id="rId9"/>
    <externalReference r:id="rId10"/>
    <externalReference r:id="rId11"/>
  </externalReferences>
  <definedNames>
    <definedName name="a" localSheetId="0">'[1]FRS Units held amdt'!#REF!</definedName>
    <definedName name="a">'[1]FRS Units held amdt'!#REF!</definedName>
    <definedName name="aaa" localSheetId="0">'[1]FRS Units held amdt'!#REF!</definedName>
    <definedName name="aaa">'[1]FRS Units held amdt'!#REF!</definedName>
    <definedName name="aaaaaaaaa" localSheetId="0">'[2]FRS Units held amdt'!#REF!</definedName>
    <definedName name="aaaaaaaaa">'[3]FRS Units held amdt'!#REF!</definedName>
    <definedName name="AS" localSheetId="0">'[4]FRS Units held amdt'!#REF!</definedName>
    <definedName name="AS">'[4]FRS Units held amdt'!#REF!</definedName>
    <definedName name="ASD" localSheetId="0">'[5]FRS Units held amdt'!#REF!</definedName>
    <definedName name="ASD">'[5]FRS Units held amdt'!#REF!</definedName>
    <definedName name="Bot_rece_3man_2A" localSheetId="0">#REF!</definedName>
    <definedName name="Bot_rece_3man_2A">'[3]FRS Units held amdt'!#REF!</definedName>
    <definedName name="Engr_Eqpt_List_1">'[6]Engr eqpt'!$B$5:$B$72</definedName>
    <definedName name="MOTOR_CYCLE" localSheetId="0">#REF!</definedName>
    <definedName name="MOTOR_CYCLE">#REF!</definedName>
    <definedName name="_xlnm.Print_Area" localSheetId="2">ARMT!$A$1:$J$9</definedName>
    <definedName name="_xlnm.Print_Area" localSheetId="0">'B Vehicle'!$A$1:$J$29</definedName>
    <definedName name="_xlnm.Print_Area" localSheetId="1">'C Vehicle'!$A$1:$J$20</definedName>
    <definedName name="_xlnm.Print_Area" localSheetId="4">INSTS!$A$1:$J$15</definedName>
    <definedName name="_xlnm.Print_Area" localSheetId="3">SA!$A$1:$J$8</definedName>
    <definedName name="_xlnm.Print_Titles" localSheetId="2">ARMT!$3:$5</definedName>
    <definedName name="_xlnm.Print_Titles" localSheetId="0">'B Vehicle'!$4:$5</definedName>
    <definedName name="_xlnm.Print_Titles" localSheetId="1">'C Vehicle'!$3:$5</definedName>
    <definedName name="_xlnm.Print_Titles" localSheetId="4">INSTS!$2:$4</definedName>
    <definedName name="_xlnm.Print_Titles" localSheetId="3">SA!$1:$3</definedName>
    <definedName name="Sample_format" localSheetId="0">'[3]FRS Units held amdt'!#REF!</definedName>
    <definedName name="Sample_format">'[3]FRS Units held amdt'!#REF!</definedName>
    <definedName name="Unit_List_606">'[6]Dependent User Unit'!$C$6:$C$35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94" l="1"/>
  <c r="I14" i="101"/>
  <c r="I12" i="101"/>
  <c r="I13" i="101"/>
</calcChain>
</file>

<file path=xl/sharedStrings.xml><?xml version="1.0" encoding="utf-8"?>
<sst xmlns="http://schemas.openxmlformats.org/spreadsheetml/2006/main" count="310" uniqueCount="107">
  <si>
    <t>MUA</t>
  </si>
  <si>
    <t>OH</t>
  </si>
  <si>
    <t>R4</t>
  </si>
  <si>
    <t>Ser No</t>
  </si>
  <si>
    <t>FMC</t>
  </si>
  <si>
    <t>(i)</t>
  </si>
  <si>
    <t>(ii)</t>
  </si>
  <si>
    <t>(iii)</t>
  </si>
  <si>
    <t>(iv)</t>
  </si>
  <si>
    <t>(vi)</t>
  </si>
  <si>
    <t>(viii)</t>
  </si>
  <si>
    <t>(ix)</t>
  </si>
  <si>
    <t>Category 
(Make &amp; Type)</t>
  </si>
  <si>
    <t xml:space="preserve">Remarks
</t>
  </si>
  <si>
    <t>Auth 
(UE)</t>
  </si>
  <si>
    <t>Held
(UH)</t>
  </si>
  <si>
    <t xml:space="preserve">Total 
</t>
  </si>
  <si>
    <t xml:space="preserve">APPX 'B'
</t>
  </si>
  <si>
    <t>GS Vehicle</t>
  </si>
  <si>
    <t>NMC Due to</t>
  </si>
  <si>
    <t>(v)</t>
  </si>
  <si>
    <t>(vii)</t>
  </si>
  <si>
    <t>(x)</t>
  </si>
  <si>
    <t>-</t>
  </si>
  <si>
    <t xml:space="preserve">Total </t>
  </si>
  <si>
    <t>MUAs</t>
  </si>
  <si>
    <t>Held (UH)</t>
  </si>
  <si>
    <t>Auth (UE)</t>
  </si>
  <si>
    <t xml:space="preserve">Remarks </t>
  </si>
  <si>
    <t xml:space="preserve">FMC </t>
  </si>
  <si>
    <t xml:space="preserve">Nos of Eqpt EOA Due to </t>
  </si>
  <si>
    <t>Dependency</t>
  </si>
  <si>
    <t>Category (Make &amp; Type)</t>
  </si>
  <si>
    <t>FMN READINESS STATE  :  'C' VEHS</t>
  </si>
  <si>
    <t>Appx 'C'</t>
  </si>
  <si>
    <t>FMN READINESS STATE  : ARMT</t>
  </si>
  <si>
    <t>Appx 'D'</t>
  </si>
  <si>
    <t>FMN READINESS STATE  : SMALL ARMS</t>
  </si>
  <si>
    <t>FMN READINESS STATE  : INSTS</t>
  </si>
  <si>
    <t>01 x DP (included) with 905 Ad Regt (SM) Wksp</t>
  </si>
  <si>
    <t xml:space="preserve">01 x PNVG fwd to BEL Machlipatnam by 4CZW for repair 10 Sep 2025. </t>
  </si>
  <si>
    <t>02 x KRAZ Veh BA No 
94E 011274P &amp; 93E 010859N, under BOH at 507 ABW, since 05 Jul 2025 &amp; PDC of the same on Feb 2026 vide 507 ABW Letter No 70303/BV/BOH/21/PP dt 18 Sep 25
01 x KRAZ Veh BA No 94E 011183Y, under BOH at 507 ABW, Since 25 Jul 2025. PDC of the same on Feb 2026 vide 507 ABW Letter No 70303/BV/BOH/21/PP dt 18 Sep 25.</t>
  </si>
  <si>
    <t xml:space="preserve">04 x LRF Regd No- M/0789  , M/0633 , M/0648  &amp; M/0657 are  under repair at 509 ABW wef  18 Oct 2023 &amp; 12 Mar 2024. These Eqpts  are fwd to ELBIT Israel through BEL Chennai for Factory Repair on 10 Apr 2024. Eqpt not yet recd. 
01 x LRF Regd No LURF-080 of Gun Mtg No M/0649 Under Repair at 509 ABW since 08 Aug 2025  .                                                                                                              </t>
  </si>
  <si>
    <t xml:space="preserve">01 x MG Set Regd No- MR 003-  Under Pilot OH at 509 ABW since 01 May 23. </t>
  </si>
  <si>
    <t>01 x Engine under demand.</t>
  </si>
  <si>
    <t xml:space="preserve">
</t>
  </si>
  <si>
    <t>04x R4 due to RRC shared off and being backloaded.</t>
  </si>
  <si>
    <r>
      <t xml:space="preserve">01 x MG Set Regd No- MR 004 :  Interconnecting card demanded from COD Agra. Demand No - TSS/Tech/EOA/03 dt 20 Oct 20 &amp; Control No-4502074035 dt 05 Jun 21.  </t>
    </r>
    <r>
      <rPr>
        <sz val="12"/>
        <color rgb="FFFF0000"/>
        <rFont val="Arial"/>
        <family val="2"/>
      </rPr>
      <t xml:space="preserve"> </t>
    </r>
  </si>
  <si>
    <t xml:space="preserve">01 x R4 due to CHS fail and being backloaded.
</t>
  </si>
  <si>
    <t xml:space="preserve">FMN READINESS STATE : B VEHS OF  905 AD WKSP FOR THE MONTH OF DEC 2025 </t>
  </si>
  <si>
    <r>
      <rPr>
        <b/>
        <sz val="12"/>
        <rFont val="Arial"/>
        <family val="2"/>
      </rPr>
      <t xml:space="preserve">Mtg No M/0632
</t>
    </r>
    <r>
      <rPr>
        <sz val="12"/>
        <rFont val="Arial"/>
        <family val="2"/>
      </rPr>
      <t xml:space="preserve">  
&gt;         Elevation power Amp faulty. DRWO raised at 506 ABW on 29 Jan 2025 &amp; DRWO Rejected on 11 Apr 2025 by 506 ABW due to Component level Repair. (last letter Corres to EME Br on  29 Sep 2025). Further, 506 ABW intimated to deposite the faulty assy on 21 Oct 2025. </t>
    </r>
    <r>
      <rPr>
        <sz val="12"/>
        <color rgb="FFFF0000"/>
        <rFont val="Arial"/>
        <family val="2"/>
      </rPr>
      <t>The same will be deposited by Jan 26.</t>
    </r>
    <r>
      <rPr>
        <sz val="12"/>
        <rFont val="Arial"/>
        <family val="2"/>
      </rPr>
      <t xml:space="preserve"> </t>
    </r>
    <r>
      <rPr>
        <sz val="12"/>
        <color rgb="FFFF0000"/>
        <rFont val="Arial"/>
        <family val="2"/>
      </rPr>
      <t xml:space="preserve">  
 &gt;         </t>
    </r>
    <r>
      <rPr>
        <sz val="12"/>
        <rFont val="Arial"/>
        <family val="2"/>
      </rPr>
      <t xml:space="preserve">Fibre Optic Gyro (FOG) faulty. DRWO raised at 509 ABW on 21 Jan 2025. DRWO rejected by 509 ABW. Further DG EME (Arty &amp; Sol Sys) appch for further dir. Amdt in PRS has been published the faulty El and Az FOGs will be deposited at COD based on conditioning and demand.
&gt;       </t>
    </r>
    <r>
      <rPr>
        <sz val="12"/>
        <color theme="1"/>
        <rFont val="Arial"/>
        <family val="2"/>
      </rPr>
      <t xml:space="preserve"> OBB Charger declared BER by 506 ABW On 15 Jan 2025. Demand placed COD Agra &amp; demand No  TSS/UG L-70/35 dt 26 Jul 25. demand controlled by 222 ABOD vide control No 253012703 dt 09 Aug 2025. Last reminder issued on 12 Nov 2025.</t>
    </r>
    <r>
      <rPr>
        <sz val="12"/>
        <rFont val="Arial"/>
        <family val="2"/>
      </rPr>
      <t xml:space="preserve">
&gt;        Accumulator, Step up converter under </t>
    </r>
    <r>
      <rPr>
        <sz val="12"/>
        <color rgb="FFFF0000"/>
        <rFont val="Arial"/>
        <family val="2"/>
      </rPr>
      <t>collection</t>
    </r>
    <r>
      <rPr>
        <sz val="12"/>
        <rFont val="Arial"/>
        <family val="2"/>
      </rPr>
      <t xml:space="preserve"> at 506 ABW 08 Aug 2025 
</t>
    </r>
    <r>
      <rPr>
        <sz val="8"/>
        <rFont val="Arial"/>
        <family val="2"/>
      </rPr>
      <t xml:space="preserve">
</t>
    </r>
    <r>
      <rPr>
        <sz val="12"/>
        <rFont val="Arial"/>
        <family val="2"/>
      </rPr>
      <t>&gt;        CIN of  GSP Card  under repair at 506 ABW since 06 Oct 2025.</t>
    </r>
    <r>
      <rPr>
        <sz val="12"/>
        <color rgb="FFFF0000"/>
        <rFont val="Arial"/>
        <family val="2"/>
      </rPr>
      <t xml:space="preserve">
</t>
    </r>
    <r>
      <rPr>
        <sz val="12"/>
        <rFont val="Arial"/>
        <family val="2"/>
      </rPr>
      <t xml:space="preserve">
</t>
    </r>
    <r>
      <rPr>
        <b/>
        <sz val="12"/>
        <rFont val="Arial"/>
        <family val="2"/>
      </rPr>
      <t>Mt No M/0553</t>
    </r>
    <r>
      <rPr>
        <sz val="12"/>
        <rFont val="Arial"/>
        <family val="2"/>
      </rPr>
      <t xml:space="preserve">
&gt;     Step Up Converter and Accumulator under </t>
    </r>
    <r>
      <rPr>
        <sz val="12"/>
        <color rgb="FFFF0000"/>
        <rFont val="Arial"/>
        <family val="2"/>
      </rPr>
      <t>collection</t>
    </r>
    <r>
      <rPr>
        <sz val="12"/>
        <rFont val="Arial"/>
        <family val="2"/>
      </rPr>
      <t xml:space="preserve"> at 506 ABW Since 08 Aug 2025.
&gt;    Bty charger RBB Regd No  0648  under </t>
    </r>
    <r>
      <rPr>
        <sz val="12"/>
        <color rgb="FFFF0000"/>
        <rFont val="Arial"/>
        <family val="2"/>
      </rPr>
      <t>collection</t>
    </r>
    <r>
      <rPr>
        <sz val="12"/>
        <rFont val="Arial"/>
        <family val="2"/>
      </rPr>
      <t xml:space="preserve"> at 506 ABW Since 06 Oct 2025.</t>
    </r>
  </si>
  <si>
    <r>
      <t xml:space="preserve">02 x TI Camera with Rdr 12B and 24B under BOH since 25 Jul 2025 . </t>
    </r>
    <r>
      <rPr>
        <sz val="12"/>
        <color rgb="FFFF0000"/>
        <rFont val="Arial"/>
        <family val="2"/>
      </rPr>
      <t>Present Status:  Collection Notice received PDC by Jan 2026.</t>
    </r>
    <r>
      <rPr>
        <sz val="12"/>
        <rFont val="Arial"/>
        <family val="2"/>
      </rPr>
      <t xml:space="preserve">
01x TI camera with Rdr 008B fwd to 509 ABW for base repair. PDC by Jan 2026.</t>
    </r>
  </si>
  <si>
    <t>•	01 x MG Set Regd No SO69 under base repair at 509 ABW due to Engine Timing Belt broken wef 18 Jun 2025.  Present status :(Present Status : (MG Set made ser will be collected by Jan 2026 alongwith BOH Rdr PDC ) .
* 01 x MG Set Regd No SO-052 Fwd to 509 ABW for Base Repair on 20 Jul 2025 due to Engine Produce White Smoke, WH1, WH2 Cable Faulty, AVR, Control Panel Faulty. MG Set made Ser will be collected in sJan 2026.
01x MG Set Regd No SO-075 Fwd to 509 ABW for BOH on 20 Jul 2025 (Present Status : MG Set made ser )
01 x MG Set Regd No SO-294 MG set Fwd to 509 ABW for BOH on 20 Jul 2025 : (Present Status : (MG Set made ser will be collected by Jan 2026).</t>
  </si>
  <si>
    <t>(Ref 905 AD Regt (SM) Wksp letter No 70202/Wksp dt Dec 2025)</t>
  </si>
  <si>
    <t>(Ref 905 AD Regt (SM) Wksp letter No 70202/Wksp
 dt     Dec 2025)</t>
  </si>
  <si>
    <t>(Ref 905 AD Regt (SM) Wksp letter No 70202/Wksp 
dt     Dec 2025 )</t>
  </si>
  <si>
    <t>01 x CCD Camera Faulty DRWO  raised on 05 Dec 2025 as  repair is beyond the capability of this wksp.</t>
  </si>
  <si>
    <t>B1</t>
  </si>
  <si>
    <t>B2</t>
  </si>
  <si>
    <t>B3</t>
  </si>
  <si>
    <t>B12</t>
  </si>
  <si>
    <t>B18</t>
  </si>
  <si>
    <t>B21</t>
  </si>
  <si>
    <t>B46</t>
  </si>
  <si>
    <t>B48</t>
  </si>
  <si>
    <t>B52</t>
  </si>
  <si>
    <t>B53</t>
  </si>
  <si>
    <t>B54</t>
  </si>
  <si>
    <t>B56</t>
  </si>
  <si>
    <t>B63</t>
  </si>
  <si>
    <t>B66</t>
  </si>
  <si>
    <t>B68</t>
  </si>
  <si>
    <t>B69</t>
  </si>
  <si>
    <t>B71</t>
  </si>
  <si>
    <t>B72</t>
  </si>
  <si>
    <t>B75</t>
  </si>
  <si>
    <t>B81</t>
  </si>
  <si>
    <t>B85</t>
  </si>
  <si>
    <t>B90</t>
  </si>
  <si>
    <t>C19</t>
  </si>
  <si>
    <t>C29</t>
  </si>
  <si>
    <t>C52</t>
  </si>
  <si>
    <t>C53</t>
  </si>
  <si>
    <t>C59</t>
  </si>
  <si>
    <t>C71</t>
  </si>
  <si>
    <t>C72</t>
  </si>
  <si>
    <t>C89</t>
  </si>
  <si>
    <t>C91</t>
  </si>
  <si>
    <t>C92</t>
  </si>
  <si>
    <t>C102</t>
  </si>
  <si>
    <t>C103</t>
  </si>
  <si>
    <t>D11</t>
  </si>
  <si>
    <t>S18</t>
  </si>
  <si>
    <t>S20</t>
  </si>
  <si>
    <t>S21</t>
  </si>
  <si>
    <t>S22</t>
  </si>
  <si>
    <t>S23</t>
  </si>
  <si>
    <t>S32</t>
  </si>
  <si>
    <t>S34</t>
  </si>
  <si>
    <t>S48</t>
  </si>
  <si>
    <t>S53</t>
  </si>
  <si>
    <t>S55</t>
  </si>
  <si>
    <t>S60</t>
  </si>
  <si>
    <t>S88</t>
  </si>
  <si>
    <t>S89</t>
  </si>
  <si>
    <t>S90</t>
  </si>
  <si>
    <t>S91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</si>
</sst>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quot;$&quot;* #,##0.00_);_(&quot;$&quot;* \(#,##0.00\);_(&quot;$&quot;* &quot;-&quot;??_);_(@_)"/>
    <numFmt numFmtId="165" formatCode="_(* #,##0.00_);_(* \(#,##0.00\);_(* &quot;-&quot;??_);_(@_)"/>
  </numFmts>
  <fonts count="23" x14ac:knownFonts="1">
    <font>
      <sz val="11"/>
      <color theme="1"/>
      <name val="Calibri"/>
      <family val="2"/>
      <scheme val="minor"/>
    </font>
    <font>
      <sz val="11"/>
      <color theme="1"/>
      <name val="Calibri"/>
      <family val="2"/>
      <scheme val="minor"/>
    </font>
    <font>
      <sz val="10"/>
      <name val="Arial"/>
      <family val="2"/>
    </font>
    <font>
      <sz val="10"/>
      <name val="Arial"/>
      <family val="2"/>
    </font>
    <font>
      <sz val="11"/>
      <color theme="1"/>
      <name val="Calibri"/>
      <family val="2"/>
    </font>
    <font>
      <sz val="12"/>
      <color theme="1"/>
      <name val="Arial"/>
      <family val="2"/>
    </font>
    <font>
      <b/>
      <sz val="12"/>
      <color theme="1"/>
      <name val="Arial"/>
      <family val="2"/>
    </font>
    <font>
      <b/>
      <u/>
      <sz val="12"/>
      <name val="Arial"/>
      <family val="2"/>
    </font>
    <font>
      <sz val="12"/>
      <name val="Arial"/>
      <family val="2"/>
    </font>
    <font>
      <b/>
      <sz val="12"/>
      <name val="Arial"/>
      <family val="2"/>
    </font>
    <font>
      <sz val="14"/>
      <color theme="1"/>
      <name val="Arial"/>
      <family val="2"/>
    </font>
    <font>
      <b/>
      <sz val="12"/>
      <color rgb="FFFF0000"/>
      <name val="Arial"/>
      <family val="2"/>
    </font>
    <font>
      <b/>
      <sz val="14"/>
      <color theme="1"/>
      <name val="Arial"/>
      <family val="2"/>
    </font>
    <font>
      <sz val="12"/>
      <color theme="1" tint="0.34998626667073579"/>
      <name val="Arial"/>
      <family val="2"/>
    </font>
    <font>
      <sz val="14"/>
      <color theme="1" tint="0.34998626667073579"/>
      <name val="Arial"/>
      <family val="2"/>
    </font>
    <font>
      <b/>
      <u/>
      <sz val="14"/>
      <name val="Arial"/>
      <family val="2"/>
    </font>
    <font>
      <b/>
      <sz val="14"/>
      <name val="Arial"/>
      <family val="2"/>
    </font>
    <font>
      <sz val="11"/>
      <name val="Calibri"/>
      <family val="2"/>
      <scheme val="minor"/>
    </font>
    <font>
      <b/>
      <sz val="12"/>
      <name val="Calibri"/>
      <family val="2"/>
      <scheme val="minor"/>
    </font>
    <font>
      <sz val="12"/>
      <color rgb="FFFF0000"/>
      <name val="Arial"/>
      <family val="2"/>
    </font>
    <font>
      <b/>
      <u/>
      <sz val="16"/>
      <name val="Arial"/>
      <family val="2"/>
    </font>
    <font>
      <sz val="8"/>
      <name val="Arial"/>
      <family val="2"/>
    </font>
    <font>
      <sz val="8"/>
      <name val="Calibri"/>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s>
  <cellStyleXfs count="118">
    <xf numFmtId="0" fontId="0" fillId="0" borderId="0"/>
    <xf numFmtId="0" fontId="2" fillId="0" borderId="0"/>
    <xf numFmtId="0" fontId="2" fillId="0" borderId="0"/>
    <xf numFmtId="0" fontId="1" fillId="0" borderId="0"/>
    <xf numFmtId="164" fontId="2" fillId="0" borderId="0" applyFont="0" applyFill="0" applyBorder="0" applyAlignment="0" applyProtection="0"/>
    <xf numFmtId="0" fontId="2" fillId="0" borderId="0"/>
    <xf numFmtId="0" fontId="1" fillId="0" borderId="0"/>
    <xf numFmtId="0" fontId="2" fillId="0" borderId="0"/>
    <xf numFmtId="165" fontId="2"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5" fillId="0" borderId="0"/>
    <xf numFmtId="0" fontId="1" fillId="0" borderId="0"/>
    <xf numFmtId="0" fontId="4" fillId="0" borderId="0"/>
    <xf numFmtId="0" fontId="4" fillId="0" borderId="0"/>
    <xf numFmtId="0" fontId="4" fillId="0" borderId="0"/>
    <xf numFmtId="0" fontId="4" fillId="0" borderId="0"/>
  </cellStyleXfs>
  <cellXfs count="173">
    <xf numFmtId="0" fontId="0" fillId="0" borderId="0" xfId="0"/>
    <xf numFmtId="0" fontId="5" fillId="2" borderId="0" xfId="5" applyFont="1" applyFill="1" applyAlignment="1">
      <alignment vertical="top"/>
    </xf>
    <xf numFmtId="0" fontId="5" fillId="2" borderId="0" xfId="5" applyFont="1" applyFill="1" applyAlignment="1">
      <alignment horizontal="center" vertical="top"/>
    </xf>
    <xf numFmtId="0" fontId="6" fillId="2" borderId="0" xfId="5" applyFont="1" applyFill="1" applyAlignment="1">
      <alignment vertical="top"/>
    </xf>
    <xf numFmtId="0" fontId="5" fillId="2" borderId="0" xfId="72" applyFont="1" applyFill="1" applyAlignment="1">
      <alignment vertical="top"/>
    </xf>
    <xf numFmtId="0" fontId="5" fillId="2" borderId="0" xfId="5" applyFont="1" applyFill="1" applyAlignment="1">
      <alignment vertical="top" wrapText="1"/>
    </xf>
    <xf numFmtId="0" fontId="8" fillId="2" borderId="1" xfId="0" applyFont="1" applyFill="1" applyBorder="1" applyAlignment="1">
      <alignment vertical="center" wrapText="1"/>
    </xf>
    <xf numFmtId="0" fontId="8" fillId="2" borderId="1" xfId="0" applyFont="1" applyFill="1" applyBorder="1" applyAlignment="1">
      <alignment horizontal="left" vertical="top" wrapText="1"/>
    </xf>
    <xf numFmtId="0" fontId="8" fillId="2" borderId="1" xfId="0" applyFont="1" applyFill="1" applyBorder="1" applyAlignment="1" applyProtection="1">
      <alignment horizontal="left" vertical="top" wrapText="1"/>
      <protection locked="0"/>
    </xf>
    <xf numFmtId="0" fontId="9" fillId="2" borderId="1" xfId="0" applyFont="1" applyFill="1" applyBorder="1" applyAlignment="1">
      <alignment horizontal="left" vertical="top" wrapText="1"/>
    </xf>
    <xf numFmtId="0" fontId="8" fillId="2" borderId="1" xfId="72" applyFont="1" applyFill="1" applyBorder="1" applyAlignment="1">
      <alignment vertical="center" wrapText="1"/>
    </xf>
    <xf numFmtId="0" fontId="8" fillId="2" borderId="1" xfId="72" applyFont="1" applyFill="1" applyBorder="1" applyAlignment="1">
      <alignment horizontal="center" vertical="center" wrapText="1"/>
    </xf>
    <xf numFmtId="0" fontId="8" fillId="2" borderId="1" xfId="72" applyFont="1" applyFill="1" applyBorder="1" applyAlignment="1">
      <alignment horizontal="left" vertical="center" wrapText="1"/>
    </xf>
    <xf numFmtId="0" fontId="5" fillId="2" borderId="0" xfId="72" applyFont="1" applyFill="1" applyAlignment="1">
      <alignment vertical="center"/>
    </xf>
    <xf numFmtId="0" fontId="8" fillId="2" borderId="0" xfId="5" applyFont="1" applyFill="1" applyAlignment="1">
      <alignment vertical="top"/>
    </xf>
    <xf numFmtId="0" fontId="8" fillId="2" borderId="1" xfId="0" applyFont="1" applyFill="1" applyBorder="1" applyAlignment="1">
      <alignment horizontal="center" vertical="center"/>
    </xf>
    <xf numFmtId="0" fontId="9" fillId="2" borderId="1" xfId="5" applyFont="1" applyFill="1" applyBorder="1" applyAlignment="1">
      <alignment vertical="top" wrapText="1"/>
    </xf>
    <xf numFmtId="0" fontId="5" fillId="0" borderId="0" xfId="0" applyFont="1"/>
    <xf numFmtId="0" fontId="5" fillId="0" borderId="0" xfId="0" applyFont="1" applyAlignment="1">
      <alignment horizontal="center" vertical="center"/>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5" fillId="0" borderId="0" xfId="0" applyFont="1" applyAlignment="1">
      <alignment vertical="center"/>
    </xf>
    <xf numFmtId="0" fontId="8" fillId="0" borderId="0" xfId="0" applyFont="1" applyAlignment="1">
      <alignment vertical="center" wrapText="1"/>
    </xf>
    <xf numFmtId="0" fontId="5" fillId="0" borderId="1" xfId="0" applyFont="1" applyBorder="1" applyAlignment="1">
      <alignment horizontal="center" vertical="center" wrapText="1"/>
    </xf>
    <xf numFmtId="0" fontId="9" fillId="2" borderId="1" xfId="0" applyFont="1" applyFill="1" applyBorder="1" applyAlignment="1">
      <alignment horizontal="center" vertical="top"/>
    </xf>
    <xf numFmtId="0" fontId="8" fillId="2" borderId="1" xfId="0" applyFont="1" applyFill="1" applyBorder="1" applyAlignment="1">
      <alignment horizontal="center" vertical="top"/>
    </xf>
    <xf numFmtId="0" fontId="9" fillId="2" borderId="1" xfId="6" applyFont="1" applyFill="1" applyBorder="1" applyAlignment="1">
      <alignment horizontal="left" vertical="center" wrapText="1"/>
    </xf>
    <xf numFmtId="0" fontId="13" fillId="2" borderId="0" xfId="0" applyFont="1" applyFill="1" applyAlignment="1">
      <alignment horizontal="center"/>
    </xf>
    <xf numFmtId="0" fontId="13" fillId="2" borderId="0" xfId="0" applyFont="1" applyFill="1" applyAlignment="1">
      <alignment vertical="center" wrapText="1"/>
    </xf>
    <xf numFmtId="0" fontId="13" fillId="2" borderId="0" xfId="0" applyFont="1" applyFill="1" applyAlignment="1">
      <alignment horizontal="center" vertical="top"/>
    </xf>
    <xf numFmtId="0" fontId="13" fillId="0" borderId="0" xfId="0" applyFont="1" applyAlignment="1">
      <alignment vertical="center"/>
    </xf>
    <xf numFmtId="0" fontId="9" fillId="2" borderId="3" xfId="0" applyFont="1" applyFill="1" applyBorder="1" applyAlignment="1">
      <alignment horizontal="center" vertical="center" wrapText="1"/>
    </xf>
    <xf numFmtId="0" fontId="9" fillId="0" borderId="1" xfId="0" applyFont="1" applyBorder="1" applyAlignment="1">
      <alignment vertical="center" wrapText="1"/>
    </xf>
    <xf numFmtId="0" fontId="6" fillId="0" borderId="0" xfId="0" applyFont="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0" xfId="0" applyFont="1" applyAlignment="1">
      <alignment vertical="top"/>
    </xf>
    <xf numFmtId="0" fontId="5" fillId="0" borderId="0" xfId="0" applyFont="1" applyAlignment="1">
      <alignment horizontal="center"/>
    </xf>
    <xf numFmtId="0" fontId="9" fillId="2" borderId="1" xfId="0" applyFont="1" applyFill="1" applyBorder="1" applyAlignment="1" applyProtection="1">
      <alignment horizontal="left" vertical="top" wrapText="1"/>
      <protection locked="0"/>
    </xf>
    <xf numFmtId="0" fontId="14" fillId="2" borderId="0" xfId="0" applyFont="1" applyFill="1" applyAlignment="1">
      <alignment horizontal="center"/>
    </xf>
    <xf numFmtId="0" fontId="14" fillId="2" borderId="0" xfId="0" applyFont="1" applyFill="1" applyAlignment="1">
      <alignment vertical="center" wrapText="1"/>
    </xf>
    <xf numFmtId="0" fontId="14" fillId="2" borderId="0" xfId="0" applyFont="1" applyFill="1" applyAlignment="1">
      <alignment horizontal="center" vertical="top"/>
    </xf>
    <xf numFmtId="0" fontId="14" fillId="0" borderId="0" xfId="0" applyFont="1" applyAlignment="1">
      <alignment vertical="center"/>
    </xf>
    <xf numFmtId="0" fontId="10" fillId="0" borderId="0" xfId="0" applyFont="1"/>
    <xf numFmtId="0" fontId="16" fillId="2" borderId="3" xfId="0" applyFont="1" applyFill="1" applyBorder="1" applyAlignment="1">
      <alignment horizontal="center" vertical="center" wrapText="1"/>
    </xf>
    <xf numFmtId="0" fontId="16" fillId="0" borderId="1" xfId="0" applyFont="1" applyBorder="1" applyAlignment="1">
      <alignment vertical="center" wrapText="1"/>
    </xf>
    <xf numFmtId="0" fontId="16" fillId="2" borderId="1" xfId="0" applyFont="1" applyFill="1" applyBorder="1" applyAlignment="1">
      <alignment horizontal="center" vertical="center" wrapText="1"/>
    </xf>
    <xf numFmtId="0" fontId="12" fillId="0" borderId="0" xfId="0" applyFont="1" applyAlignment="1">
      <alignment horizontal="center" vertical="center"/>
    </xf>
    <xf numFmtId="0" fontId="7" fillId="2" borderId="0" xfId="0" applyFont="1" applyFill="1" applyAlignment="1">
      <alignment vertical="top"/>
    </xf>
    <xf numFmtId="0" fontId="9" fillId="2" borderId="1" xfId="0" applyFont="1" applyFill="1" applyBorder="1" applyAlignment="1">
      <alignment vertical="top" wrapText="1"/>
    </xf>
    <xf numFmtId="0" fontId="15" fillId="2" borderId="0" xfId="0" applyFont="1" applyFill="1" applyAlignment="1">
      <alignment vertical="top"/>
    </xf>
    <xf numFmtId="0" fontId="9" fillId="0" borderId="1" xfId="0" applyFont="1" applyBorder="1" applyAlignment="1">
      <alignment horizontal="left" vertical="center" wrapText="1"/>
    </xf>
    <xf numFmtId="0" fontId="8" fillId="2" borderId="0" xfId="0" applyFont="1" applyFill="1" applyAlignment="1">
      <alignment vertical="top"/>
    </xf>
    <xf numFmtId="0" fontId="9" fillId="2" borderId="1" xfId="0" applyFont="1" applyFill="1" applyBorder="1" applyAlignment="1">
      <alignment vertical="top"/>
    </xf>
    <xf numFmtId="0" fontId="9" fillId="2" borderId="1" xfId="0" applyFont="1" applyFill="1" applyBorder="1" applyAlignment="1">
      <alignment vertical="center" wrapText="1"/>
    </xf>
    <xf numFmtId="0" fontId="17" fillId="2" borderId="0" xfId="0" applyFont="1" applyFill="1"/>
    <xf numFmtId="1" fontId="9" fillId="2" borderId="1" xfId="0" applyNumberFormat="1" applyFont="1" applyFill="1" applyBorder="1" applyAlignment="1">
      <alignment horizontal="center" vertical="center"/>
    </xf>
    <xf numFmtId="0" fontId="9" fillId="2" borderId="1" xfId="0" applyFont="1" applyFill="1" applyBorder="1" applyAlignment="1">
      <alignment vertical="center"/>
    </xf>
    <xf numFmtId="0" fontId="9" fillId="2" borderId="0" xfId="0" applyFont="1" applyFill="1" applyAlignment="1">
      <alignment vertical="center"/>
    </xf>
    <xf numFmtId="0" fontId="9" fillId="2" borderId="1" xfId="0" applyFont="1" applyFill="1" applyBorder="1"/>
    <xf numFmtId="0" fontId="9" fillId="2" borderId="0" xfId="0" applyFont="1" applyFill="1"/>
    <xf numFmtId="0" fontId="9" fillId="2" borderId="0" xfId="0" applyFont="1" applyFill="1" applyAlignment="1">
      <alignment vertical="top"/>
    </xf>
    <xf numFmtId="1" fontId="9" fillId="2" borderId="1" xfId="0" applyNumberFormat="1" applyFont="1" applyFill="1" applyBorder="1" applyAlignment="1">
      <alignment horizontal="center" vertical="top"/>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8" fillId="2" borderId="0" xfId="0" applyFont="1" applyFill="1" applyAlignment="1">
      <alignment horizontal="left" vertical="top" wrapText="1"/>
    </xf>
    <xf numFmtId="0" fontId="16" fillId="0" borderId="1" xfId="0" applyFont="1" applyBorder="1" applyAlignment="1">
      <alignment horizontal="center" vertical="center" wrapText="1"/>
    </xf>
    <xf numFmtId="0" fontId="8" fillId="2" borderId="0" xfId="0" applyFont="1" applyFill="1" applyAlignment="1">
      <alignment vertical="top" wrapText="1"/>
    </xf>
    <xf numFmtId="0" fontId="18" fillId="2" borderId="1" xfId="0" applyFont="1" applyFill="1" applyBorder="1" applyAlignment="1">
      <alignment horizontal="center" vertical="center"/>
    </xf>
    <xf numFmtId="0" fontId="9" fillId="2" borderId="3" xfId="0" applyFont="1" applyFill="1" applyBorder="1" applyAlignment="1">
      <alignment horizontal="left" vertical="center" wrapText="1"/>
    </xf>
    <xf numFmtId="0" fontId="9" fillId="2" borderId="1" xfId="72" applyFont="1" applyFill="1" applyBorder="1" applyAlignment="1">
      <alignment horizontal="left" vertical="center" wrapText="1"/>
    </xf>
    <xf numFmtId="0" fontId="9" fillId="2" borderId="1" xfId="0" applyFont="1" applyFill="1" applyBorder="1" applyAlignment="1" applyProtection="1">
      <alignment horizontal="left" vertical="center" wrapText="1"/>
      <protection locked="0"/>
    </xf>
    <xf numFmtId="0" fontId="9" fillId="2" borderId="1" xfId="72" applyFont="1" applyFill="1" applyBorder="1" applyAlignment="1">
      <alignment horizontal="left" vertical="center"/>
    </xf>
    <xf numFmtId="1" fontId="9" fillId="2" borderId="1" xfId="72" applyNumberFormat="1" applyFont="1" applyFill="1" applyBorder="1" applyAlignment="1">
      <alignment horizontal="center" vertical="center"/>
    </xf>
    <xf numFmtId="1" fontId="9" fillId="2" borderId="1" xfId="72" applyNumberFormat="1" applyFont="1" applyFill="1" applyBorder="1" applyAlignment="1">
      <alignment horizontal="center" vertical="top"/>
    </xf>
    <xf numFmtId="0" fontId="6" fillId="2" borderId="0" xfId="72" applyFont="1" applyFill="1" applyAlignment="1">
      <alignment vertical="top"/>
    </xf>
    <xf numFmtId="0" fontId="9" fillId="2" borderId="0" xfId="72" applyFont="1" applyFill="1" applyAlignment="1">
      <alignment vertical="top"/>
    </xf>
    <xf numFmtId="0" fontId="9" fillId="2" borderId="2" xfId="0" applyFont="1" applyFill="1" applyBorder="1" applyAlignment="1">
      <alignment horizontal="center" vertical="center"/>
    </xf>
    <xf numFmtId="0" fontId="9" fillId="2" borderId="0" xfId="0" applyFont="1" applyFill="1" applyAlignment="1">
      <alignment horizontal="center" vertical="center"/>
    </xf>
    <xf numFmtId="1" fontId="9" fillId="2" borderId="3" xfId="72" applyNumberFormat="1" applyFont="1" applyFill="1" applyBorder="1" applyAlignment="1">
      <alignment horizontal="center" vertical="top"/>
    </xf>
    <xf numFmtId="0" fontId="9" fillId="2" borderId="3" xfId="0" applyFont="1" applyFill="1" applyBorder="1" applyAlignment="1">
      <alignment horizontal="left" vertical="top" wrapText="1"/>
    </xf>
    <xf numFmtId="0" fontId="6" fillId="2" borderId="0" xfId="72" applyFont="1" applyFill="1" applyAlignment="1">
      <alignment vertical="center"/>
    </xf>
    <xf numFmtId="1" fontId="9" fillId="2" borderId="3" xfId="72" applyNumberFormat="1" applyFont="1" applyFill="1" applyBorder="1" applyAlignment="1">
      <alignment horizontal="center" vertical="center"/>
    </xf>
    <xf numFmtId="0" fontId="9" fillId="2" borderId="6" xfId="0" applyFont="1" applyFill="1" applyBorder="1" applyAlignment="1">
      <alignment horizontal="center" vertical="center"/>
    </xf>
    <xf numFmtId="1" fontId="9" fillId="2" borderId="6" xfId="72" applyNumberFormat="1" applyFont="1" applyFill="1" applyBorder="1" applyAlignment="1">
      <alignment horizontal="center" vertical="center"/>
    </xf>
    <xf numFmtId="0" fontId="7" fillId="2" borderId="0" xfId="0" applyFont="1" applyFill="1" applyAlignment="1">
      <alignment horizontal="left" vertical="top" wrapText="1"/>
    </xf>
    <xf numFmtId="0" fontId="7" fillId="2" borderId="0" xfId="5" applyFont="1" applyFill="1" applyAlignment="1">
      <alignment vertical="top" wrapText="1"/>
    </xf>
    <xf numFmtId="0" fontId="15" fillId="2" borderId="0" xfId="0" applyFont="1" applyFill="1" applyAlignment="1">
      <alignment horizontal="left" vertical="top" wrapText="1"/>
    </xf>
    <xf numFmtId="0" fontId="11" fillId="2" borderId="0" xfId="72" applyFont="1" applyFill="1" applyAlignment="1">
      <alignment vertical="top"/>
    </xf>
    <xf numFmtId="0" fontId="9" fillId="2" borderId="5" xfId="5" applyFont="1" applyFill="1" applyBorder="1" applyAlignment="1">
      <alignment horizontal="center" vertical="top"/>
    </xf>
    <xf numFmtId="0" fontId="9" fillId="2" borderId="5" xfId="5" applyFont="1" applyFill="1" applyBorder="1" applyAlignment="1">
      <alignment horizontal="center" vertical="top" wrapText="1"/>
    </xf>
    <xf numFmtId="0" fontId="8" fillId="2" borderId="0" xfId="5" applyFont="1" applyFill="1" applyAlignment="1">
      <alignment horizontal="center" vertical="top"/>
    </xf>
    <xf numFmtId="0" fontId="9" fillId="2" borderId="1" xfId="5" applyFont="1" applyFill="1" applyBorder="1" applyAlignment="1">
      <alignment horizontal="center" vertical="top"/>
    </xf>
    <xf numFmtId="0" fontId="8" fillId="2" borderId="1" xfId="0" applyFont="1" applyFill="1" applyBorder="1" applyAlignment="1">
      <alignment horizontal="center" vertical="center" wrapText="1"/>
    </xf>
    <xf numFmtId="1" fontId="6" fillId="2" borderId="1" xfId="0" applyNumberFormat="1" applyFont="1" applyFill="1" applyBorder="1" applyAlignment="1">
      <alignment horizontal="center" vertical="center"/>
    </xf>
    <xf numFmtId="0" fontId="8" fillId="0" borderId="1" xfId="0" applyFont="1" applyBorder="1" applyAlignment="1">
      <alignment vertical="center" wrapText="1"/>
    </xf>
    <xf numFmtId="0" fontId="6" fillId="0" borderId="1" xfId="0" applyFont="1" applyBorder="1" applyAlignment="1">
      <alignment horizontal="left" vertical="center" wrapText="1"/>
    </xf>
    <xf numFmtId="0" fontId="6" fillId="0" borderId="0" xfId="0" applyFont="1" applyAlignment="1">
      <alignment vertical="center"/>
    </xf>
    <xf numFmtId="0" fontId="6" fillId="0" borderId="1" xfId="0" applyFont="1" applyBorder="1" applyAlignment="1">
      <alignment vertical="center" wrapText="1"/>
    </xf>
    <xf numFmtId="0" fontId="6" fillId="0" borderId="1" xfId="0" applyFont="1" applyBorder="1" applyAlignment="1">
      <alignment vertical="center"/>
    </xf>
    <xf numFmtId="0" fontId="9" fillId="0" borderId="1" xfId="0" applyFont="1" applyBorder="1" applyAlignment="1">
      <alignment vertical="center"/>
    </xf>
    <xf numFmtId="0" fontId="9" fillId="0" borderId="0" xfId="0" applyFont="1" applyAlignment="1">
      <alignment vertical="center"/>
    </xf>
    <xf numFmtId="0" fontId="19" fillId="0" borderId="0" xfId="0" applyFont="1" applyAlignment="1">
      <alignment horizontal="left" vertical="center"/>
    </xf>
    <xf numFmtId="0" fontId="8" fillId="0" borderId="1" xfId="0" applyFont="1" applyBorder="1" applyAlignment="1">
      <alignment horizontal="center" vertical="center" wrapText="1"/>
    </xf>
    <xf numFmtId="1" fontId="9" fillId="2" borderId="1" xfId="0" applyNumberFormat="1" applyFont="1" applyFill="1" applyBorder="1" applyAlignment="1" applyProtection="1">
      <alignment horizontal="center" vertical="center"/>
      <protection locked="0"/>
    </xf>
    <xf numFmtId="0" fontId="8" fillId="2" borderId="1" xfId="0" applyFont="1" applyFill="1" applyBorder="1" applyAlignment="1">
      <alignment horizontal="left" vertical="center" wrapText="1"/>
    </xf>
    <xf numFmtId="0" fontId="8" fillId="2" borderId="3" xfId="0" applyFont="1" applyFill="1" applyBorder="1" applyAlignment="1" applyProtection="1">
      <alignment horizontal="left" vertical="top" wrapText="1"/>
      <protection locked="0"/>
    </xf>
    <xf numFmtId="0" fontId="11" fillId="2" borderId="6" xfId="0" applyFont="1" applyFill="1" applyBorder="1" applyAlignment="1" applyProtection="1">
      <alignment horizontal="left" vertical="center" wrapText="1"/>
      <protection locked="0"/>
    </xf>
    <xf numFmtId="0" fontId="11" fillId="2" borderId="1" xfId="0" applyFont="1" applyFill="1" applyBorder="1" applyAlignment="1">
      <alignment horizontal="left" vertical="top" wrapText="1"/>
    </xf>
    <xf numFmtId="0" fontId="11" fillId="2" borderId="1" xfId="0" applyFont="1" applyFill="1" applyBorder="1" applyAlignment="1" applyProtection="1">
      <alignment horizontal="left" vertical="center" wrapText="1"/>
      <protection locked="0"/>
    </xf>
    <xf numFmtId="0" fontId="8" fillId="0" borderId="1" xfId="0" applyFont="1" applyBorder="1" applyAlignment="1">
      <alignment horizontal="left" vertical="center"/>
    </xf>
    <xf numFmtId="0" fontId="8" fillId="0" borderId="1" xfId="0" applyFont="1" applyBorder="1"/>
    <xf numFmtId="0" fontId="9" fillId="2" borderId="1" xfId="0" applyFont="1" applyFill="1" applyBorder="1" applyAlignment="1" applyProtection="1">
      <alignment vertical="center"/>
      <protection locked="0"/>
    </xf>
    <xf numFmtId="2" fontId="8" fillId="2" borderId="1" xfId="0" applyNumberFormat="1" applyFont="1" applyFill="1" applyBorder="1" applyAlignment="1">
      <alignment horizontal="left" vertical="center" wrapText="1"/>
    </xf>
    <xf numFmtId="0" fontId="6" fillId="2" borderId="1" xfId="72" applyFont="1" applyFill="1" applyBorder="1" applyAlignment="1">
      <alignment horizontal="center" vertical="center" wrapText="1"/>
    </xf>
    <xf numFmtId="0" fontId="6" fillId="2" borderId="1" xfId="72" applyFont="1" applyFill="1" applyBorder="1" applyAlignment="1">
      <alignment horizontal="left" vertical="center" wrapText="1"/>
    </xf>
    <xf numFmtId="0" fontId="6" fillId="2" borderId="6" xfId="0" applyFont="1" applyFill="1" applyBorder="1" applyAlignment="1">
      <alignment horizontal="center" vertical="center" wrapText="1"/>
    </xf>
    <xf numFmtId="1" fontId="6" fillId="2" borderId="6" xfId="72" applyNumberFormat="1" applyFont="1" applyFill="1" applyBorder="1" applyAlignment="1">
      <alignment horizontal="center" vertical="center"/>
    </xf>
    <xf numFmtId="0" fontId="9" fillId="2" borderId="6" xfId="0" applyFont="1" applyFill="1" applyBorder="1" applyAlignment="1" applyProtection="1">
      <alignment horizontal="left" vertical="center" wrapText="1"/>
      <protection locked="0"/>
    </xf>
    <xf numFmtId="0" fontId="16" fillId="2" borderId="1"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5" fillId="2" borderId="7" xfId="0" applyFont="1" applyFill="1" applyBorder="1" applyAlignment="1">
      <alignment horizontal="center" vertical="top"/>
    </xf>
    <xf numFmtId="0" fontId="7" fillId="2" borderId="2" xfId="72" applyFont="1" applyFill="1" applyBorder="1" applyAlignment="1">
      <alignment horizontal="left" vertical="center" wrapText="1"/>
    </xf>
    <xf numFmtId="0" fontId="7" fillId="2" borderId="4" xfId="72" applyFont="1" applyFill="1" applyBorder="1" applyAlignment="1">
      <alignment horizontal="left" vertical="center" wrapText="1"/>
    </xf>
    <xf numFmtId="0" fontId="7" fillId="2" borderId="3" xfId="72" applyFont="1" applyFill="1" applyBorder="1" applyAlignment="1">
      <alignment horizontal="left" vertical="center" wrapText="1"/>
    </xf>
    <xf numFmtId="0" fontId="9" fillId="2" borderId="1" xfId="5" applyFont="1" applyFill="1" applyBorder="1" applyAlignment="1">
      <alignment horizontal="center" vertical="top" wrapText="1"/>
    </xf>
    <xf numFmtId="0" fontId="8" fillId="2" borderId="0" xfId="0" applyFont="1" applyFill="1" applyAlignment="1">
      <alignment horizontal="left" vertical="top" wrapText="1"/>
    </xf>
    <xf numFmtId="0" fontId="7" fillId="2" borderId="0" xfId="5" applyFont="1" applyFill="1" applyAlignment="1">
      <alignment horizontal="left" vertical="top" wrapText="1"/>
    </xf>
    <xf numFmtId="0" fontId="7" fillId="2" borderId="0" xfId="5" applyFont="1" applyFill="1" applyAlignment="1">
      <alignment horizontal="center" vertical="top"/>
    </xf>
    <xf numFmtId="0" fontId="9" fillId="2" borderId="4" xfId="5" applyFont="1" applyFill="1" applyBorder="1" applyAlignment="1">
      <alignment horizontal="center" vertical="top"/>
    </xf>
    <xf numFmtId="0" fontId="9" fillId="2" borderId="3" xfId="5" applyFont="1" applyFill="1" applyBorder="1" applyAlignment="1">
      <alignment horizontal="center" vertical="top"/>
    </xf>
    <xf numFmtId="0" fontId="9" fillId="2" borderId="5" xfId="5" applyFont="1" applyFill="1" applyBorder="1" applyAlignment="1">
      <alignment horizontal="center" vertical="top"/>
    </xf>
    <xf numFmtId="0" fontId="9" fillId="2" borderId="6" xfId="5" applyFont="1" applyFill="1" applyBorder="1" applyAlignment="1">
      <alignment horizontal="center" vertical="top"/>
    </xf>
    <xf numFmtId="0" fontId="9" fillId="2" borderId="5" xfId="5" applyFont="1" applyFill="1" applyBorder="1" applyAlignment="1">
      <alignment horizontal="center" vertical="top" wrapText="1"/>
    </xf>
    <xf numFmtId="0" fontId="9" fillId="2" borderId="6" xfId="5" applyFont="1" applyFill="1" applyBorder="1" applyAlignment="1">
      <alignment horizontal="center" vertical="top" wrapText="1"/>
    </xf>
    <xf numFmtId="0" fontId="9" fillId="2" borderId="5" xfId="5" applyFont="1" applyFill="1" applyBorder="1" applyAlignment="1">
      <alignment horizontal="center" vertical="center"/>
    </xf>
    <xf numFmtId="0" fontId="9" fillId="2" borderId="6" xfId="5" applyFont="1" applyFill="1" applyBorder="1" applyAlignment="1">
      <alignment horizontal="center" vertical="center"/>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7" fillId="2" borderId="0" xfId="0" applyFont="1" applyFill="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9" fillId="0" borderId="8"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8" fillId="2" borderId="5" xfId="0" applyFont="1" applyFill="1" applyBorder="1" applyAlignment="1" applyProtection="1">
      <alignment horizontal="left" vertical="top" wrapText="1"/>
      <protection locked="0"/>
    </xf>
    <xf numFmtId="0" fontId="8" fillId="2" borderId="8" xfId="0" applyFont="1" applyFill="1" applyBorder="1" applyAlignment="1" applyProtection="1">
      <alignment horizontal="left" vertical="top" wrapText="1"/>
      <protection locked="0"/>
    </xf>
    <xf numFmtId="1" fontId="11" fillId="2" borderId="5" xfId="0" applyNumberFormat="1" applyFont="1" applyFill="1" applyBorder="1" applyAlignment="1" applyProtection="1">
      <alignment horizontal="center" vertical="center"/>
      <protection locked="0"/>
    </xf>
    <xf numFmtId="1" fontId="11" fillId="2" borderId="8" xfId="0" applyNumberFormat="1" applyFont="1" applyFill="1" applyBorder="1" applyAlignment="1" applyProtection="1">
      <alignment horizontal="center" vertical="center"/>
      <protection locked="0"/>
    </xf>
    <xf numFmtId="1" fontId="11" fillId="2" borderId="6" xfId="0" applyNumberFormat="1" applyFont="1" applyFill="1" applyBorder="1" applyAlignment="1" applyProtection="1">
      <alignment horizontal="center" vertical="center"/>
      <protection locked="0"/>
    </xf>
    <xf numFmtId="0" fontId="9" fillId="2" borderId="5" xfId="6" applyFont="1" applyFill="1" applyBorder="1" applyAlignment="1">
      <alignment horizontal="left" vertical="center" wrapText="1"/>
    </xf>
    <xf numFmtId="0" fontId="9" fillId="2" borderId="8" xfId="6" applyFont="1" applyFill="1" applyBorder="1" applyAlignment="1">
      <alignment horizontal="left" vertical="center" wrapText="1"/>
    </xf>
    <xf numFmtId="0" fontId="9" fillId="2" borderId="6" xfId="6" applyFont="1" applyFill="1" applyBorder="1" applyAlignment="1">
      <alignment horizontal="left" vertical="center" wrapText="1"/>
    </xf>
    <xf numFmtId="0" fontId="9" fillId="2" borderId="5"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6" xfId="0" applyFont="1" applyFill="1" applyBorder="1" applyAlignment="1">
      <alignment horizontal="center" vertical="center"/>
    </xf>
    <xf numFmtId="0" fontId="20" fillId="2" borderId="7" xfId="0" applyFont="1" applyFill="1" applyBorder="1" applyAlignment="1">
      <alignment horizontal="center" vertical="top"/>
    </xf>
  </cellXfs>
  <cellStyles count="118">
    <cellStyle name="Comma 2" xfId="8" xr:uid="{00000000-0005-0000-0000-000000000000}"/>
    <cellStyle name="Comma 2 2" xfId="102" xr:uid="{00000000-0005-0000-0000-000001000000}"/>
    <cellStyle name="Comma 2 3" xfId="110" xr:uid="{00000000-0005-0000-0000-000002000000}"/>
    <cellStyle name="Comma 3" xfId="9" xr:uid="{00000000-0005-0000-0000-000003000000}"/>
    <cellStyle name="Comma 4" xfId="10" xr:uid="{00000000-0005-0000-0000-000004000000}"/>
    <cellStyle name="Currency 2" xfId="11" xr:uid="{00000000-0005-0000-0000-000005000000}"/>
    <cellStyle name="Currency 2 2" xfId="4" xr:uid="{00000000-0005-0000-0000-000006000000}"/>
    <cellStyle name="Normal" xfId="0" builtinId="0"/>
    <cellStyle name="Normal 10" xfId="12" xr:uid="{00000000-0005-0000-0000-000008000000}"/>
    <cellStyle name="Normal 11" xfId="13" xr:uid="{00000000-0005-0000-0000-000009000000}"/>
    <cellStyle name="Normal 12" xfId="14" xr:uid="{00000000-0005-0000-0000-00000A000000}"/>
    <cellStyle name="Normal 13" xfId="15" xr:uid="{00000000-0005-0000-0000-00000B000000}"/>
    <cellStyle name="Normal 14" xfId="16" xr:uid="{00000000-0005-0000-0000-00000C000000}"/>
    <cellStyle name="Normal 15" xfId="17" xr:uid="{00000000-0005-0000-0000-00000D000000}"/>
    <cellStyle name="Normal 16" xfId="18" xr:uid="{00000000-0005-0000-0000-00000E000000}"/>
    <cellStyle name="Normal 17" xfId="19" xr:uid="{00000000-0005-0000-0000-00000F000000}"/>
    <cellStyle name="Normal 18" xfId="20" xr:uid="{00000000-0005-0000-0000-000010000000}"/>
    <cellStyle name="Normal 19" xfId="21" xr:uid="{00000000-0005-0000-0000-000011000000}"/>
    <cellStyle name="Normal 2" xfId="5" xr:uid="{00000000-0005-0000-0000-000012000000}"/>
    <cellStyle name="Normal 2 10 3" xfId="22" xr:uid="{00000000-0005-0000-0000-000013000000}"/>
    <cellStyle name="Normal 2 2" xfId="111" xr:uid="{00000000-0005-0000-0000-000014000000}"/>
    <cellStyle name="Normal 2 2 2" xfId="1" xr:uid="{00000000-0005-0000-0000-000015000000}"/>
    <cellStyle name="Normal 2 20" xfId="112" xr:uid="{00000000-0005-0000-0000-000016000000}"/>
    <cellStyle name="Normal 2 34" xfId="23" xr:uid="{00000000-0005-0000-0000-000017000000}"/>
    <cellStyle name="Normal 20" xfId="24" xr:uid="{00000000-0005-0000-0000-000018000000}"/>
    <cellStyle name="Normal 21" xfId="25" xr:uid="{00000000-0005-0000-0000-000019000000}"/>
    <cellStyle name="Normal 22" xfId="26" xr:uid="{00000000-0005-0000-0000-00001A000000}"/>
    <cellStyle name="Normal 23" xfId="27" xr:uid="{00000000-0005-0000-0000-00001B000000}"/>
    <cellStyle name="Normal 24" xfId="28" xr:uid="{00000000-0005-0000-0000-00001C000000}"/>
    <cellStyle name="Normal 25" xfId="29" xr:uid="{00000000-0005-0000-0000-00001D000000}"/>
    <cellStyle name="Normal 26" xfId="30" xr:uid="{00000000-0005-0000-0000-00001E000000}"/>
    <cellStyle name="Normal 27" xfId="31" xr:uid="{00000000-0005-0000-0000-00001F000000}"/>
    <cellStyle name="Normal 28" xfId="32" xr:uid="{00000000-0005-0000-0000-000020000000}"/>
    <cellStyle name="Normal 29" xfId="33" xr:uid="{00000000-0005-0000-0000-000021000000}"/>
    <cellStyle name="Normal 3" xfId="34" xr:uid="{00000000-0005-0000-0000-000022000000}"/>
    <cellStyle name="Normal 3 2" xfId="2" xr:uid="{00000000-0005-0000-0000-000023000000}"/>
    <cellStyle name="Normal 3 3" xfId="35" xr:uid="{00000000-0005-0000-0000-000024000000}"/>
    <cellStyle name="Normal 3 4" xfId="113" xr:uid="{00000000-0005-0000-0000-000025000000}"/>
    <cellStyle name="Normal 30" xfId="36" xr:uid="{00000000-0005-0000-0000-000026000000}"/>
    <cellStyle name="Normal 31" xfId="37" xr:uid="{00000000-0005-0000-0000-000027000000}"/>
    <cellStyle name="Normal 32" xfId="38" xr:uid="{00000000-0005-0000-0000-000028000000}"/>
    <cellStyle name="Normal 33" xfId="39" xr:uid="{00000000-0005-0000-0000-000029000000}"/>
    <cellStyle name="Normal 34" xfId="40" xr:uid="{00000000-0005-0000-0000-00002A000000}"/>
    <cellStyle name="Normal 35" xfId="41" xr:uid="{00000000-0005-0000-0000-00002B000000}"/>
    <cellStyle name="Normal 36" xfId="42" xr:uid="{00000000-0005-0000-0000-00002C000000}"/>
    <cellStyle name="Normal 37" xfId="43" xr:uid="{00000000-0005-0000-0000-00002D000000}"/>
    <cellStyle name="Normal 38" xfId="44" xr:uid="{00000000-0005-0000-0000-00002E000000}"/>
    <cellStyle name="Normal 39" xfId="45" xr:uid="{00000000-0005-0000-0000-00002F000000}"/>
    <cellStyle name="Normal 4" xfId="6" xr:uid="{00000000-0005-0000-0000-000030000000}"/>
    <cellStyle name="Normal 4 2" xfId="71" xr:uid="{00000000-0005-0000-0000-000031000000}"/>
    <cellStyle name="Normal 4 2 10" xfId="76" xr:uid="{00000000-0005-0000-0000-000032000000}"/>
    <cellStyle name="Normal 4 2 10 2" xfId="87" xr:uid="{00000000-0005-0000-0000-000033000000}"/>
    <cellStyle name="Normal 4 2 10 3" xfId="99" xr:uid="{00000000-0005-0000-0000-000034000000}"/>
    <cellStyle name="Normal 4 2 13" xfId="79" xr:uid="{00000000-0005-0000-0000-000035000000}"/>
    <cellStyle name="Normal 4 2 13 2" xfId="92" xr:uid="{00000000-0005-0000-0000-000036000000}"/>
    <cellStyle name="Normal 4 2 13 2 2" xfId="101" xr:uid="{00000000-0005-0000-0000-000037000000}"/>
    <cellStyle name="Normal 4 2 2" xfId="78" xr:uid="{00000000-0005-0000-0000-000038000000}"/>
    <cellStyle name="Normal 4 2 2 2" xfId="91" xr:uid="{00000000-0005-0000-0000-000039000000}"/>
    <cellStyle name="Normal 4 2 6" xfId="84" xr:uid="{00000000-0005-0000-0000-00003A000000}"/>
    <cellStyle name="Normal 4 2 6 2" xfId="97" xr:uid="{00000000-0005-0000-0000-00003B000000}"/>
    <cellStyle name="Normal 4 3" xfId="86" xr:uid="{00000000-0005-0000-0000-00003C000000}"/>
    <cellStyle name="Normal 4 4" xfId="80" xr:uid="{00000000-0005-0000-0000-00003D000000}"/>
    <cellStyle name="Normal 4 4 2" xfId="93" xr:uid="{00000000-0005-0000-0000-00003E000000}"/>
    <cellStyle name="Normal 4 5" xfId="81" xr:uid="{00000000-0005-0000-0000-00003F000000}"/>
    <cellStyle name="Normal 4 5 2" xfId="94" xr:uid="{00000000-0005-0000-0000-000040000000}"/>
    <cellStyle name="Normal 40" xfId="46" xr:uid="{00000000-0005-0000-0000-000041000000}"/>
    <cellStyle name="Normal 41" xfId="47" xr:uid="{00000000-0005-0000-0000-000042000000}"/>
    <cellStyle name="Normal 42" xfId="48" xr:uid="{00000000-0005-0000-0000-000043000000}"/>
    <cellStyle name="Normal 43" xfId="49" xr:uid="{00000000-0005-0000-0000-000044000000}"/>
    <cellStyle name="Normal 44" xfId="50" xr:uid="{00000000-0005-0000-0000-000045000000}"/>
    <cellStyle name="Normal 45" xfId="51" xr:uid="{00000000-0005-0000-0000-000046000000}"/>
    <cellStyle name="Normal 46" xfId="52" xr:uid="{00000000-0005-0000-0000-000047000000}"/>
    <cellStyle name="Normal 47" xfId="53" xr:uid="{00000000-0005-0000-0000-000048000000}"/>
    <cellStyle name="Normal 48" xfId="54" xr:uid="{00000000-0005-0000-0000-000049000000}"/>
    <cellStyle name="Normal 49" xfId="55" xr:uid="{00000000-0005-0000-0000-00004A000000}"/>
    <cellStyle name="Normal 5" xfId="7" xr:uid="{00000000-0005-0000-0000-00004B000000}"/>
    <cellStyle name="Normal 5 2" xfId="56" xr:uid="{00000000-0005-0000-0000-00004C000000}"/>
    <cellStyle name="Normal 50" xfId="57" xr:uid="{00000000-0005-0000-0000-00004D000000}"/>
    <cellStyle name="Normal 51" xfId="58" xr:uid="{00000000-0005-0000-0000-00004E000000}"/>
    <cellStyle name="Normal 52" xfId="59" xr:uid="{00000000-0005-0000-0000-00004F000000}"/>
    <cellStyle name="Normal 53" xfId="60" xr:uid="{00000000-0005-0000-0000-000050000000}"/>
    <cellStyle name="Normal 54" xfId="61" xr:uid="{00000000-0005-0000-0000-000051000000}"/>
    <cellStyle name="Normal 55" xfId="70" xr:uid="{00000000-0005-0000-0000-000052000000}"/>
    <cellStyle name="Normal 55 10 2" xfId="104" xr:uid="{00000000-0005-0000-0000-000053000000}"/>
    <cellStyle name="Normal 55 12" xfId="103" xr:uid="{00000000-0005-0000-0000-000054000000}"/>
    <cellStyle name="Normal 55 2" xfId="72" xr:uid="{00000000-0005-0000-0000-000055000000}"/>
    <cellStyle name="Normal 55 2 2" xfId="85" xr:uid="{00000000-0005-0000-0000-000056000000}"/>
    <cellStyle name="Normal 55 6" xfId="114" xr:uid="{00000000-0005-0000-0000-000057000000}"/>
    <cellStyle name="Normal 55 6 2 2" xfId="105" xr:uid="{00000000-0005-0000-0000-000058000000}"/>
    <cellStyle name="Normal 6" xfId="3" xr:uid="{00000000-0005-0000-0000-000059000000}"/>
    <cellStyle name="Normal 6 2" xfId="62" xr:uid="{00000000-0005-0000-0000-00005A000000}"/>
    <cellStyle name="Normal 60 12" xfId="109" xr:uid="{00000000-0005-0000-0000-00005B000000}"/>
    <cellStyle name="Normal 60 6" xfId="115" xr:uid="{00000000-0005-0000-0000-00005C000000}"/>
    <cellStyle name="Normal 69" xfId="73" xr:uid="{00000000-0005-0000-0000-00005D000000}"/>
    <cellStyle name="Normal 7" xfId="63" xr:uid="{00000000-0005-0000-0000-00005E000000}"/>
    <cellStyle name="Normal 7 2" xfId="64" xr:uid="{00000000-0005-0000-0000-00005F000000}"/>
    <cellStyle name="Normal 73" xfId="83" xr:uid="{00000000-0005-0000-0000-000060000000}"/>
    <cellStyle name="Normal 73 2" xfId="96" xr:uid="{00000000-0005-0000-0000-000061000000}"/>
    <cellStyle name="Normal 74" xfId="82" xr:uid="{00000000-0005-0000-0000-000062000000}"/>
    <cellStyle name="Normal 74 2" xfId="95" xr:uid="{00000000-0005-0000-0000-000063000000}"/>
    <cellStyle name="Normal 79 3" xfId="116" xr:uid="{00000000-0005-0000-0000-000064000000}"/>
    <cellStyle name="Normal 8" xfId="65" xr:uid="{00000000-0005-0000-0000-000065000000}"/>
    <cellStyle name="Normal 80" xfId="117" xr:uid="{00000000-0005-0000-0000-000066000000}"/>
    <cellStyle name="Normal 80 3 2" xfId="108" xr:uid="{00000000-0005-0000-0000-000067000000}"/>
    <cellStyle name="Normal 81" xfId="75" xr:uid="{00000000-0005-0000-0000-000068000000}"/>
    <cellStyle name="Normal 81 2" xfId="89" xr:uid="{00000000-0005-0000-0000-000069000000}"/>
    <cellStyle name="Normal 81 3 2" xfId="106" xr:uid="{00000000-0005-0000-0000-00006A000000}"/>
    <cellStyle name="Normal 82" xfId="77" xr:uid="{00000000-0005-0000-0000-00006B000000}"/>
    <cellStyle name="Normal 82 2" xfId="90" xr:uid="{00000000-0005-0000-0000-00006C000000}"/>
    <cellStyle name="Normal 83" xfId="74" xr:uid="{00000000-0005-0000-0000-00006D000000}"/>
    <cellStyle name="Normal 83 2" xfId="88" xr:uid="{00000000-0005-0000-0000-00006E000000}"/>
    <cellStyle name="Normal 83 2 2" xfId="98" xr:uid="{00000000-0005-0000-0000-00006F000000}"/>
    <cellStyle name="Normal 84" xfId="100" xr:uid="{00000000-0005-0000-0000-000070000000}"/>
    <cellStyle name="Normal 9" xfId="66" xr:uid="{00000000-0005-0000-0000-000071000000}"/>
    <cellStyle name="Normal 90 2" xfId="107" xr:uid="{00000000-0005-0000-0000-000072000000}"/>
    <cellStyle name="Percent 2" xfId="67" xr:uid="{00000000-0005-0000-0000-000073000000}"/>
    <cellStyle name="Percent 2 2" xfId="68" xr:uid="{00000000-0005-0000-0000-000074000000}"/>
    <cellStyle name="Percent 3" xfId="69" xr:uid="{00000000-0005-0000-0000-00007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emebrtechfrs.STRIKEONE\Desktop\FRS%20May%2020\FRS%20UPDATED%20WITH%20NEW%20FORMAT\Secure%20Disk\G%20DRIVE\FRS%20FOLDER\ALL%20EQPT%20AUTH%20HELD%202019\ALL%20EQPT%20AUTH%20HELD%20Mar%20%20%202019.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emebrtechfrs/Desktop/Secure%20Disk/G%20DRIVE/FRS%20FOLDER/ALL%20EQPT%20AUTH%20HELD%202019/ALL%20EQPT%20AUTH%20HELD%20Mar%20%20%202019.xlsx" TargetMode="External"/><Relationship Id="rId1" Type="http://schemas.openxmlformats.org/officeDocument/2006/relationships/externalLinkPath" Target="/Users/emebrtechfrs/Desktop/Secure%20Disk/G%20DRIVE/FRS%20FOLDER/ALL%20EQPT%20AUTH%20HELD%202019/ALL%20EQPT%20AUTH%20HELD%20Mar%20%20%202019.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Secure%20Disk/G%20DRIVE/FRS%20FOLDER/ALL%20EQPT%20AUTH%20HELD%202019/ALL%20EQPT%20AUTH%20HELD%20Mar%20%20%202019.xlsx" TargetMode="External"/><Relationship Id="rId1" Type="http://schemas.openxmlformats.org/officeDocument/2006/relationships/externalLinkPath" Target="/Secure%20Disk/G%20DRIVE/FRS%20FOLDER/ALL%20EQPT%20AUTH%20HELD%202019/ALL%20EQPT%20AUTH%20HELD%20Mar%20%20%202019.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Desktop/FInal%20%20FRS%20month%20of%20Nov%2020%20-%20Copy/Secure%20Disk/G%20DRIVE/FRS%20FOLDER/ALL%20EQPT%20AUTH%20HELD%202019/ALL%20EQPT%20AUTH%20HELD%20Mar%20%20%202019.xlsx" TargetMode="External"/><Relationship Id="rId1" Type="http://schemas.openxmlformats.org/officeDocument/2006/relationships/externalLinkPath" Target="/Users/user/Desktop/FInal%20%20FRS%20month%20of%20Nov%2020%20-%20Copy/Secure%20Disk/G%20DRIVE/FRS%20FOLDER/ALL%20EQPT%20AUTH%20HELD%202019/ALL%20EQPT%20AUTH%20HELD%20Mar%20%20%202019.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emebrtechfrs.STRIKEONE/Desktop/FRS%20May%2020/FRS%20UPDATED%20WITH%20NEW%20FORMAT/Secure%20Disk/G%20DRIVE/FRS%20FOLDER/ALL%20EQPT%20AUTH%20HELD%202019/ALL%20EQPT%20AUTH%20HELD%20Mar%20%20%202019.xlsx" TargetMode="External"/><Relationship Id="rId1" Type="http://schemas.openxmlformats.org/officeDocument/2006/relationships/externalLinkPath" Target="/Users/emebrtechfrs.STRIKEONE/Desktop/FRS%20May%2020/FRS%20UPDATED%20WITH%20NEW%20FORMAT/Secure%20Disk/G%20DRIVE/FRS%20FOLDER/ALL%20EQPT%20AUTH%20HELD%202019/ALL%20EQPT%20AUTH%20HELD%20Mar%20%20%202019.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Documents%20and%20Settings/User%2004/Application%20Data/Microsoft/Excel/MESR/FRS%20Nov%2010/Central%20Comd.xls" TargetMode="External"/><Relationship Id="rId1" Type="http://schemas.openxmlformats.org/officeDocument/2006/relationships/externalLinkPath" Target="/Documents%20and%20Settings/User%2004/Application%20Data/Microsoft/Excel/MESR/FRS%20Nov%2010/Central%20Com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 val="DROPDOWN"/>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S Units held amdt"/>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S Units held amdt"/>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S Units held amdt"/>
      <sheetName val="DropDown"/>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S Units held amdt"/>
      <sheetName val="DROPDOWN"/>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Tech Manager"/>
      <sheetName val="Dependent User Unit"/>
      <sheetName val="VOR EOA EHT "/>
      <sheetName val="A Vehs"/>
      <sheetName val="A Vehs Data"/>
      <sheetName val="B Vehs"/>
      <sheetName val="SPL Vehs"/>
      <sheetName val="Engr eqpt"/>
      <sheetName val="Power eqpt"/>
      <sheetName val="Inst eqpt"/>
      <sheetName val="Sig eqpt"/>
      <sheetName val="Small arms"/>
      <sheetName val="Armt"/>
      <sheetName val="Armt Data "/>
      <sheetName val="Radar  missile"/>
      <sheetName val="Computer"/>
      <sheetName val="VOR EOA DEMAND"/>
      <sheetName val="Fitment of Eng"/>
      <sheetName val="Eqpt in Base Wksp"/>
      <sheetName val="Sml"/>
      <sheetName val="ACSFP EQPT"/>
      <sheetName val="Eqpt Aval (Electronic)"/>
      <sheetName val="FR of EQPT"/>
      <sheetName val="EOA State RO, LINE,Radar"/>
      <sheetName val="Re Distribution of BFSR"/>
      <sheetName val="Strip Insp"/>
      <sheetName val="Fitment of Retainer"/>
      <sheetName val="DP Conversion"/>
      <sheetName val="DR84mmRL"/>
    </sheetNames>
    <sheetDataSet>
      <sheetData sheetId="0"/>
      <sheetData sheetId="1"/>
      <sheetData sheetId="2">
        <row r="6">
          <cell r="B6" t="str">
            <v>196 (I) Fd Wksp Coy</v>
          </cell>
          <cell r="C6" t="str">
            <v>302 Lt Regt</v>
          </cell>
        </row>
        <row r="7">
          <cell r="C7" t="str">
            <v>200 Fd Regt</v>
          </cell>
        </row>
        <row r="8">
          <cell r="C8" t="str">
            <v>1988 (I) Med Bty</v>
          </cell>
        </row>
        <row r="9">
          <cell r="C9" t="str">
            <v>Garh Scouts</v>
          </cell>
        </row>
        <row r="10">
          <cell r="C10" t="str">
            <v>2 Madras</v>
          </cell>
        </row>
        <row r="11">
          <cell r="C11" t="str">
            <v>1 MAHAR</v>
          </cell>
        </row>
        <row r="12">
          <cell r="C12" t="str">
            <v>Kumaon Scouts</v>
          </cell>
        </row>
        <row r="13">
          <cell r="C13" t="str">
            <v>5009 Coy ASC</v>
          </cell>
        </row>
        <row r="14">
          <cell r="C14" t="str">
            <v>8 (I) Fd Coy</v>
          </cell>
        </row>
        <row r="15">
          <cell r="C15" t="str">
            <v>2009 Fd Hosp</v>
          </cell>
        </row>
        <row r="16">
          <cell r="C16" t="str">
            <v>883 AT Bn</v>
          </cell>
        </row>
        <row r="17">
          <cell r="C17" t="str">
            <v>3 Coy Sig Regt</v>
          </cell>
        </row>
        <row r="18">
          <cell r="C18" t="str">
            <v>HQ 9 (I) Mtn Bde Gp</v>
          </cell>
        </row>
        <row r="19">
          <cell r="C19" t="str">
            <v>9 (I) Mtn Bde OMP</v>
          </cell>
        </row>
        <row r="20">
          <cell r="C20" t="str">
            <v>9 (I) Mtn Bde Pro Unit</v>
          </cell>
        </row>
        <row r="21">
          <cell r="C21" t="str">
            <v>25 MFVH</v>
          </cell>
        </row>
        <row r="22">
          <cell r="C22" t="str">
            <v>41 FARS</v>
          </cell>
        </row>
        <row r="23">
          <cell r="C23" t="str">
            <v>30 MFVH</v>
          </cell>
        </row>
        <row r="24">
          <cell r="C24" t="str">
            <v>871 EWS</v>
          </cell>
        </row>
        <row r="25">
          <cell r="C25" t="str">
            <v>830 FPO</v>
          </cell>
        </row>
        <row r="26">
          <cell r="C26" t="str">
            <v>798 FPO</v>
          </cell>
        </row>
        <row r="27">
          <cell r="C27" t="str">
            <v>8 UP NCC</v>
          </cell>
        </row>
        <row r="28">
          <cell r="C28" t="str">
            <v>9 JAK LI</v>
          </cell>
        </row>
        <row r="29">
          <cell r="C29" t="str">
            <v>1 ARCHER</v>
          </cell>
        </row>
        <row r="30">
          <cell r="C30" t="str">
            <v>Tawaghat Sig Sector</v>
          </cell>
        </row>
        <row r="31">
          <cell r="C31" t="str">
            <v>DIBER Auli</v>
          </cell>
        </row>
        <row r="32">
          <cell r="C32" t="str">
            <v>1/567 INT &amp; FS Unit</v>
          </cell>
        </row>
        <row r="33">
          <cell r="C33" t="str">
            <v>196 (I) Fd Wksp Coy</v>
          </cell>
        </row>
        <row r="34">
          <cell r="C34" t="str">
            <v>104 Engr Regt</v>
          </cell>
        </row>
        <row r="35">
          <cell r="C35" t="str">
            <v>127 TA Eco Coy</v>
          </cell>
        </row>
      </sheetData>
      <sheetData sheetId="3"/>
      <sheetData sheetId="4"/>
      <sheetData sheetId="5">
        <row r="117">
          <cell r="B117" t="str">
            <v>Org</v>
          </cell>
        </row>
      </sheetData>
      <sheetData sheetId="6">
        <row r="8">
          <cell r="B8" t="str">
            <v xml:space="preserve">M/C CD 100 Hero Honda </v>
          </cell>
        </row>
      </sheetData>
      <sheetData sheetId="7">
        <row r="7">
          <cell r="B7" t="str">
            <v>Tk 6x6 Kraz 255B (MSS)</v>
          </cell>
        </row>
      </sheetData>
      <sheetData sheetId="8">
        <row r="5">
          <cell r="B5" t="str">
            <v>Air Compressor All types</v>
          </cell>
        </row>
        <row r="6">
          <cell r="B6" t="str">
            <v>Anchor Br 60 Lbs</v>
          </cell>
        </row>
        <row r="7">
          <cell r="B7" t="str">
            <v>Atomization test bench</v>
          </cell>
        </row>
        <row r="8">
          <cell r="B8" t="str">
            <v>Bailey Pontoon Bridge Folding</v>
          </cell>
        </row>
        <row r="9">
          <cell r="B9" t="str">
            <v>Bailey Pontoon Increment Set</v>
          </cell>
        </row>
        <row r="10">
          <cell r="B10" t="str">
            <v>Bailey Suspension Bridge all types</v>
          </cell>
        </row>
        <row r="11">
          <cell r="B11" t="str">
            <v>Baut all types</v>
          </cell>
        </row>
        <row r="12">
          <cell r="B12" t="str">
            <v>Blower elect port 240V SP 50HZ</v>
          </cell>
        </row>
        <row r="13">
          <cell r="B13" t="str">
            <v>Boat Aslt all types</v>
          </cell>
        </row>
        <row r="14">
          <cell r="B14" t="str">
            <v>Boat Folding eqpt all types</v>
          </cell>
        </row>
        <row r="15">
          <cell r="B15" t="str">
            <v>Boat Inflatable</v>
          </cell>
        </row>
        <row r="16">
          <cell r="B16" t="str">
            <v>Boat Recce 3 Men 2A</v>
          </cell>
        </row>
        <row r="17">
          <cell r="B17" t="str">
            <v>Bridge AM-50</v>
          </cell>
        </row>
        <row r="18">
          <cell r="B18" t="str">
            <v>Camo flat eqpt MK I</v>
          </cell>
        </row>
        <row r="19">
          <cell r="B19" t="str">
            <v>CET</v>
          </cell>
        </row>
        <row r="20">
          <cell r="B20" t="str">
            <v>Chain Saw all types</v>
          </cell>
        </row>
        <row r="21">
          <cell r="B21" t="str">
            <v>Cleaner &amp; Tester Sparking Plug</v>
          </cell>
        </row>
        <row r="22">
          <cell r="B22" t="str">
            <v>Concrete Breaker</v>
          </cell>
        </row>
        <row r="23">
          <cell r="B23" t="str">
            <v>Cr Tr Size-II D-50 A-15</v>
          </cell>
        </row>
        <row r="24">
          <cell r="B24" t="str">
            <v>Cr Tr Size-II D-80 A-12/A-8</v>
          </cell>
        </row>
        <row r="25">
          <cell r="B25" t="str">
            <v>Drill eqpt port hy duty</v>
          </cell>
        </row>
        <row r="26">
          <cell r="B26" t="str">
            <v>Drive Flexible 17 mm 68</v>
          </cell>
        </row>
        <row r="27">
          <cell r="B27" t="str">
            <v>Drive Flexible 17.5  mm 16</v>
          </cell>
        </row>
        <row r="28">
          <cell r="B28" t="str">
            <v>Drive Flexible 17.5 mm 24</v>
          </cell>
        </row>
        <row r="29">
          <cell r="B29" t="str">
            <v>Drive Flexible 22 mm 04</v>
          </cell>
        </row>
        <row r="30">
          <cell r="B30" t="str">
            <v>Drive Flexible 22mm 08</v>
          </cell>
        </row>
        <row r="31">
          <cell r="B31" t="str">
            <v>Electronic Stethoscope</v>
          </cell>
        </row>
        <row r="32">
          <cell r="B32" t="str">
            <v>Erection Boat Bridge</v>
          </cell>
        </row>
        <row r="33">
          <cell r="B33" t="str">
            <v>Excavator LoaderTATA (JCB)</v>
          </cell>
        </row>
        <row r="34">
          <cell r="B34" t="str">
            <v xml:space="preserve">Fork Lifter </v>
          </cell>
        </row>
        <row r="35">
          <cell r="B35" t="str">
            <v>Hammer drill pneumatic</v>
          </cell>
        </row>
        <row r="36">
          <cell r="B36" t="str">
            <v>Hydrema 910 MCV-2</v>
          </cell>
        </row>
        <row r="37">
          <cell r="B37" t="str">
            <v xml:space="preserve">India sarvatra </v>
          </cell>
        </row>
        <row r="38">
          <cell r="B38" t="str">
            <v>Jumbo Deisel</v>
          </cell>
        </row>
        <row r="39">
          <cell r="B39" t="str">
            <v>KM Briding Eqpt KM Float</v>
          </cell>
        </row>
        <row r="40">
          <cell r="B40" t="str">
            <v>KM Briding Filling unit</v>
          </cell>
        </row>
        <row r="41">
          <cell r="B41" t="str">
            <v>Lathe Machine 7 " dia Constr SS &amp; SC Duty 36</v>
          </cell>
        </row>
        <row r="42">
          <cell r="B42" t="str">
            <v>Lubricating Unit</v>
          </cell>
        </row>
        <row r="43">
          <cell r="B43" t="str">
            <v>Machine Drilling Portable all types</v>
          </cell>
        </row>
        <row r="44">
          <cell r="B44" t="str">
            <v>Mech mine layer</v>
          </cell>
        </row>
        <row r="45">
          <cell r="B45" t="str">
            <v>Mechanical Mine Layer all types</v>
          </cell>
        </row>
        <row r="46">
          <cell r="B46" t="str">
            <v>Motor Grader GD 605 R2 (BEML)</v>
          </cell>
        </row>
        <row r="47">
          <cell r="B47" t="str">
            <v>MTL BMK-130</v>
          </cell>
        </row>
        <row r="48">
          <cell r="B48" t="str">
            <v>MTL-634 (with Tlr/SP-5)</v>
          </cell>
        </row>
        <row r="49">
          <cell r="B49" t="str">
            <v>OBM all types</v>
          </cell>
        </row>
        <row r="50">
          <cell r="B50" t="str">
            <v>Pinjor Rock Drill All type</v>
          </cell>
        </row>
        <row r="51">
          <cell r="B51" t="str">
            <v>Plant Electric Welding</v>
          </cell>
        </row>
        <row r="52">
          <cell r="B52" t="str">
            <v>Plant Washing all types</v>
          </cell>
        </row>
        <row r="53">
          <cell r="B53" t="str">
            <v>Plant Welding all types</v>
          </cell>
        </row>
        <row r="54">
          <cell r="B54" t="str">
            <v>PMP Br System (1.5 Set)</v>
          </cell>
        </row>
        <row r="55">
          <cell r="B55" t="str">
            <v>PMS Bridging System (1.5 Set)</v>
          </cell>
        </row>
        <row r="56">
          <cell r="B56" t="str">
            <v>Prodder mine</v>
          </cell>
        </row>
        <row r="57">
          <cell r="B57" t="str">
            <v>Pump Water Centrifugal</v>
          </cell>
        </row>
        <row r="58">
          <cell r="B58" t="str">
            <v>Pumping set all type</v>
          </cell>
        </row>
        <row r="59">
          <cell r="B59" t="str">
            <v>Pumping Set No 4</v>
          </cell>
        </row>
        <row r="60">
          <cell r="B60" t="str">
            <v>Pumping Set No 5</v>
          </cell>
        </row>
        <row r="61">
          <cell r="B61" t="str">
            <v>Skid steer loader</v>
          </cell>
        </row>
        <row r="62">
          <cell r="B62" t="str">
            <v xml:space="preserve">Spray Trolley / Plant all types </v>
          </cell>
        </row>
        <row r="63">
          <cell r="B63" t="str">
            <v>Static Plants</v>
          </cell>
        </row>
        <row r="64">
          <cell r="B64" t="str">
            <v>Sudan pump</v>
          </cell>
        </row>
        <row r="65">
          <cell r="B65" t="str">
            <v>Tlr 50 Ton BEML</v>
          </cell>
        </row>
        <row r="66">
          <cell r="B66" t="str">
            <v>Tlr Fire pump all types</v>
          </cell>
        </row>
        <row r="67">
          <cell r="B67" t="str">
            <v>Tractor Agriculture</v>
          </cell>
        </row>
        <row r="68">
          <cell r="B68" t="str">
            <v>Trench Digger BTM</v>
          </cell>
        </row>
        <row r="69">
          <cell r="B69" t="str">
            <v>Washer motor hydro fork</v>
          </cell>
        </row>
        <row r="70">
          <cell r="B70" t="str">
            <v>Water Purification Plant</v>
          </cell>
        </row>
        <row r="71">
          <cell r="B71" t="str">
            <v>Wheel Dozer G 14 D1 / Road Roller</v>
          </cell>
        </row>
        <row r="72">
          <cell r="B72" t="str">
            <v>Wksp Servicing Plant</v>
          </cell>
        </row>
      </sheetData>
      <sheetData sheetId="9">
        <row r="7">
          <cell r="B7" t="str">
            <v>Chg Set ED 150 W</v>
          </cell>
        </row>
      </sheetData>
      <sheetData sheetId="10">
        <row r="7">
          <cell r="B7" t="str">
            <v>HHTI (Elop)</v>
          </cell>
        </row>
      </sheetData>
      <sheetData sheetId="11">
        <row r="7">
          <cell r="B7" t="str">
            <v>RS VA/VB/VC MK-II</v>
          </cell>
        </row>
      </sheetData>
      <sheetData sheetId="12">
        <row r="7">
          <cell r="B7" t="str">
            <v>Rif 5.56mm INSAS</v>
          </cell>
        </row>
      </sheetData>
      <sheetData sheetId="13">
        <row r="6">
          <cell r="B6" t="str">
            <v>125mm SBG (T-72)</v>
          </cell>
        </row>
      </sheetData>
      <sheetData sheetId="14">
        <row r="3461">
          <cell r="O3461" t="str">
            <v>I</v>
          </cell>
        </row>
      </sheetData>
      <sheetData sheetId="15"/>
      <sheetData sheetId="16"/>
      <sheetData sheetId="17"/>
      <sheetData sheetId="18"/>
      <sheetData sheetId="19"/>
      <sheetData sheetId="20"/>
      <sheetData sheetId="21">
        <row r="130">
          <cell r="B130" t="str">
            <v>Sml 2.5 Ton</v>
          </cell>
        </row>
      </sheetData>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J29"/>
  <sheetViews>
    <sheetView view="pageBreakPreview" zoomScale="82" zoomScaleNormal="55" zoomScaleSheetLayoutView="82" workbookViewId="0">
      <pane ySplit="6" topLeftCell="A8" activePane="bottomLeft" state="frozen"/>
      <selection pane="bottomLeft" activeCell="A8" sqref="A8:A29"/>
    </sheetView>
  </sheetViews>
  <sheetFormatPr defaultColWidth="9.109375" defaultRowHeight="15" x14ac:dyDescent="0.3"/>
  <cols>
    <col min="1" max="1" width="10.109375" style="1" bestFit="1" customWidth="1"/>
    <col min="2" max="2" width="52.109375" style="5" bestFit="1" customWidth="1"/>
    <col min="3" max="3" width="10.88671875" style="1" bestFit="1" customWidth="1"/>
    <col min="4" max="4" width="6.5546875" style="1" bestFit="1" customWidth="1"/>
    <col min="5" max="5" width="7.6640625" style="1" bestFit="1" customWidth="1"/>
    <col min="6" max="6" width="7" style="1" bestFit="1" customWidth="1"/>
    <col min="7" max="7" width="5.5546875" style="1" bestFit="1" customWidth="1"/>
    <col min="8" max="8" width="9.5546875" style="1" bestFit="1" customWidth="1"/>
    <col min="9" max="9" width="7.5546875" style="1" customWidth="1"/>
    <col min="10" max="10" width="55.33203125" style="5" customWidth="1"/>
    <col min="11" max="16384" width="9.109375" style="1"/>
  </cols>
  <sheetData>
    <row r="1" spans="1:10" ht="21" customHeight="1" x14ac:dyDescent="0.3">
      <c r="A1" s="14"/>
      <c r="B1" s="89"/>
      <c r="C1" s="89"/>
      <c r="D1" s="89"/>
      <c r="E1" s="89"/>
      <c r="F1" s="133" t="s">
        <v>17</v>
      </c>
      <c r="G1" s="133"/>
      <c r="H1" s="133"/>
      <c r="I1" s="133"/>
      <c r="J1" s="133"/>
    </row>
    <row r="2" spans="1:10" ht="46.5" customHeight="1" x14ac:dyDescent="0.3">
      <c r="A2" s="94"/>
      <c r="B2" s="94"/>
      <c r="C2" s="94"/>
      <c r="D2" s="94"/>
      <c r="E2" s="94"/>
      <c r="F2" s="132" t="s">
        <v>53</v>
      </c>
      <c r="G2" s="132"/>
      <c r="H2" s="132"/>
      <c r="I2" s="132"/>
      <c r="J2" s="132"/>
    </row>
    <row r="3" spans="1:10" ht="21" customHeight="1" x14ac:dyDescent="0.3">
      <c r="A3" s="134" t="s">
        <v>49</v>
      </c>
      <c r="B3" s="134"/>
      <c r="C3" s="134"/>
      <c r="D3" s="134"/>
      <c r="E3" s="134"/>
      <c r="F3" s="134"/>
      <c r="G3" s="134"/>
      <c r="H3" s="134"/>
      <c r="I3" s="134"/>
      <c r="J3" s="134"/>
    </row>
    <row r="4" spans="1:10" s="2" customFormat="1" ht="21" customHeight="1" x14ac:dyDescent="0.3">
      <c r="A4" s="137" t="s">
        <v>3</v>
      </c>
      <c r="B4" s="139" t="s">
        <v>12</v>
      </c>
      <c r="C4" s="139" t="s">
        <v>14</v>
      </c>
      <c r="D4" s="139" t="s">
        <v>15</v>
      </c>
      <c r="E4" s="135" t="s">
        <v>19</v>
      </c>
      <c r="F4" s="135"/>
      <c r="G4" s="135"/>
      <c r="H4" s="136"/>
      <c r="I4" s="141" t="s">
        <v>4</v>
      </c>
      <c r="J4" s="131" t="s">
        <v>13</v>
      </c>
    </row>
    <row r="5" spans="1:10" s="2" customFormat="1" ht="21" customHeight="1" x14ac:dyDescent="0.3">
      <c r="A5" s="138"/>
      <c r="B5" s="140"/>
      <c r="C5" s="140"/>
      <c r="D5" s="140"/>
      <c r="E5" s="95" t="s">
        <v>0</v>
      </c>
      <c r="F5" s="95" t="s">
        <v>1</v>
      </c>
      <c r="G5" s="95" t="s">
        <v>2</v>
      </c>
      <c r="H5" s="16" t="s">
        <v>16</v>
      </c>
      <c r="I5" s="142"/>
      <c r="J5" s="131"/>
    </row>
    <row r="6" spans="1:10" s="3" customFormat="1" ht="21" customHeight="1" x14ac:dyDescent="0.3">
      <c r="A6" s="92" t="s">
        <v>5</v>
      </c>
      <c r="B6" s="93" t="s">
        <v>6</v>
      </c>
      <c r="C6" s="92" t="s">
        <v>7</v>
      </c>
      <c r="D6" s="92" t="s">
        <v>8</v>
      </c>
      <c r="E6" s="92" t="s">
        <v>20</v>
      </c>
      <c r="F6" s="92" t="s">
        <v>9</v>
      </c>
      <c r="G6" s="92" t="s">
        <v>21</v>
      </c>
      <c r="H6" s="92" t="s">
        <v>10</v>
      </c>
      <c r="I6" s="92" t="s">
        <v>11</v>
      </c>
      <c r="J6" s="93" t="s">
        <v>22</v>
      </c>
    </row>
    <row r="7" spans="1:10" s="4" customFormat="1" ht="21" customHeight="1" x14ac:dyDescent="0.3">
      <c r="A7" s="128" t="s">
        <v>18</v>
      </c>
      <c r="B7" s="129"/>
      <c r="C7" s="129"/>
      <c r="D7" s="129"/>
      <c r="E7" s="129"/>
      <c r="F7" s="129"/>
      <c r="G7" s="129"/>
      <c r="H7" s="129"/>
      <c r="I7" s="129"/>
      <c r="J7" s="130"/>
    </row>
    <row r="8" spans="1:10" s="91" customFormat="1" ht="40.5" customHeight="1" x14ac:dyDescent="0.3">
      <c r="A8" s="117">
        <v>1</v>
      </c>
      <c r="B8" s="118" t="s">
        <v>57</v>
      </c>
      <c r="C8" s="119">
        <v>15</v>
      </c>
      <c r="D8" s="120">
        <v>9</v>
      </c>
      <c r="E8" s="120" t="s">
        <v>23</v>
      </c>
      <c r="F8" s="120" t="s">
        <v>23</v>
      </c>
      <c r="G8" s="120" t="s">
        <v>23</v>
      </c>
      <c r="H8" s="120" t="s">
        <v>23</v>
      </c>
      <c r="I8" s="120">
        <v>9</v>
      </c>
      <c r="J8" s="110"/>
    </row>
    <row r="9" spans="1:10" s="78" customFormat="1" ht="21" customHeight="1" x14ac:dyDescent="0.3">
      <c r="A9" s="11">
        <v>2</v>
      </c>
      <c r="B9" s="118" t="s">
        <v>58</v>
      </c>
      <c r="C9" s="19">
        <v>16</v>
      </c>
      <c r="D9" s="76">
        <v>13</v>
      </c>
      <c r="E9" s="87" t="s">
        <v>23</v>
      </c>
      <c r="F9" s="87" t="s">
        <v>23</v>
      </c>
      <c r="G9" s="87" t="s">
        <v>23</v>
      </c>
      <c r="H9" s="87" t="s">
        <v>23</v>
      </c>
      <c r="I9" s="87">
        <v>13</v>
      </c>
      <c r="J9" s="109"/>
    </row>
    <row r="10" spans="1:10" s="91" customFormat="1" ht="15.6" x14ac:dyDescent="0.3">
      <c r="A10" s="11">
        <v>3</v>
      </c>
      <c r="B10" s="118" t="s">
        <v>59</v>
      </c>
      <c r="C10" s="19">
        <v>24</v>
      </c>
      <c r="D10" s="76">
        <v>24</v>
      </c>
      <c r="E10" s="87" t="s">
        <v>23</v>
      </c>
      <c r="F10" s="87" t="s">
        <v>23</v>
      </c>
      <c r="G10" s="87" t="s">
        <v>23</v>
      </c>
      <c r="H10" s="87" t="s">
        <v>23</v>
      </c>
      <c r="I10" s="87">
        <v>24</v>
      </c>
      <c r="J10" s="7"/>
    </row>
    <row r="11" spans="1:10" s="78" customFormat="1" ht="183.75" customHeight="1" x14ac:dyDescent="0.3">
      <c r="A11" s="117">
        <v>4</v>
      </c>
      <c r="B11" s="73" t="s">
        <v>60</v>
      </c>
      <c r="C11" s="19">
        <v>6</v>
      </c>
      <c r="D11" s="76">
        <v>3</v>
      </c>
      <c r="E11" s="87" t="s">
        <v>23</v>
      </c>
      <c r="F11" s="87">
        <v>3</v>
      </c>
      <c r="G11" s="87" t="s">
        <v>23</v>
      </c>
      <c r="H11" s="87" t="s">
        <v>23</v>
      </c>
      <c r="I11" s="76" t="s">
        <v>23</v>
      </c>
      <c r="J11" s="8" t="s">
        <v>41</v>
      </c>
    </row>
    <row r="12" spans="1:10" s="78" customFormat="1" ht="21" customHeight="1" x14ac:dyDescent="0.3">
      <c r="A12" s="11">
        <v>5</v>
      </c>
      <c r="B12" s="73" t="s">
        <v>61</v>
      </c>
      <c r="C12" s="19" t="s">
        <v>23</v>
      </c>
      <c r="D12" s="76">
        <v>3</v>
      </c>
      <c r="E12" s="19" t="s">
        <v>23</v>
      </c>
      <c r="F12" s="19" t="s">
        <v>23</v>
      </c>
      <c r="G12" s="19" t="s">
        <v>23</v>
      </c>
      <c r="H12" s="19" t="s">
        <v>23</v>
      </c>
      <c r="I12" s="76">
        <v>3</v>
      </c>
      <c r="J12" s="41"/>
    </row>
    <row r="13" spans="1:10" s="84" customFormat="1" ht="21" customHeight="1" x14ac:dyDescent="0.3">
      <c r="A13" s="11">
        <v>6</v>
      </c>
      <c r="B13" s="73" t="s">
        <v>62</v>
      </c>
      <c r="C13" s="19" t="s">
        <v>23</v>
      </c>
      <c r="D13" s="76">
        <v>1</v>
      </c>
      <c r="E13" s="19" t="s">
        <v>23</v>
      </c>
      <c r="F13" s="19" t="s">
        <v>23</v>
      </c>
      <c r="G13" s="19" t="s">
        <v>23</v>
      </c>
      <c r="H13" s="19" t="s">
        <v>23</v>
      </c>
      <c r="I13" s="76">
        <v>1</v>
      </c>
      <c r="J13" s="74"/>
    </row>
    <row r="14" spans="1:10" s="13" customFormat="1" ht="23.25" customHeight="1" x14ac:dyDescent="0.3">
      <c r="A14" s="117">
        <v>7</v>
      </c>
      <c r="B14" s="73" t="s">
        <v>63</v>
      </c>
      <c r="C14" s="96" t="s">
        <v>23</v>
      </c>
      <c r="D14" s="19">
        <v>4</v>
      </c>
      <c r="E14" s="96" t="s">
        <v>23</v>
      </c>
      <c r="F14" s="96" t="s">
        <v>23</v>
      </c>
      <c r="G14" s="96" t="s">
        <v>23</v>
      </c>
      <c r="H14" s="96" t="s">
        <v>23</v>
      </c>
      <c r="I14" s="19">
        <v>4</v>
      </c>
      <c r="J14" s="112"/>
    </row>
    <row r="15" spans="1:10" s="91" customFormat="1" ht="22.5" customHeight="1" x14ac:dyDescent="0.3">
      <c r="A15" s="11">
        <v>8</v>
      </c>
      <c r="B15" s="73" t="s">
        <v>64</v>
      </c>
      <c r="C15" s="20">
        <v>30</v>
      </c>
      <c r="D15" s="76">
        <v>35</v>
      </c>
      <c r="E15" s="76">
        <v>1</v>
      </c>
      <c r="F15" s="76" t="s">
        <v>23</v>
      </c>
      <c r="G15" s="76" t="s">
        <v>23</v>
      </c>
      <c r="H15" s="76">
        <v>1</v>
      </c>
      <c r="I15" s="76">
        <v>34</v>
      </c>
      <c r="J15" s="121" t="s">
        <v>44</v>
      </c>
    </row>
    <row r="16" spans="1:10" s="79" customFormat="1" ht="21" customHeight="1" x14ac:dyDescent="0.3">
      <c r="A16" s="11">
        <v>9</v>
      </c>
      <c r="B16" s="73" t="s">
        <v>65</v>
      </c>
      <c r="C16" s="20">
        <v>6</v>
      </c>
      <c r="D16" s="76">
        <v>6</v>
      </c>
      <c r="E16" s="19" t="s">
        <v>23</v>
      </c>
      <c r="F16" s="19" t="s">
        <v>23</v>
      </c>
      <c r="G16" s="19" t="s">
        <v>23</v>
      </c>
      <c r="H16" s="19" t="s">
        <v>23</v>
      </c>
      <c r="I16" s="76">
        <v>6</v>
      </c>
      <c r="J16" s="9"/>
    </row>
    <row r="17" spans="1:10" s="78" customFormat="1" ht="21" customHeight="1" x14ac:dyDescent="0.3">
      <c r="A17" s="117">
        <v>10</v>
      </c>
      <c r="B17" s="73" t="s">
        <v>66</v>
      </c>
      <c r="C17" s="80">
        <v>1</v>
      </c>
      <c r="D17" s="76">
        <v>1</v>
      </c>
      <c r="E17" s="19" t="s">
        <v>23</v>
      </c>
      <c r="F17" s="19" t="s">
        <v>23</v>
      </c>
      <c r="G17" s="19" t="s">
        <v>23</v>
      </c>
      <c r="H17" s="19" t="s">
        <v>23</v>
      </c>
      <c r="I17" s="76">
        <v>1</v>
      </c>
      <c r="J17" s="9"/>
    </row>
    <row r="18" spans="1:10" s="78" customFormat="1" ht="21" customHeight="1" x14ac:dyDescent="0.3">
      <c r="A18" s="11">
        <v>11</v>
      </c>
      <c r="B18" s="73" t="s">
        <v>67</v>
      </c>
      <c r="C18" s="81">
        <v>1</v>
      </c>
      <c r="D18" s="19" t="s">
        <v>23</v>
      </c>
      <c r="E18" s="19" t="s">
        <v>23</v>
      </c>
      <c r="F18" s="19" t="s">
        <v>23</v>
      </c>
      <c r="G18" s="19" t="s">
        <v>23</v>
      </c>
      <c r="H18" s="19" t="s">
        <v>23</v>
      </c>
      <c r="I18" s="19" t="s">
        <v>23</v>
      </c>
      <c r="J18" s="9"/>
    </row>
    <row r="19" spans="1:10" s="4" customFormat="1" ht="18.75" customHeight="1" x14ac:dyDescent="0.3">
      <c r="A19" s="11">
        <v>12</v>
      </c>
      <c r="B19" s="21" t="s">
        <v>68</v>
      </c>
      <c r="C19" s="19">
        <v>6</v>
      </c>
      <c r="D19" s="19">
        <v>6</v>
      </c>
      <c r="E19" s="19" t="s">
        <v>23</v>
      </c>
      <c r="F19" s="19" t="s">
        <v>23</v>
      </c>
      <c r="G19" s="19" t="s">
        <v>23</v>
      </c>
      <c r="H19" s="19" t="s">
        <v>23</v>
      </c>
      <c r="I19" s="19">
        <v>6</v>
      </c>
      <c r="J19" s="111" t="s">
        <v>45</v>
      </c>
    </row>
    <row r="20" spans="1:10" s="78" customFormat="1" ht="21" customHeight="1" x14ac:dyDescent="0.3">
      <c r="A20" s="117">
        <v>13</v>
      </c>
      <c r="B20" s="74" t="s">
        <v>69</v>
      </c>
      <c r="C20" s="19">
        <v>1</v>
      </c>
      <c r="D20" s="77">
        <v>1</v>
      </c>
      <c r="E20" s="19" t="s">
        <v>23</v>
      </c>
      <c r="F20" s="19" t="s">
        <v>23</v>
      </c>
      <c r="G20" s="19" t="s">
        <v>23</v>
      </c>
      <c r="H20" s="19" t="s">
        <v>23</v>
      </c>
      <c r="I20" s="82">
        <v>1</v>
      </c>
      <c r="J20" s="83"/>
    </row>
    <row r="21" spans="1:10" s="84" customFormat="1" ht="31.5" customHeight="1" x14ac:dyDescent="0.3">
      <c r="A21" s="11">
        <v>14</v>
      </c>
      <c r="B21" s="27" t="s">
        <v>70</v>
      </c>
      <c r="C21" s="19">
        <v>1</v>
      </c>
      <c r="D21" s="76">
        <v>1</v>
      </c>
      <c r="E21" s="19" t="s">
        <v>23</v>
      </c>
      <c r="F21" s="19" t="s">
        <v>23</v>
      </c>
      <c r="G21" s="19" t="s">
        <v>23</v>
      </c>
      <c r="H21" s="19" t="s">
        <v>23</v>
      </c>
      <c r="I21" s="76">
        <v>1</v>
      </c>
      <c r="J21" s="57"/>
    </row>
    <row r="22" spans="1:10" s="84" customFormat="1" ht="21" customHeight="1" x14ac:dyDescent="0.3">
      <c r="A22" s="11">
        <v>15</v>
      </c>
      <c r="B22" s="73" t="s">
        <v>71</v>
      </c>
      <c r="C22" s="19">
        <v>3</v>
      </c>
      <c r="D22" s="76">
        <v>4</v>
      </c>
      <c r="E22" s="19" t="s">
        <v>23</v>
      </c>
      <c r="F22" s="19" t="s">
        <v>23</v>
      </c>
      <c r="G22" s="19" t="s">
        <v>23</v>
      </c>
      <c r="H22" s="19" t="s">
        <v>23</v>
      </c>
      <c r="I22" s="76">
        <v>4</v>
      </c>
      <c r="J22" s="21"/>
    </row>
    <row r="23" spans="1:10" s="84" customFormat="1" ht="21" customHeight="1" x14ac:dyDescent="0.3">
      <c r="A23" s="117">
        <v>16</v>
      </c>
      <c r="B23" s="73" t="s">
        <v>72</v>
      </c>
      <c r="C23" s="19">
        <v>4</v>
      </c>
      <c r="D23" s="76">
        <v>4</v>
      </c>
      <c r="E23" s="19" t="s">
        <v>23</v>
      </c>
      <c r="F23" s="19" t="s">
        <v>23</v>
      </c>
      <c r="G23" s="19" t="s">
        <v>23</v>
      </c>
      <c r="H23" s="19" t="s">
        <v>23</v>
      </c>
      <c r="I23" s="76">
        <v>4</v>
      </c>
      <c r="J23" s="21"/>
    </row>
    <row r="24" spans="1:10" s="78" customFormat="1" ht="15.6" x14ac:dyDescent="0.3">
      <c r="A24" s="11">
        <v>17</v>
      </c>
      <c r="B24" s="73" t="s">
        <v>73</v>
      </c>
      <c r="C24" s="20">
        <v>3</v>
      </c>
      <c r="D24" s="76">
        <v>4</v>
      </c>
      <c r="E24" s="19" t="s">
        <v>23</v>
      </c>
      <c r="F24" s="19" t="s">
        <v>23</v>
      </c>
      <c r="G24" s="19" t="s">
        <v>23</v>
      </c>
      <c r="H24" s="19" t="s">
        <v>23</v>
      </c>
      <c r="I24" s="76">
        <v>4</v>
      </c>
      <c r="J24" s="21"/>
    </row>
    <row r="25" spans="1:10" s="84" customFormat="1" ht="21" customHeight="1" x14ac:dyDescent="0.3">
      <c r="A25" s="11">
        <v>18</v>
      </c>
      <c r="B25" s="27" t="s">
        <v>74</v>
      </c>
      <c r="C25" s="20">
        <v>8</v>
      </c>
      <c r="D25" s="76">
        <v>7</v>
      </c>
      <c r="E25" s="19" t="s">
        <v>23</v>
      </c>
      <c r="F25" s="19" t="s">
        <v>23</v>
      </c>
      <c r="G25" s="19" t="s">
        <v>23</v>
      </c>
      <c r="H25" s="19" t="s">
        <v>23</v>
      </c>
      <c r="I25" s="76">
        <v>7</v>
      </c>
      <c r="J25" s="73"/>
    </row>
    <row r="26" spans="1:10" s="84" customFormat="1" ht="21" customHeight="1" x14ac:dyDescent="0.3">
      <c r="A26" s="117">
        <v>19</v>
      </c>
      <c r="B26" s="75" t="s">
        <v>75</v>
      </c>
      <c r="C26" s="20" t="s">
        <v>23</v>
      </c>
      <c r="D26" s="76">
        <v>2</v>
      </c>
      <c r="E26" s="19" t="s">
        <v>23</v>
      </c>
      <c r="F26" s="19" t="s">
        <v>23</v>
      </c>
      <c r="G26" s="19" t="s">
        <v>23</v>
      </c>
      <c r="H26" s="19" t="s">
        <v>23</v>
      </c>
      <c r="I26" s="76">
        <v>2</v>
      </c>
      <c r="J26" s="73"/>
    </row>
    <row r="27" spans="1:10" s="78" customFormat="1" ht="15.6" x14ac:dyDescent="0.3">
      <c r="A27" s="11">
        <v>20</v>
      </c>
      <c r="B27" s="21" t="s">
        <v>76</v>
      </c>
      <c r="C27" s="20" t="s">
        <v>23</v>
      </c>
      <c r="D27" s="76">
        <v>2</v>
      </c>
      <c r="E27" s="19" t="s">
        <v>23</v>
      </c>
      <c r="F27" s="19" t="s">
        <v>23</v>
      </c>
      <c r="G27" s="19" t="s">
        <v>23</v>
      </c>
      <c r="H27" s="19" t="s">
        <v>23</v>
      </c>
      <c r="I27" s="85">
        <v>2</v>
      </c>
      <c r="J27" s="72"/>
    </row>
    <row r="28" spans="1:10" s="84" customFormat="1" ht="21" customHeight="1" x14ac:dyDescent="0.3">
      <c r="A28" s="11">
        <v>21</v>
      </c>
      <c r="B28" s="73" t="s">
        <v>77</v>
      </c>
      <c r="C28" s="86">
        <v>1</v>
      </c>
      <c r="D28" s="76">
        <v>1</v>
      </c>
      <c r="E28" s="19" t="s">
        <v>23</v>
      </c>
      <c r="F28" s="19" t="s">
        <v>23</v>
      </c>
      <c r="G28" s="19" t="s">
        <v>23</v>
      </c>
      <c r="H28" s="19" t="s">
        <v>23</v>
      </c>
      <c r="I28" s="76">
        <v>1</v>
      </c>
      <c r="J28" s="73"/>
    </row>
    <row r="29" spans="1:10" s="13" customFormat="1" ht="21" customHeight="1" x14ac:dyDescent="0.3">
      <c r="A29" s="117">
        <v>22</v>
      </c>
      <c r="B29" s="12" t="s">
        <v>78</v>
      </c>
      <c r="C29" s="96" t="s">
        <v>23</v>
      </c>
      <c r="D29" s="19">
        <v>7</v>
      </c>
      <c r="E29" s="19"/>
      <c r="F29" s="19"/>
      <c r="G29" s="19"/>
      <c r="H29" s="19"/>
      <c r="I29" s="19">
        <v>7</v>
      </c>
      <c r="J29" s="10"/>
    </row>
  </sheetData>
  <mergeCells count="11">
    <mergeCell ref="A7:J7"/>
    <mergeCell ref="J4:J5"/>
    <mergeCell ref="F2:J2"/>
    <mergeCell ref="F1:J1"/>
    <mergeCell ref="A3:J3"/>
    <mergeCell ref="E4:H4"/>
    <mergeCell ref="A4:A5"/>
    <mergeCell ref="B4:B5"/>
    <mergeCell ref="C4:C5"/>
    <mergeCell ref="D4:D5"/>
    <mergeCell ref="I4:I5"/>
  </mergeCells>
  <phoneticPr fontId="22" type="noConversion"/>
  <printOptions horizontalCentered="1"/>
  <pageMargins left="0.19685039370078741" right="0.19685039370078741" top="0.19685039370078741" bottom="0.19685039370078741" header="0" footer="0"/>
  <pageSetup paperSize="9" scale="57"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
  <sheetViews>
    <sheetView view="pageBreakPreview" zoomScale="75" zoomScaleNormal="80" zoomScaleSheetLayoutView="75" workbookViewId="0">
      <pane ySplit="6" topLeftCell="A16" activePane="bottomLeft" state="frozen"/>
      <selection pane="bottomLeft" activeCell="A20" sqref="A20"/>
    </sheetView>
  </sheetViews>
  <sheetFormatPr defaultColWidth="9.109375" defaultRowHeight="15" x14ac:dyDescent="0.25"/>
  <cols>
    <col min="1" max="1" width="10.6640625" style="40" customWidth="1"/>
    <col min="2" max="2" width="48.33203125" style="17" customWidth="1"/>
    <col min="3" max="3" width="8.88671875" style="17" customWidth="1"/>
    <col min="4" max="4" width="6.33203125" style="22" bestFit="1" customWidth="1"/>
    <col min="5" max="5" width="7.6640625" style="17" bestFit="1" customWidth="1"/>
    <col min="6" max="6" width="4.6640625" style="17" bestFit="1" customWidth="1"/>
    <col min="7" max="7" width="5.109375" style="17" bestFit="1" customWidth="1"/>
    <col min="8" max="8" width="8.88671875" style="17" customWidth="1"/>
    <col min="9" max="9" width="6.33203125" style="17" bestFit="1" customWidth="1"/>
    <col min="10" max="10" width="69" style="17" customWidth="1"/>
    <col min="11" max="16384" width="9.109375" style="17"/>
  </cols>
  <sheetData>
    <row r="1" spans="1:14" ht="34.5" customHeight="1" x14ac:dyDescent="0.25">
      <c r="A1" s="28"/>
      <c r="B1" s="29"/>
      <c r="C1" s="30"/>
      <c r="D1" s="31"/>
      <c r="E1" s="30"/>
      <c r="F1" s="30"/>
      <c r="G1" s="30"/>
      <c r="H1" s="30"/>
      <c r="I1" s="30"/>
      <c r="J1" s="88" t="s">
        <v>34</v>
      </c>
    </row>
    <row r="2" spans="1:14" ht="34.5" customHeight="1" x14ac:dyDescent="0.25">
      <c r="A2" s="28"/>
      <c r="B2" s="29"/>
      <c r="C2" s="30"/>
      <c r="D2" s="31"/>
      <c r="E2" s="30"/>
      <c r="F2" s="30"/>
      <c r="G2" s="30"/>
      <c r="H2" s="30"/>
      <c r="I2" s="30"/>
      <c r="J2" s="68" t="s">
        <v>54</v>
      </c>
      <c r="K2" s="55"/>
      <c r="L2" s="55"/>
      <c r="M2" s="55"/>
      <c r="N2" s="55"/>
    </row>
    <row r="3" spans="1:14" ht="44.25" customHeight="1" x14ac:dyDescent="0.25">
      <c r="A3" s="149" t="s">
        <v>33</v>
      </c>
      <c r="B3" s="149"/>
      <c r="C3" s="149"/>
      <c r="D3" s="149"/>
      <c r="E3" s="149"/>
      <c r="F3" s="149"/>
      <c r="G3" s="149"/>
      <c r="H3" s="149"/>
      <c r="I3" s="149"/>
      <c r="J3" s="149"/>
    </row>
    <row r="4" spans="1:14" ht="38.25" customHeight="1" x14ac:dyDescent="0.25">
      <c r="A4" s="150" t="s">
        <v>3</v>
      </c>
      <c r="B4" s="150" t="s">
        <v>32</v>
      </c>
      <c r="C4" s="151" t="s">
        <v>31</v>
      </c>
      <c r="D4" s="150"/>
      <c r="E4" s="150" t="s">
        <v>30</v>
      </c>
      <c r="F4" s="150"/>
      <c r="G4" s="150"/>
      <c r="H4" s="152"/>
      <c r="I4" s="153" t="s">
        <v>29</v>
      </c>
      <c r="J4" s="150" t="s">
        <v>28</v>
      </c>
    </row>
    <row r="5" spans="1:14" ht="47.25" customHeight="1" x14ac:dyDescent="0.25">
      <c r="A5" s="150"/>
      <c r="B5" s="150"/>
      <c r="C5" s="32" t="s">
        <v>27</v>
      </c>
      <c r="D5" s="33" t="s">
        <v>26</v>
      </c>
      <c r="E5" s="19" t="s">
        <v>25</v>
      </c>
      <c r="F5" s="19" t="s">
        <v>1</v>
      </c>
      <c r="G5" s="19" t="s">
        <v>2</v>
      </c>
      <c r="H5" s="34" t="s">
        <v>24</v>
      </c>
      <c r="I5" s="154"/>
      <c r="J5" s="150"/>
    </row>
    <row r="6" spans="1:14" s="22" customFormat="1" ht="40.5" customHeight="1" x14ac:dyDescent="0.3">
      <c r="A6" s="19" t="s">
        <v>5</v>
      </c>
      <c r="B6" s="19" t="s">
        <v>6</v>
      </c>
      <c r="C6" s="32" t="s">
        <v>7</v>
      </c>
      <c r="D6" s="33" t="s">
        <v>8</v>
      </c>
      <c r="E6" s="19" t="s">
        <v>20</v>
      </c>
      <c r="F6" s="19" t="s">
        <v>9</v>
      </c>
      <c r="G6" s="19" t="s">
        <v>21</v>
      </c>
      <c r="H6" s="35" t="s">
        <v>10</v>
      </c>
      <c r="I6" s="19" t="s">
        <v>11</v>
      </c>
      <c r="J6" s="19" t="s">
        <v>22</v>
      </c>
    </row>
    <row r="7" spans="1:14" s="100" customFormat="1" ht="28.5" customHeight="1" x14ac:dyDescent="0.3">
      <c r="A7" s="24">
        <v>1</v>
      </c>
      <c r="B7" s="99" t="s">
        <v>79</v>
      </c>
      <c r="C7" s="36">
        <v>6</v>
      </c>
      <c r="D7" s="37">
        <v>4</v>
      </c>
      <c r="E7" s="37" t="s">
        <v>23</v>
      </c>
      <c r="F7" s="37" t="s">
        <v>23</v>
      </c>
      <c r="G7" s="37"/>
      <c r="H7" s="37" t="s">
        <v>23</v>
      </c>
      <c r="I7" s="37">
        <v>4</v>
      </c>
      <c r="J7" s="38"/>
    </row>
    <row r="8" spans="1:14" s="100" customFormat="1" ht="41.25" customHeight="1" x14ac:dyDescent="0.3">
      <c r="A8" s="24">
        <v>2</v>
      </c>
      <c r="B8" s="101" t="s">
        <v>80</v>
      </c>
      <c r="C8" s="36">
        <v>1</v>
      </c>
      <c r="D8" s="36">
        <v>2</v>
      </c>
      <c r="E8" s="24" t="s">
        <v>23</v>
      </c>
      <c r="F8" s="24" t="s">
        <v>23</v>
      </c>
      <c r="G8" s="24" t="s">
        <v>23</v>
      </c>
      <c r="H8" s="24" t="s">
        <v>23</v>
      </c>
      <c r="I8" s="36">
        <v>2</v>
      </c>
      <c r="J8" s="102"/>
    </row>
    <row r="9" spans="1:14" s="104" customFormat="1" ht="32.25" customHeight="1" x14ac:dyDescent="0.3">
      <c r="A9" s="24">
        <v>3</v>
      </c>
      <c r="B9" s="54" t="s">
        <v>81</v>
      </c>
      <c r="C9" s="66">
        <v>1</v>
      </c>
      <c r="D9" s="67">
        <v>1</v>
      </c>
      <c r="E9" s="67">
        <f>-F9</f>
        <v>0</v>
      </c>
      <c r="F9" s="67">
        <v>0</v>
      </c>
      <c r="G9" s="67">
        <v>0</v>
      </c>
      <c r="H9" s="67">
        <v>0</v>
      </c>
      <c r="I9" s="67">
        <v>1</v>
      </c>
      <c r="J9" s="103"/>
    </row>
    <row r="10" spans="1:14" s="104" customFormat="1" ht="32.25" customHeight="1" x14ac:dyDescent="0.3">
      <c r="A10" s="24">
        <v>4</v>
      </c>
      <c r="B10" s="33" t="s">
        <v>82</v>
      </c>
      <c r="C10" s="66">
        <v>1</v>
      </c>
      <c r="D10" s="67">
        <v>1</v>
      </c>
      <c r="E10" s="67">
        <v>0</v>
      </c>
      <c r="F10" s="67">
        <v>0</v>
      </c>
      <c r="G10" s="67">
        <v>0</v>
      </c>
      <c r="H10" s="67">
        <v>0</v>
      </c>
      <c r="I10" s="67">
        <v>1</v>
      </c>
      <c r="J10" s="103"/>
    </row>
    <row r="11" spans="1:14" s="104" customFormat="1" ht="31.5" customHeight="1" x14ac:dyDescent="0.3">
      <c r="A11" s="24">
        <v>5</v>
      </c>
      <c r="B11" s="33" t="s">
        <v>83</v>
      </c>
      <c r="C11" s="66">
        <v>1</v>
      </c>
      <c r="D11" s="67">
        <v>2</v>
      </c>
      <c r="E11" s="67"/>
      <c r="F11" s="67"/>
      <c r="G11" s="67"/>
      <c r="H11" s="67"/>
      <c r="I11" s="67">
        <v>2</v>
      </c>
      <c r="J11" s="103"/>
    </row>
    <row r="12" spans="1:14" s="104" customFormat="1" ht="31.5" customHeight="1" x14ac:dyDescent="0.3">
      <c r="A12" s="24">
        <v>6</v>
      </c>
      <c r="B12" s="33" t="s">
        <v>84</v>
      </c>
      <c r="C12" s="66">
        <v>37</v>
      </c>
      <c r="D12" s="67">
        <v>38</v>
      </c>
      <c r="E12" s="67"/>
      <c r="F12" s="67"/>
      <c r="G12" s="67"/>
      <c r="H12" s="67"/>
      <c r="I12" s="67">
        <v>38</v>
      </c>
      <c r="J12" s="103"/>
    </row>
    <row r="13" spans="1:14" s="104" customFormat="1" ht="31.5" customHeight="1" x14ac:dyDescent="0.3">
      <c r="A13" s="24">
        <v>7</v>
      </c>
      <c r="B13" s="33" t="s">
        <v>85</v>
      </c>
      <c r="C13" s="66">
        <v>6</v>
      </c>
      <c r="D13" s="67">
        <v>6</v>
      </c>
      <c r="E13" s="67"/>
      <c r="F13" s="67"/>
      <c r="G13" s="67"/>
      <c r="H13" s="67"/>
      <c r="I13" s="67">
        <v>6</v>
      </c>
      <c r="J13" s="103"/>
    </row>
    <row r="14" spans="1:14" s="22" customFormat="1" ht="27" customHeight="1" x14ac:dyDescent="0.3">
      <c r="A14" s="24">
        <v>8</v>
      </c>
      <c r="B14" s="98" t="s">
        <v>86</v>
      </c>
      <c r="C14" s="106" t="s">
        <v>23</v>
      </c>
      <c r="D14" s="106">
        <v>14</v>
      </c>
      <c r="E14" s="106" t="s">
        <v>23</v>
      </c>
      <c r="F14" s="106" t="s">
        <v>23</v>
      </c>
      <c r="G14" s="106" t="s">
        <v>23</v>
      </c>
      <c r="H14" s="106" t="s">
        <v>23</v>
      </c>
      <c r="I14" s="106">
        <v>14</v>
      </c>
      <c r="J14" s="98"/>
    </row>
    <row r="15" spans="1:14" s="22" customFormat="1" ht="66.75" customHeight="1" x14ac:dyDescent="0.3">
      <c r="A15" s="147">
        <v>9</v>
      </c>
      <c r="B15" s="155" t="s">
        <v>87</v>
      </c>
      <c r="C15" s="147">
        <v>18</v>
      </c>
      <c r="D15" s="145">
        <v>11</v>
      </c>
      <c r="E15" s="145">
        <v>2</v>
      </c>
      <c r="F15" s="145">
        <v>2</v>
      </c>
      <c r="G15" s="145" t="s">
        <v>23</v>
      </c>
      <c r="H15" s="145">
        <v>4</v>
      </c>
      <c r="I15" s="145">
        <v>7</v>
      </c>
      <c r="J15" s="143" t="s">
        <v>52</v>
      </c>
    </row>
    <row r="16" spans="1:14" s="100" customFormat="1" ht="205.5" customHeight="1" x14ac:dyDescent="0.3">
      <c r="A16" s="148"/>
      <c r="B16" s="156"/>
      <c r="C16" s="157"/>
      <c r="D16" s="146"/>
      <c r="E16" s="146"/>
      <c r="F16" s="146"/>
      <c r="G16" s="146"/>
      <c r="H16" s="146"/>
      <c r="I16" s="146"/>
      <c r="J16" s="144"/>
    </row>
    <row r="17" spans="1:10" s="100" customFormat="1" ht="64.5" customHeight="1" x14ac:dyDescent="0.3">
      <c r="A17" s="147">
        <v>10</v>
      </c>
      <c r="B17" s="147" t="s">
        <v>88</v>
      </c>
      <c r="C17" s="157"/>
      <c r="D17" s="145">
        <v>7</v>
      </c>
      <c r="E17" s="145">
        <v>1</v>
      </c>
      <c r="F17" s="145">
        <v>1</v>
      </c>
      <c r="G17" s="145" t="s">
        <v>23</v>
      </c>
      <c r="H17" s="145">
        <v>2</v>
      </c>
      <c r="I17" s="145">
        <v>5</v>
      </c>
      <c r="J17" s="98" t="s">
        <v>43</v>
      </c>
    </row>
    <row r="18" spans="1:10" s="100" customFormat="1" ht="100.5" customHeight="1" x14ac:dyDescent="0.3">
      <c r="A18" s="148"/>
      <c r="B18" s="148"/>
      <c r="C18" s="148"/>
      <c r="D18" s="146"/>
      <c r="E18" s="146"/>
      <c r="F18" s="146"/>
      <c r="G18" s="146"/>
      <c r="H18" s="146"/>
      <c r="I18" s="146"/>
      <c r="J18" s="98" t="s">
        <v>47</v>
      </c>
    </row>
    <row r="19" spans="1:10" s="104" customFormat="1" ht="33.75" customHeight="1" x14ac:dyDescent="0.3">
      <c r="A19" s="36">
        <v>11</v>
      </c>
      <c r="B19" s="33" t="s">
        <v>89</v>
      </c>
      <c r="C19" s="147">
        <v>39</v>
      </c>
      <c r="D19" s="66">
        <v>2</v>
      </c>
      <c r="E19" s="66" t="s">
        <v>23</v>
      </c>
      <c r="F19" s="66" t="s">
        <v>23</v>
      </c>
      <c r="G19" s="66" t="s">
        <v>23</v>
      </c>
      <c r="H19" s="66" t="s">
        <v>23</v>
      </c>
      <c r="I19" s="66">
        <v>2</v>
      </c>
      <c r="J19" s="103"/>
    </row>
    <row r="20" spans="1:10" s="104" customFormat="1" ht="37.5" customHeight="1" x14ac:dyDescent="0.3">
      <c r="A20" s="36">
        <v>12</v>
      </c>
      <c r="B20" s="33" t="s">
        <v>90</v>
      </c>
      <c r="C20" s="148"/>
      <c r="D20" s="66">
        <v>10</v>
      </c>
      <c r="E20" s="66" t="s">
        <v>23</v>
      </c>
      <c r="F20" s="66" t="s">
        <v>23</v>
      </c>
      <c r="G20" s="66" t="s">
        <v>23</v>
      </c>
      <c r="H20" s="66" t="s">
        <v>23</v>
      </c>
      <c r="I20" s="66">
        <v>10</v>
      </c>
      <c r="J20" s="103"/>
    </row>
  </sheetData>
  <mergeCells count="26">
    <mergeCell ref="G17:G18"/>
    <mergeCell ref="H17:H18"/>
    <mergeCell ref="A17:A18"/>
    <mergeCell ref="B17:B18"/>
    <mergeCell ref="F15:F16"/>
    <mergeCell ref="E15:E16"/>
    <mergeCell ref="C15:C18"/>
    <mergeCell ref="D17:D18"/>
    <mergeCell ref="E17:E18"/>
    <mergeCell ref="F17:F18"/>
    <mergeCell ref="J15:J16"/>
    <mergeCell ref="I17:I18"/>
    <mergeCell ref="C19:C20"/>
    <mergeCell ref="A3:J3"/>
    <mergeCell ref="A4:A5"/>
    <mergeCell ref="B4:B5"/>
    <mergeCell ref="C4:D4"/>
    <mergeCell ref="E4:H4"/>
    <mergeCell ref="J4:J5"/>
    <mergeCell ref="I4:I5"/>
    <mergeCell ref="D15:D16"/>
    <mergeCell ref="A15:A16"/>
    <mergeCell ref="B15:B16"/>
    <mergeCell ref="I15:I16"/>
    <mergeCell ref="H15:H16"/>
    <mergeCell ref="G15:G16"/>
  </mergeCells>
  <pageMargins left="0.70866141732283472" right="0.70866141732283472" top="0.74803149606299213" bottom="0.74803149606299213" header="0.31496062992125984" footer="0.31496062992125984"/>
  <pageSetup paperSize="9" scale="42" fitToHeight="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9"/>
  <sheetViews>
    <sheetView view="pageBreakPreview" zoomScale="55" zoomScaleNormal="80" zoomScaleSheetLayoutView="55" workbookViewId="0">
      <pane ySplit="6" topLeftCell="A7" activePane="bottomLeft" state="frozen"/>
      <selection pane="bottomLeft" activeCell="A7" sqref="A7:A9"/>
    </sheetView>
  </sheetViews>
  <sheetFormatPr defaultColWidth="9.109375" defaultRowHeight="15" x14ac:dyDescent="0.25"/>
  <cols>
    <col min="1" max="1" width="10.6640625" style="40" customWidth="1"/>
    <col min="2" max="2" width="34.33203125" style="17" bestFit="1" customWidth="1"/>
    <col min="3" max="3" width="12.109375" style="17" customWidth="1"/>
    <col min="4" max="4" width="9.88671875" style="22" customWidth="1"/>
    <col min="5" max="5" width="13.33203125" style="17" customWidth="1"/>
    <col min="6" max="6" width="9.6640625" style="17" customWidth="1"/>
    <col min="7" max="7" width="10.5546875" style="17" customWidth="1"/>
    <col min="8" max="8" width="15.5546875" style="17" customWidth="1"/>
    <col min="9" max="9" width="13.33203125" style="17" customWidth="1"/>
    <col min="10" max="10" width="82.109375" style="17" customWidth="1"/>
    <col min="11" max="16384" width="9.109375" style="17"/>
  </cols>
  <sheetData>
    <row r="1" spans="1:20" s="46" customFormat="1" ht="34.5" customHeight="1" x14ac:dyDescent="0.3">
      <c r="A1" s="42"/>
      <c r="B1" s="43"/>
      <c r="C1" s="44"/>
      <c r="D1" s="45"/>
      <c r="E1" s="44"/>
      <c r="F1" s="44"/>
      <c r="G1" s="44"/>
      <c r="H1" s="44"/>
      <c r="I1" s="44"/>
      <c r="J1" s="90" t="s">
        <v>36</v>
      </c>
    </row>
    <row r="2" spans="1:20" s="46" customFormat="1" ht="34.5" customHeight="1" x14ac:dyDescent="0.3">
      <c r="A2" s="42"/>
      <c r="B2" s="43"/>
      <c r="C2" s="44"/>
      <c r="D2" s="45"/>
      <c r="E2" s="44"/>
      <c r="F2" s="44"/>
      <c r="G2" s="44"/>
      <c r="H2" s="44"/>
      <c r="I2" s="44"/>
      <c r="J2" s="70" t="s">
        <v>55</v>
      </c>
      <c r="K2" s="70"/>
      <c r="L2" s="70"/>
      <c r="M2" s="70"/>
      <c r="N2" s="70"/>
    </row>
    <row r="3" spans="1:20" s="46" customFormat="1" ht="44.25" customHeight="1" x14ac:dyDescent="0.3">
      <c r="A3" s="172" t="s">
        <v>35</v>
      </c>
      <c r="B3" s="172"/>
      <c r="C3" s="172"/>
      <c r="D3" s="172"/>
      <c r="E3" s="172"/>
      <c r="F3" s="172"/>
      <c r="G3" s="172"/>
      <c r="H3" s="172"/>
      <c r="I3" s="172"/>
      <c r="J3" s="172"/>
      <c r="K3" s="51"/>
      <c r="L3" s="51"/>
      <c r="M3" s="51"/>
      <c r="N3" s="51"/>
      <c r="O3" s="51"/>
      <c r="P3" s="51"/>
      <c r="Q3" s="51"/>
      <c r="R3" s="51"/>
      <c r="S3" s="51"/>
      <c r="T3" s="51"/>
    </row>
    <row r="4" spans="1:20" s="46" customFormat="1" ht="50.25" customHeight="1" x14ac:dyDescent="0.3">
      <c r="A4" s="122" t="s">
        <v>3</v>
      </c>
      <c r="B4" s="122" t="s">
        <v>32</v>
      </c>
      <c r="C4" s="123" t="s">
        <v>31</v>
      </c>
      <c r="D4" s="122"/>
      <c r="E4" s="122" t="s">
        <v>30</v>
      </c>
      <c r="F4" s="122"/>
      <c r="G4" s="122"/>
      <c r="H4" s="124"/>
      <c r="I4" s="125" t="s">
        <v>29</v>
      </c>
      <c r="J4" s="122" t="s">
        <v>28</v>
      </c>
    </row>
    <row r="5" spans="1:20" s="46" customFormat="1" ht="55.5" customHeight="1" x14ac:dyDescent="0.3">
      <c r="A5" s="122"/>
      <c r="B5" s="122"/>
      <c r="C5" s="47" t="s">
        <v>27</v>
      </c>
      <c r="D5" s="48" t="s">
        <v>26</v>
      </c>
      <c r="E5" s="49" t="s">
        <v>25</v>
      </c>
      <c r="F5" s="49" t="s">
        <v>1</v>
      </c>
      <c r="G5" s="49" t="s">
        <v>2</v>
      </c>
      <c r="H5" s="50" t="s">
        <v>24</v>
      </c>
      <c r="I5" s="126"/>
      <c r="J5" s="122"/>
    </row>
    <row r="6" spans="1:20" s="18" customFormat="1" ht="40.5" customHeight="1" x14ac:dyDescent="0.3">
      <c r="A6" s="19" t="s">
        <v>5</v>
      </c>
      <c r="B6" s="19" t="s">
        <v>6</v>
      </c>
      <c r="C6" s="32" t="s">
        <v>7</v>
      </c>
      <c r="D6" s="66" t="s">
        <v>8</v>
      </c>
      <c r="E6" s="19" t="s">
        <v>20</v>
      </c>
      <c r="F6" s="19" t="s">
        <v>9</v>
      </c>
      <c r="G6" s="19" t="s">
        <v>21</v>
      </c>
      <c r="H6" s="35" t="s">
        <v>10</v>
      </c>
      <c r="I6" s="19" t="s">
        <v>11</v>
      </c>
      <c r="J6" s="19" t="s">
        <v>22</v>
      </c>
    </row>
    <row r="7" spans="1:20" s="39" customFormat="1" ht="283.5" customHeight="1" x14ac:dyDescent="0.3">
      <c r="A7" s="169">
        <v>1</v>
      </c>
      <c r="B7" s="166" t="s">
        <v>91</v>
      </c>
      <c r="C7" s="163">
        <v>36</v>
      </c>
      <c r="D7" s="163">
        <v>36</v>
      </c>
      <c r="E7" s="158">
        <v>2</v>
      </c>
      <c r="F7" s="158" t="s">
        <v>23</v>
      </c>
      <c r="G7" s="158" t="s">
        <v>23</v>
      </c>
      <c r="H7" s="158">
        <v>2</v>
      </c>
      <c r="I7" s="158">
        <v>34</v>
      </c>
      <c r="J7" s="161" t="s">
        <v>50</v>
      </c>
    </row>
    <row r="8" spans="1:20" s="39" customFormat="1" ht="14.25" customHeight="1" x14ac:dyDescent="0.3">
      <c r="A8" s="170"/>
      <c r="B8" s="167"/>
      <c r="C8" s="164"/>
      <c r="D8" s="164"/>
      <c r="E8" s="159"/>
      <c r="F8" s="159"/>
      <c r="G8" s="159"/>
      <c r="H8" s="159"/>
      <c r="I8" s="159"/>
      <c r="J8" s="162"/>
    </row>
    <row r="9" spans="1:20" s="39" customFormat="1" ht="259.5" customHeight="1" x14ac:dyDescent="0.3">
      <c r="A9" s="171"/>
      <c r="B9" s="168"/>
      <c r="C9" s="165"/>
      <c r="D9" s="165"/>
      <c r="E9" s="160"/>
      <c r="F9" s="160"/>
      <c r="G9" s="160"/>
      <c r="H9" s="160"/>
      <c r="I9" s="160"/>
      <c r="J9" s="162"/>
    </row>
  </sheetData>
  <mergeCells count="17">
    <mergeCell ref="A3:J3"/>
    <mergeCell ref="A4:A5"/>
    <mergeCell ref="B4:B5"/>
    <mergeCell ref="C4:D4"/>
    <mergeCell ref="E4:H4"/>
    <mergeCell ref="I4:I5"/>
    <mergeCell ref="J4:J5"/>
    <mergeCell ref="C7:C9"/>
    <mergeCell ref="B7:B9"/>
    <mergeCell ref="A7:A9"/>
    <mergeCell ref="I7:I9"/>
    <mergeCell ref="H7:H9"/>
    <mergeCell ref="G7:G9"/>
    <mergeCell ref="F7:F9"/>
    <mergeCell ref="J7:J9"/>
    <mergeCell ref="E7:E9"/>
    <mergeCell ref="D7:D9"/>
  </mergeCells>
  <dataValidations count="1">
    <dataValidation type="whole" allowBlank="1" showInputMessage="1" showErrorMessage="1" sqref="C7:D7" xr:uid="{00000000-0002-0000-0300-000000000000}">
      <formula1>0</formula1>
      <formula2>50000</formula2>
    </dataValidation>
  </dataValidations>
  <pageMargins left="0.70866141732283472" right="0.70866141732283472" top="0.74803149606299213" bottom="0.74803149606299213" header="0.31496062992125984" footer="0.31496062992125984"/>
  <pageSetup paperSize="9" scale="31" fitToHeight="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8"/>
  <sheetViews>
    <sheetView view="pageBreakPreview" zoomScale="68" zoomScaleNormal="80" zoomScaleSheetLayoutView="68" workbookViewId="0">
      <pane ySplit="4" topLeftCell="A5" activePane="bottomLeft" state="frozen"/>
      <selection pane="bottomLeft" sqref="A1:XFD1"/>
    </sheetView>
  </sheetViews>
  <sheetFormatPr defaultColWidth="9.109375" defaultRowHeight="15" x14ac:dyDescent="0.25"/>
  <cols>
    <col min="1" max="1" width="9.88671875" style="40" customWidth="1"/>
    <col min="2" max="2" width="50" style="17" bestFit="1" customWidth="1"/>
    <col min="3" max="3" width="12.109375" style="17" customWidth="1"/>
    <col min="4" max="4" width="8.33203125" style="22" customWidth="1"/>
    <col min="5" max="5" width="11.44140625" style="17" customWidth="1"/>
    <col min="6" max="6" width="5.44140625" style="17" bestFit="1" customWidth="1"/>
    <col min="7" max="7" width="5.5546875" style="17" bestFit="1" customWidth="1"/>
    <col min="8" max="8" width="9" style="17" bestFit="1" customWidth="1"/>
    <col min="9" max="9" width="9.109375" style="17" customWidth="1"/>
    <col min="10" max="10" width="57.88671875" style="17" customWidth="1"/>
    <col min="11" max="16384" width="9.109375" style="17"/>
  </cols>
  <sheetData>
    <row r="1" spans="1:20" s="46" customFormat="1" ht="30" customHeight="1" x14ac:dyDescent="0.3">
      <c r="A1" s="127" t="s">
        <v>37</v>
      </c>
      <c r="B1" s="127"/>
      <c r="C1" s="127"/>
      <c r="D1" s="127"/>
      <c r="E1" s="127"/>
      <c r="F1" s="127"/>
      <c r="G1" s="127"/>
      <c r="H1" s="127"/>
      <c r="I1" s="127"/>
      <c r="J1" s="127"/>
      <c r="K1" s="53"/>
      <c r="L1" s="53"/>
      <c r="M1" s="53"/>
      <c r="N1" s="53"/>
      <c r="O1" s="53"/>
      <c r="P1" s="53"/>
      <c r="Q1" s="53"/>
      <c r="R1" s="51"/>
      <c r="S1" s="51"/>
      <c r="T1" s="51"/>
    </row>
    <row r="2" spans="1:20" s="46" customFormat="1" ht="50.25" customHeight="1" x14ac:dyDescent="0.3">
      <c r="A2" s="122" t="s">
        <v>3</v>
      </c>
      <c r="B2" s="122" t="s">
        <v>32</v>
      </c>
      <c r="C2" s="123" t="s">
        <v>31</v>
      </c>
      <c r="D2" s="122"/>
      <c r="E2" s="122" t="s">
        <v>30</v>
      </c>
      <c r="F2" s="122"/>
      <c r="G2" s="122"/>
      <c r="H2" s="124"/>
      <c r="I2" s="125" t="s">
        <v>29</v>
      </c>
      <c r="J2" s="122" t="s">
        <v>28</v>
      </c>
    </row>
    <row r="3" spans="1:20" s="46" customFormat="1" ht="53.25" customHeight="1" x14ac:dyDescent="0.3">
      <c r="A3" s="122"/>
      <c r="B3" s="122"/>
      <c r="C3" s="47" t="s">
        <v>27</v>
      </c>
      <c r="D3" s="48" t="s">
        <v>26</v>
      </c>
      <c r="E3" s="49" t="s">
        <v>25</v>
      </c>
      <c r="F3" s="49" t="s">
        <v>1</v>
      </c>
      <c r="G3" s="49" t="s">
        <v>2</v>
      </c>
      <c r="H3" s="50" t="s">
        <v>24</v>
      </c>
      <c r="I3" s="126"/>
      <c r="J3" s="122"/>
    </row>
    <row r="4" spans="1:20" ht="40.5" customHeight="1" x14ac:dyDescent="0.25">
      <c r="A4" s="19" t="s">
        <v>5</v>
      </c>
      <c r="B4" s="19" t="s">
        <v>6</v>
      </c>
      <c r="C4" s="32" t="s">
        <v>7</v>
      </c>
      <c r="D4" s="33" t="s">
        <v>8</v>
      </c>
      <c r="E4" s="19" t="s">
        <v>20</v>
      </c>
      <c r="F4" s="19" t="s">
        <v>9</v>
      </c>
      <c r="G4" s="19" t="s">
        <v>21</v>
      </c>
      <c r="H4" s="35" t="s">
        <v>10</v>
      </c>
      <c r="I4" s="19" t="s">
        <v>11</v>
      </c>
      <c r="J4" s="19" t="s">
        <v>22</v>
      </c>
    </row>
    <row r="5" spans="1:20" s="22" customFormat="1" ht="29.25" customHeight="1" x14ac:dyDescent="0.3">
      <c r="A5" s="15">
        <v>1</v>
      </c>
      <c r="B5" s="57" t="s">
        <v>92</v>
      </c>
      <c r="C5" s="107">
        <v>461</v>
      </c>
      <c r="D5" s="107">
        <v>461</v>
      </c>
      <c r="E5" s="106" t="s">
        <v>23</v>
      </c>
      <c r="F5" s="106" t="s">
        <v>23</v>
      </c>
      <c r="G5" s="106">
        <v>1</v>
      </c>
      <c r="H5" s="106">
        <v>1</v>
      </c>
      <c r="I5" s="107">
        <v>460</v>
      </c>
      <c r="J5" s="23" t="s">
        <v>48</v>
      </c>
    </row>
    <row r="6" spans="1:20" s="105" customFormat="1" ht="30.75" customHeight="1" x14ac:dyDescent="0.3">
      <c r="A6" s="15">
        <v>2</v>
      </c>
      <c r="B6" s="21" t="s">
        <v>93</v>
      </c>
      <c r="C6" s="107">
        <v>302</v>
      </c>
      <c r="D6" s="107">
        <v>293</v>
      </c>
      <c r="E6" s="106" t="s">
        <v>23</v>
      </c>
      <c r="F6" s="106" t="s">
        <v>23</v>
      </c>
      <c r="G6" s="106">
        <v>4</v>
      </c>
      <c r="H6" s="106">
        <v>4</v>
      </c>
      <c r="I6" s="107">
        <v>289</v>
      </c>
      <c r="J6" s="113" t="s">
        <v>46</v>
      </c>
    </row>
    <row r="7" spans="1:20" ht="21.75" customHeight="1" x14ac:dyDescent="0.25">
      <c r="A7" s="26">
        <v>3</v>
      </c>
      <c r="B7" s="52" t="s">
        <v>95</v>
      </c>
      <c r="C7" s="107">
        <v>49</v>
      </c>
      <c r="D7" s="107">
        <v>20</v>
      </c>
      <c r="E7" s="106" t="s">
        <v>23</v>
      </c>
      <c r="F7" s="106" t="s">
        <v>23</v>
      </c>
      <c r="G7" s="106" t="s">
        <v>23</v>
      </c>
      <c r="H7" s="106" t="s">
        <v>23</v>
      </c>
      <c r="I7" s="107">
        <v>20</v>
      </c>
      <c r="J7" s="114"/>
    </row>
    <row r="8" spans="1:20" ht="21.75" customHeight="1" x14ac:dyDescent="0.25">
      <c r="A8" s="26">
        <v>4</v>
      </c>
      <c r="B8" s="52" t="s">
        <v>96</v>
      </c>
      <c r="C8" s="107"/>
      <c r="D8" s="107">
        <v>17</v>
      </c>
      <c r="E8" s="106" t="s">
        <v>23</v>
      </c>
      <c r="F8" s="106" t="s">
        <v>23</v>
      </c>
      <c r="G8" s="106">
        <v>1</v>
      </c>
      <c r="H8" s="106" t="s">
        <v>23</v>
      </c>
      <c r="I8" s="107">
        <v>16</v>
      </c>
      <c r="J8" s="115" t="s">
        <v>39</v>
      </c>
    </row>
  </sheetData>
  <mergeCells count="7">
    <mergeCell ref="A1:J1"/>
    <mergeCell ref="A2:A3"/>
    <mergeCell ref="B2:B3"/>
    <mergeCell ref="C2:D2"/>
    <mergeCell ref="E2:H2"/>
    <mergeCell ref="I2:I3"/>
    <mergeCell ref="J2:J3"/>
  </mergeCells>
  <dataValidations xWindow="194" yWindow="716" count="2">
    <dataValidation type="whole" allowBlank="1" showInputMessage="1" showErrorMessage="1" sqref="I5:I8 C5:D8" xr:uid="{00000000-0002-0000-0400-000000000000}">
      <formula1>0</formula1>
      <formula2>50000</formula2>
    </dataValidation>
    <dataValidation allowBlank="1" showInputMessage="1" showErrorMessage="1" promptTitle="FORMULA USED" prompt="Don't Ammend Here" sqref="B5:B8" xr:uid="{00000000-0002-0000-0400-000001000000}"/>
  </dataValidations>
  <pageMargins left="0.70866141732283472" right="0.70866141732283472" top="0.74803149606299213" bottom="0.74803149606299213" header="0.31496062992125984" footer="0.31496062992125984"/>
  <pageSetup paperSize="9" scale="48" fitToHeight="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S15"/>
  <sheetViews>
    <sheetView tabSelected="1" view="pageBreakPreview" zoomScale="71" zoomScaleSheetLayoutView="71" workbookViewId="0">
      <pane xSplit="10" ySplit="4" topLeftCell="BG5" activePane="bottomRight" state="frozen"/>
      <selection pane="topRight" activeCell="L1" sqref="L1"/>
      <selection pane="bottomLeft" activeCell="A11" sqref="A11"/>
      <selection pane="bottomRight" sqref="A1:XFD1"/>
    </sheetView>
  </sheetViews>
  <sheetFormatPr defaultColWidth="9.109375" defaultRowHeight="14.4" x14ac:dyDescent="0.3"/>
  <cols>
    <col min="1" max="1" width="7.44140625" style="58" customWidth="1"/>
    <col min="2" max="2" width="48.5546875" style="58" customWidth="1"/>
    <col min="3" max="3" width="7.44140625" style="58" bestFit="1" customWidth="1"/>
    <col min="4" max="4" width="10.5546875" style="58" customWidth="1"/>
    <col min="5" max="5" width="13.109375" style="58" customWidth="1"/>
    <col min="6" max="6" width="6.44140625" style="58" customWidth="1"/>
    <col min="7" max="7" width="12.6640625" style="58" customWidth="1"/>
    <col min="8" max="8" width="14.88671875" style="58" customWidth="1"/>
    <col min="9" max="9" width="12.44140625" style="58" bestFit="1" customWidth="1"/>
    <col min="10" max="10" width="56.88671875" style="58" customWidth="1"/>
    <col min="11" max="16384" width="9.109375" style="58"/>
  </cols>
  <sheetData>
    <row r="1" spans="1:71" ht="39" customHeight="1" x14ac:dyDescent="0.3">
      <c r="A1" s="127" t="s">
        <v>38</v>
      </c>
      <c r="B1" s="127"/>
      <c r="C1" s="127"/>
      <c r="D1" s="127"/>
      <c r="E1" s="127"/>
      <c r="F1" s="127"/>
      <c r="G1" s="127"/>
      <c r="H1" s="127"/>
      <c r="I1" s="127"/>
      <c r="J1" s="127"/>
      <c r="K1" s="53"/>
      <c r="L1" s="53"/>
      <c r="M1" s="53"/>
      <c r="N1" s="53"/>
      <c r="O1" s="53"/>
      <c r="P1" s="53"/>
    </row>
    <row r="2" spans="1:71" s="46" customFormat="1" ht="39" customHeight="1" x14ac:dyDescent="0.3">
      <c r="A2" s="122" t="s">
        <v>3</v>
      </c>
      <c r="B2" s="122" t="s">
        <v>32</v>
      </c>
      <c r="C2" s="123" t="s">
        <v>31</v>
      </c>
      <c r="D2" s="122"/>
      <c r="E2" s="122" t="s">
        <v>30</v>
      </c>
      <c r="F2" s="122"/>
      <c r="G2" s="122"/>
      <c r="H2" s="124"/>
      <c r="I2" s="125" t="s">
        <v>29</v>
      </c>
      <c r="J2" s="122" t="s">
        <v>28</v>
      </c>
    </row>
    <row r="3" spans="1:71" s="46" customFormat="1" ht="51.75" customHeight="1" x14ac:dyDescent="0.3">
      <c r="A3" s="122"/>
      <c r="B3" s="122"/>
      <c r="C3" s="47" t="s">
        <v>27</v>
      </c>
      <c r="D3" s="69" t="s">
        <v>26</v>
      </c>
      <c r="E3" s="49" t="s">
        <v>25</v>
      </c>
      <c r="F3" s="49" t="s">
        <v>1</v>
      </c>
      <c r="G3" s="49" t="s">
        <v>2</v>
      </c>
      <c r="H3" s="50" t="s">
        <v>24</v>
      </c>
      <c r="I3" s="126"/>
      <c r="J3" s="122"/>
    </row>
    <row r="4" spans="1:71" s="17" customFormat="1" ht="29.25" customHeight="1" x14ac:dyDescent="0.25">
      <c r="A4" s="19" t="s">
        <v>5</v>
      </c>
      <c r="B4" s="19" t="s">
        <v>6</v>
      </c>
      <c r="C4" s="32" t="s">
        <v>7</v>
      </c>
      <c r="D4" s="33" t="s">
        <v>8</v>
      </c>
      <c r="E4" s="19" t="s">
        <v>20</v>
      </c>
      <c r="F4" s="19" t="s">
        <v>9</v>
      </c>
      <c r="G4" s="19" t="s">
        <v>21</v>
      </c>
      <c r="H4" s="35" t="s">
        <v>10</v>
      </c>
      <c r="I4" s="19" t="s">
        <v>11</v>
      </c>
      <c r="J4" s="19" t="s">
        <v>22</v>
      </c>
    </row>
    <row r="5" spans="1:71" s="61" customFormat="1" ht="105" customHeight="1" x14ac:dyDescent="0.3">
      <c r="A5" s="96">
        <v>1</v>
      </c>
      <c r="B5" s="57" t="s">
        <v>94</v>
      </c>
      <c r="C5" s="59">
        <v>18</v>
      </c>
      <c r="D5" s="59">
        <v>17</v>
      </c>
      <c r="E5" s="59">
        <v>1</v>
      </c>
      <c r="F5" s="81">
        <v>2</v>
      </c>
      <c r="G5" s="59">
        <v>0</v>
      </c>
      <c r="H5" s="59">
        <v>3</v>
      </c>
      <c r="I5" s="59">
        <v>14</v>
      </c>
      <c r="J5" s="116" t="s">
        <v>51</v>
      </c>
    </row>
    <row r="6" spans="1:71" s="61" customFormat="1" ht="36.75" customHeight="1" x14ac:dyDescent="0.3">
      <c r="A6" s="20">
        <v>2</v>
      </c>
      <c r="B6" s="57" t="s">
        <v>97</v>
      </c>
      <c r="C6" s="59">
        <v>4</v>
      </c>
      <c r="D6" s="59">
        <v>4</v>
      </c>
      <c r="E6" s="59">
        <v>1</v>
      </c>
      <c r="F6" s="59">
        <v>0</v>
      </c>
      <c r="G6" s="59">
        <v>0</v>
      </c>
      <c r="H6" s="59">
        <v>1</v>
      </c>
      <c r="I6" s="59">
        <v>3</v>
      </c>
      <c r="J6" s="108" t="s">
        <v>40</v>
      </c>
    </row>
    <row r="7" spans="1:71" s="63" customFormat="1" ht="15.75" customHeight="1" x14ac:dyDescent="0.3">
      <c r="A7" s="25">
        <v>3</v>
      </c>
      <c r="B7" s="52" t="s">
        <v>98</v>
      </c>
      <c r="C7" s="59">
        <v>2</v>
      </c>
      <c r="D7" s="59">
        <v>0</v>
      </c>
      <c r="E7" s="59">
        <v>0</v>
      </c>
      <c r="F7" s="59">
        <v>0</v>
      </c>
      <c r="G7" s="59">
        <v>0</v>
      </c>
      <c r="H7" s="59">
        <v>0</v>
      </c>
      <c r="I7" s="59">
        <v>0</v>
      </c>
      <c r="J7" s="62"/>
    </row>
    <row r="8" spans="1:71" s="61" customFormat="1" ht="15.6" x14ac:dyDescent="0.3">
      <c r="A8" s="96">
        <v>4</v>
      </c>
      <c r="B8" s="57" t="s">
        <v>99</v>
      </c>
      <c r="C8" s="59">
        <v>47</v>
      </c>
      <c r="D8" s="59">
        <v>44</v>
      </c>
      <c r="E8" s="59">
        <v>0</v>
      </c>
      <c r="F8" s="59">
        <v>0</v>
      </c>
      <c r="G8" s="59">
        <v>0</v>
      </c>
      <c r="H8" s="59">
        <v>0</v>
      </c>
      <c r="I8" s="59">
        <v>44</v>
      </c>
      <c r="J8" s="60"/>
    </row>
    <row r="9" spans="1:71" s="63" customFormat="1" ht="15.6" x14ac:dyDescent="0.3">
      <c r="A9" s="20">
        <v>5</v>
      </c>
      <c r="B9" s="52" t="s">
        <v>100</v>
      </c>
      <c r="C9" s="59"/>
      <c r="D9" s="59">
        <v>16</v>
      </c>
      <c r="E9" s="59">
        <v>0</v>
      </c>
      <c r="F9" s="59">
        <v>0</v>
      </c>
      <c r="G9" s="59">
        <v>0</v>
      </c>
      <c r="H9" s="59">
        <v>0</v>
      </c>
      <c r="I9" s="59">
        <v>16</v>
      </c>
      <c r="J9" s="62"/>
    </row>
    <row r="10" spans="1:71" s="61" customFormat="1" ht="15.6" x14ac:dyDescent="0.3">
      <c r="A10" s="25">
        <v>6</v>
      </c>
      <c r="B10" s="57" t="s">
        <v>101</v>
      </c>
      <c r="C10" s="59">
        <v>2</v>
      </c>
      <c r="D10" s="59">
        <v>1</v>
      </c>
      <c r="E10" s="59">
        <v>0</v>
      </c>
      <c r="F10" s="59">
        <v>0</v>
      </c>
      <c r="G10" s="59">
        <v>0</v>
      </c>
      <c r="H10" s="59">
        <v>0</v>
      </c>
      <c r="I10" s="59">
        <v>1</v>
      </c>
      <c r="J10" s="60"/>
    </row>
    <row r="11" spans="1:71" s="64" customFormat="1" ht="15.6" x14ac:dyDescent="0.3">
      <c r="A11" s="96">
        <v>7</v>
      </c>
      <c r="B11" s="52" t="s">
        <v>102</v>
      </c>
      <c r="C11" s="65">
        <v>54</v>
      </c>
      <c r="D11" s="65">
        <v>54</v>
      </c>
      <c r="E11" s="65">
        <v>0</v>
      </c>
      <c r="F11" s="65">
        <v>0</v>
      </c>
      <c r="G11" s="65">
        <v>0</v>
      </c>
      <c r="H11" s="65">
        <v>0</v>
      </c>
      <c r="I11" s="65">
        <v>54</v>
      </c>
      <c r="J11" s="56"/>
    </row>
    <row r="12" spans="1:71" s="62" customFormat="1" ht="15.6" x14ac:dyDescent="0.3">
      <c r="A12" s="20">
        <v>8</v>
      </c>
      <c r="B12" s="62" t="s">
        <v>103</v>
      </c>
      <c r="C12" s="59">
        <v>78</v>
      </c>
      <c r="D12" s="59">
        <v>78</v>
      </c>
      <c r="E12" s="59">
        <v>0</v>
      </c>
      <c r="F12" s="59">
        <v>0</v>
      </c>
      <c r="G12" s="59">
        <v>0</v>
      </c>
      <c r="H12" s="59">
        <v>0</v>
      </c>
      <c r="I12" s="59">
        <f t="shared" ref="I12:I13" si="0">D12-H12</f>
        <v>78</v>
      </c>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row>
    <row r="13" spans="1:71" s="62" customFormat="1" ht="15.6" x14ac:dyDescent="0.3">
      <c r="A13" s="25">
        <v>9</v>
      </c>
      <c r="B13" s="62" t="s">
        <v>104</v>
      </c>
      <c r="C13" s="59">
        <v>18</v>
      </c>
      <c r="D13" s="59">
        <v>20</v>
      </c>
      <c r="E13" s="59">
        <v>0</v>
      </c>
      <c r="F13" s="59">
        <v>0</v>
      </c>
      <c r="G13" s="59">
        <v>0</v>
      </c>
      <c r="H13" s="59">
        <v>0</v>
      </c>
      <c r="I13" s="59">
        <f t="shared" si="0"/>
        <v>20</v>
      </c>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row>
    <row r="14" spans="1:71" s="60" customFormat="1" ht="46.5" customHeight="1" x14ac:dyDescent="0.3">
      <c r="A14" s="96">
        <v>10</v>
      </c>
      <c r="B14" s="57" t="s">
        <v>105</v>
      </c>
      <c r="C14" s="59">
        <v>36</v>
      </c>
      <c r="D14" s="59">
        <v>36</v>
      </c>
      <c r="E14" s="59">
        <v>1</v>
      </c>
      <c r="F14" s="20">
        <v>0</v>
      </c>
      <c r="G14" s="59">
        <v>0</v>
      </c>
      <c r="H14" s="97">
        <v>1</v>
      </c>
      <c r="I14" s="97">
        <f>D14-H14</f>
        <v>35</v>
      </c>
      <c r="J14" s="6" t="s">
        <v>56</v>
      </c>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row>
    <row r="15" spans="1:71" ht="152.25" customHeight="1" x14ac:dyDescent="0.3">
      <c r="A15" s="20">
        <v>11</v>
      </c>
      <c r="B15" s="60" t="s">
        <v>106</v>
      </c>
      <c r="C15" s="59">
        <v>36</v>
      </c>
      <c r="D15" s="59">
        <v>36</v>
      </c>
      <c r="E15" s="59">
        <v>5</v>
      </c>
      <c r="F15" s="71">
        <v>0</v>
      </c>
      <c r="G15" s="59">
        <v>0</v>
      </c>
      <c r="H15" s="59">
        <v>5</v>
      </c>
      <c r="I15" s="59">
        <v>31</v>
      </c>
      <c r="J15" s="7" t="s">
        <v>42</v>
      </c>
    </row>
  </sheetData>
  <mergeCells count="7">
    <mergeCell ref="A1:J1"/>
    <mergeCell ref="J2:J3"/>
    <mergeCell ref="A2:A3"/>
    <mergeCell ref="B2:B3"/>
    <mergeCell ref="C2:D2"/>
    <mergeCell ref="E2:H2"/>
    <mergeCell ref="I2:I3"/>
  </mergeCells>
  <dataValidations count="1">
    <dataValidation type="whole" allowBlank="1" showInputMessage="1" showErrorMessage="1" sqref="G5:I11 C5:E11" xr:uid="{00000000-0002-0000-0600-000000000000}">
      <formula1>0</formula1>
      <formula2>50000</formula2>
    </dataValidation>
  </dataValidations>
  <printOptions horizontalCentered="1"/>
  <pageMargins left="0.23622047244094491" right="0.23622047244094491" top="0.74803149606299213" bottom="0.74803149606299213" header="0.31496062992125984" footer="0.31496062992125984"/>
  <pageSetup paperSize="9" scale="47" fitToHeight="4" orientation="portrait" r:id="rId1"/>
  <rowBreaks count="1" manualBreakCount="1">
    <brk id="18"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B Vehicle</vt:lpstr>
      <vt:lpstr>C Vehicle</vt:lpstr>
      <vt:lpstr>ARMT</vt:lpstr>
      <vt:lpstr>SA</vt:lpstr>
      <vt:lpstr>INSTS</vt:lpstr>
      <vt:lpstr>ARMT!Print_Area</vt:lpstr>
      <vt:lpstr>'B Vehicle'!Print_Area</vt:lpstr>
      <vt:lpstr>'C Vehicle'!Print_Area</vt:lpstr>
      <vt:lpstr>INSTS!Print_Area</vt:lpstr>
      <vt:lpstr>SA!Print_Area</vt:lpstr>
      <vt:lpstr>ARMT!Print_Titles</vt:lpstr>
      <vt:lpstr>'B Vehicle'!Print_Titles</vt:lpstr>
      <vt:lpstr>'C Vehicle'!Print_Titles</vt:lpstr>
      <vt:lpstr>INSTS!Print_Titles</vt:lpstr>
      <vt:lpstr>SA!Print_Titles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2026-03-23T06:53:35Z</dcterms:modified>
</cp:coreProperties>
</file>
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 showInkAnnotation="0" defaultThemeVersion="124226"/>
  <xr:revisionPtr revIDLastSave="0" documentId="13_ncr:1_{3456F618-8C7D-4BD1-A925-0F8E85307CB4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 Vehicle" sheetId="12" r:id="rId1"/>
    <sheet name="C Vehicle" sheetId="25" r:id="rId2"/>
    <sheet name="ARMT" sheetId="2" r:id="rId3"/>
    <sheet name="SA" sheetId="3" r:id="rId4"/>
    <sheet name="INSTS" sheetId="8" r:id="rId5"/>
  </sheets>
  <definedNames>
    <definedName name="_xlnm._FilterDatabase" localSheetId="2" hidden="1">ARMT!$A$6:$T$26</definedName>
    <definedName name="_xlnm._FilterDatabase" localSheetId="0" hidden="1">'B Vehicle'!$E$1:$E$144</definedName>
    <definedName name="_xlnm._FilterDatabase" localSheetId="1" hidden="1">'C Vehicle'!$A$1:$W$231</definedName>
    <definedName name="_xlnm._FilterDatabase" localSheetId="4" hidden="1">INSTS!$A$3:$P$186</definedName>
    <definedName name="_xlnm._FilterDatabase" localSheetId="3" hidden="1">SA!$H$1:$H$75</definedName>
    <definedName name="_xlnm.Print_Area" localSheetId="2">ARMT!$A$1:$T$25</definedName>
    <definedName name="_xlnm.Print_Area" localSheetId="0">'B Vehicle'!$A$1:$J$145</definedName>
    <definedName name="_xlnm.Print_Area" localSheetId="1">'C Vehicle'!$A$1:$J$231</definedName>
    <definedName name="_xlnm.Print_Area" localSheetId="4">INSTS!$A$1:$P$186</definedName>
    <definedName name="_xlnm.Print_Area" localSheetId="3">SA!$A$1:$R$73</definedName>
    <definedName name="_xlnm.Print_Titles" localSheetId="4">INSTS!$3:$4</definedName>
    <definedName name="_xlnm.Print_Titles" localSheetId="3">SA!$3:$4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3" l="1"/>
  <c r="L6" i="3" s="1"/>
  <c r="O6" i="3" s="1"/>
  <c r="P6" i="3" s="1"/>
  <c r="N6" i="3"/>
  <c r="H143" i="12" l="1"/>
  <c r="I143" i="12" s="1"/>
  <c r="H144" i="12"/>
  <c r="I144" i="12" s="1"/>
  <c r="M170" i="8" l="1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I170" i="8"/>
  <c r="L170" i="8" s="1"/>
  <c r="I171" i="8"/>
  <c r="L171" i="8" s="1"/>
  <c r="I172" i="8"/>
  <c r="L172" i="8" s="1"/>
  <c r="I173" i="8"/>
  <c r="K173" i="8" s="1"/>
  <c r="N173" i="8" s="1"/>
  <c r="O173" i="8" s="1"/>
  <c r="I174" i="8"/>
  <c r="K174" i="8" s="1"/>
  <c r="N174" i="8" s="1"/>
  <c r="O174" i="8" s="1"/>
  <c r="I175" i="8"/>
  <c r="L175" i="8" s="1"/>
  <c r="I176" i="8"/>
  <c r="K176" i="8" s="1"/>
  <c r="N176" i="8" s="1"/>
  <c r="O176" i="8" s="1"/>
  <c r="I177" i="8"/>
  <c r="L177" i="8" s="1"/>
  <c r="I178" i="8"/>
  <c r="L178" i="8" s="1"/>
  <c r="I179" i="8"/>
  <c r="L179" i="8" s="1"/>
  <c r="I180" i="8"/>
  <c r="K180" i="8" s="1"/>
  <c r="N180" i="8" s="1"/>
  <c r="O180" i="8" s="1"/>
  <c r="I181" i="8"/>
  <c r="K181" i="8" s="1"/>
  <c r="N181" i="8" s="1"/>
  <c r="O181" i="8" s="1"/>
  <c r="I182" i="8"/>
  <c r="L182" i="8" s="1"/>
  <c r="I183" i="8"/>
  <c r="L183" i="8" s="1"/>
  <c r="I184" i="8"/>
  <c r="K184" i="8" s="1"/>
  <c r="N184" i="8" s="1"/>
  <c r="O184" i="8" s="1"/>
  <c r="I185" i="8"/>
  <c r="K185" i="8" s="1"/>
  <c r="N185" i="8" s="1"/>
  <c r="O185" i="8" s="1"/>
  <c r="I186" i="8"/>
  <c r="L186" i="8" s="1"/>
  <c r="I169" i="8"/>
  <c r="K169" i="8" s="1"/>
  <c r="N169" i="8" s="1"/>
  <c r="O169" i="8" s="1"/>
  <c r="M169" i="8"/>
  <c r="L169" i="8" l="1"/>
  <c r="K172" i="8"/>
  <c r="N172" i="8" s="1"/>
  <c r="O172" i="8" s="1"/>
  <c r="K183" i="8"/>
  <c r="N183" i="8" s="1"/>
  <c r="O183" i="8" s="1"/>
  <c r="K179" i="8"/>
  <c r="N179" i="8" s="1"/>
  <c r="O179" i="8" s="1"/>
  <c r="K175" i="8"/>
  <c r="N175" i="8" s="1"/>
  <c r="O175" i="8" s="1"/>
  <c r="L185" i="8"/>
  <c r="L174" i="8"/>
  <c r="K186" i="8"/>
  <c r="N186" i="8" s="1"/>
  <c r="O186" i="8" s="1"/>
  <c r="K182" i="8"/>
  <c r="N182" i="8" s="1"/>
  <c r="O182" i="8" s="1"/>
  <c r="K178" i="8"/>
  <c r="N178" i="8" s="1"/>
  <c r="O178" i="8" s="1"/>
  <c r="K171" i="8"/>
  <c r="N171" i="8" s="1"/>
  <c r="O171" i="8" s="1"/>
  <c r="L184" i="8"/>
  <c r="L180" i="8"/>
  <c r="L176" i="8"/>
  <c r="L173" i="8"/>
  <c r="L181" i="8"/>
  <c r="K177" i="8"/>
  <c r="N177" i="8" s="1"/>
  <c r="O177" i="8" s="1"/>
  <c r="K170" i="8"/>
  <c r="N170" i="8" s="1"/>
  <c r="O170" i="8" s="1"/>
  <c r="M63" i="3" l="1"/>
  <c r="M65" i="3"/>
  <c r="H142" i="12" l="1"/>
  <c r="I142" i="12" s="1"/>
  <c r="J73" i="3" l="1"/>
  <c r="L73" i="3" s="1"/>
  <c r="O73" i="3" s="1"/>
  <c r="P73" i="3" s="1"/>
  <c r="N73" i="3"/>
  <c r="H141" i="12" l="1"/>
  <c r="I141" i="12" s="1"/>
  <c r="H9" i="12"/>
  <c r="I9" i="12" s="1"/>
  <c r="H10" i="12"/>
  <c r="H11" i="12"/>
  <c r="I11" i="12" s="1"/>
  <c r="H12" i="12"/>
  <c r="I12" i="12" s="1"/>
  <c r="H13" i="12"/>
  <c r="I13" i="12" s="1"/>
  <c r="H14" i="12"/>
  <c r="I14" i="12" s="1"/>
  <c r="H15" i="12"/>
  <c r="I15" i="12" s="1"/>
  <c r="H16" i="12"/>
  <c r="H17" i="12"/>
  <c r="I17" i="12" s="1"/>
  <c r="H19" i="12"/>
  <c r="I19" i="12" s="1"/>
  <c r="H20" i="12"/>
  <c r="I20" i="12" s="1"/>
  <c r="H21" i="12"/>
  <c r="I21" i="12" s="1"/>
  <c r="H22" i="12"/>
  <c r="I22" i="12" s="1"/>
  <c r="H23" i="12"/>
  <c r="I23" i="12" s="1"/>
  <c r="H24" i="12"/>
  <c r="I24" i="12" s="1"/>
  <c r="H25" i="12"/>
  <c r="I25" i="12" s="1"/>
  <c r="H26" i="12"/>
  <c r="I26" i="12" s="1"/>
  <c r="H27" i="12"/>
  <c r="I27" i="12" s="1"/>
  <c r="H28" i="12"/>
  <c r="I28" i="12" s="1"/>
  <c r="H29" i="12"/>
  <c r="I29" i="12" s="1"/>
  <c r="H30" i="12"/>
  <c r="I30" i="12" s="1"/>
  <c r="H31" i="12"/>
  <c r="I31" i="12" s="1"/>
  <c r="H32" i="12"/>
  <c r="I32" i="12" s="1"/>
  <c r="H33" i="12"/>
  <c r="I33" i="12" s="1"/>
  <c r="H34" i="12"/>
  <c r="I34" i="12" s="1"/>
  <c r="H35" i="12"/>
  <c r="I35" i="12" s="1"/>
  <c r="H36" i="12"/>
  <c r="I36" i="12" s="1"/>
  <c r="H37" i="12"/>
  <c r="I37" i="12" s="1"/>
  <c r="H38" i="12"/>
  <c r="I38" i="12" s="1"/>
  <c r="H39" i="12"/>
  <c r="I39" i="12" s="1"/>
  <c r="H40" i="12"/>
  <c r="I40" i="12" s="1"/>
  <c r="H41" i="12"/>
  <c r="I41" i="12" s="1"/>
  <c r="H42" i="12"/>
  <c r="I42" i="12" s="1"/>
  <c r="H43" i="12"/>
  <c r="I43" i="12" s="1"/>
  <c r="H44" i="12"/>
  <c r="I44" i="12" s="1"/>
  <c r="H45" i="12"/>
  <c r="I45" i="12" s="1"/>
  <c r="H46" i="12"/>
  <c r="I46" i="12" s="1"/>
  <c r="H47" i="12"/>
  <c r="I47" i="12" s="1"/>
  <c r="H48" i="12"/>
  <c r="I48" i="12" s="1"/>
  <c r="H49" i="12"/>
  <c r="I49" i="12" s="1"/>
  <c r="H50" i="12"/>
  <c r="I50" i="12" s="1"/>
  <c r="H51" i="12"/>
  <c r="I51" i="12" s="1"/>
  <c r="H52" i="12"/>
  <c r="I52" i="12" s="1"/>
  <c r="H53" i="12"/>
  <c r="I53" i="12" s="1"/>
  <c r="H54" i="12"/>
  <c r="I54" i="12" s="1"/>
  <c r="H55" i="12"/>
  <c r="I55" i="12" s="1"/>
  <c r="H56" i="12"/>
  <c r="I56" i="12" s="1"/>
  <c r="H57" i="12"/>
  <c r="I57" i="12" s="1"/>
  <c r="H58" i="12"/>
  <c r="I58" i="12" s="1"/>
  <c r="H59" i="12"/>
  <c r="I59" i="12" s="1"/>
  <c r="H60" i="12"/>
  <c r="I60" i="12" s="1"/>
  <c r="H61" i="12"/>
  <c r="I61" i="12" s="1"/>
  <c r="H62" i="12"/>
  <c r="I62" i="12" s="1"/>
  <c r="H64" i="12"/>
  <c r="I64" i="12" s="1"/>
  <c r="H65" i="12"/>
  <c r="I65" i="12" s="1"/>
  <c r="H66" i="12"/>
  <c r="I66" i="12" s="1"/>
  <c r="H67" i="12"/>
  <c r="I67" i="12" s="1"/>
  <c r="H68" i="12"/>
  <c r="I68" i="12" s="1"/>
  <c r="H69" i="12"/>
  <c r="I69" i="12" s="1"/>
  <c r="H70" i="12"/>
  <c r="I70" i="12" s="1"/>
  <c r="H72" i="12"/>
  <c r="I72" i="12" s="1"/>
  <c r="H73" i="12"/>
  <c r="I73" i="12" s="1"/>
  <c r="H74" i="12"/>
  <c r="I74" i="12" s="1"/>
  <c r="H76" i="12"/>
  <c r="I76" i="12" s="1"/>
  <c r="H77" i="12"/>
  <c r="I77" i="12" s="1"/>
  <c r="H79" i="12"/>
  <c r="I79" i="12" s="1"/>
  <c r="H80" i="12"/>
  <c r="I80" i="12" s="1"/>
  <c r="H81" i="12"/>
  <c r="I81" i="12" s="1"/>
  <c r="H82" i="12"/>
  <c r="I82" i="12" s="1"/>
  <c r="H83" i="12"/>
  <c r="I83" i="12" s="1"/>
  <c r="H84" i="12"/>
  <c r="I84" i="12" s="1"/>
  <c r="H85" i="12"/>
  <c r="I85" i="12" s="1"/>
  <c r="H86" i="12"/>
  <c r="I86" i="12" s="1"/>
  <c r="H87" i="12"/>
  <c r="I87" i="12" s="1"/>
  <c r="H88" i="12"/>
  <c r="I88" i="12" s="1"/>
  <c r="H89" i="12"/>
  <c r="I89" i="12" s="1"/>
  <c r="H90" i="12"/>
  <c r="I90" i="12" s="1"/>
  <c r="H91" i="12"/>
  <c r="I91" i="12" s="1"/>
  <c r="H92" i="12"/>
  <c r="I92" i="12" s="1"/>
  <c r="H93" i="12"/>
  <c r="I93" i="12" s="1"/>
  <c r="H94" i="12"/>
  <c r="I94" i="12" s="1"/>
  <c r="H95" i="12"/>
  <c r="I95" i="12" s="1"/>
  <c r="H96" i="12"/>
  <c r="I96" i="12" s="1"/>
  <c r="H98" i="12"/>
  <c r="I98" i="12" s="1"/>
  <c r="H99" i="12"/>
  <c r="I99" i="12" s="1"/>
  <c r="H101" i="12"/>
  <c r="I101" i="12" s="1"/>
  <c r="H102" i="12"/>
  <c r="I102" i="12" s="1"/>
  <c r="H103" i="12"/>
  <c r="I103" i="12" s="1"/>
  <c r="H104" i="12"/>
  <c r="I104" i="12" s="1"/>
  <c r="H105" i="12"/>
  <c r="I105" i="12" s="1"/>
  <c r="H106" i="12"/>
  <c r="I106" i="12" s="1"/>
  <c r="H107" i="12"/>
  <c r="I107" i="12" s="1"/>
  <c r="H108" i="12"/>
  <c r="I108" i="12" s="1"/>
  <c r="H109" i="12"/>
  <c r="I109" i="12" s="1"/>
  <c r="H110" i="12"/>
  <c r="I110" i="12" s="1"/>
  <c r="H111" i="12"/>
  <c r="I111" i="12" s="1"/>
  <c r="H112" i="12"/>
  <c r="I112" i="12" s="1"/>
  <c r="H113" i="12"/>
  <c r="I113" i="12" s="1"/>
  <c r="H114" i="12"/>
  <c r="I114" i="12" s="1"/>
  <c r="H115" i="12"/>
  <c r="I115" i="12" s="1"/>
  <c r="H116" i="12"/>
  <c r="I116" i="12" s="1"/>
  <c r="H117" i="12"/>
  <c r="I117" i="12" s="1"/>
  <c r="H118" i="12"/>
  <c r="I118" i="12" s="1"/>
  <c r="H119" i="12"/>
  <c r="I119" i="12" s="1"/>
  <c r="H120" i="12"/>
  <c r="I120" i="12" s="1"/>
  <c r="H121" i="12"/>
  <c r="I121" i="12" s="1"/>
  <c r="H122" i="12"/>
  <c r="I122" i="12" s="1"/>
  <c r="H123" i="12"/>
  <c r="I123" i="12" s="1"/>
  <c r="H124" i="12"/>
  <c r="I124" i="12" s="1"/>
  <c r="H125" i="12"/>
  <c r="I125" i="12" s="1"/>
  <c r="H126" i="12"/>
  <c r="I126" i="12" s="1"/>
  <c r="H127" i="12"/>
  <c r="I127" i="12" s="1"/>
  <c r="H128" i="12"/>
  <c r="I128" i="12" s="1"/>
  <c r="H129" i="12"/>
  <c r="I129" i="12" s="1"/>
  <c r="H130" i="12"/>
  <c r="I130" i="12" s="1"/>
  <c r="H131" i="12"/>
  <c r="I131" i="12" s="1"/>
  <c r="H132" i="12"/>
  <c r="I132" i="12" s="1"/>
  <c r="H133" i="12"/>
  <c r="I133" i="12" s="1"/>
  <c r="H134" i="12"/>
  <c r="I134" i="12" s="1"/>
  <c r="H135" i="12"/>
  <c r="I135" i="12" s="1"/>
  <c r="H136" i="12"/>
  <c r="I136" i="12" s="1"/>
  <c r="H137" i="12"/>
  <c r="I137" i="12" s="1"/>
  <c r="H138" i="12"/>
  <c r="I138" i="12" s="1"/>
  <c r="H139" i="12"/>
  <c r="I139" i="12" s="1"/>
  <c r="H140" i="12"/>
  <c r="I140" i="12" s="1"/>
  <c r="I16" i="12" l="1"/>
  <c r="I10" i="12"/>
  <c r="H8" i="25" l="1"/>
  <c r="I8" i="25" s="1"/>
  <c r="H9" i="25"/>
  <c r="I9" i="25" s="1"/>
  <c r="I69" i="8" l="1"/>
  <c r="K69" i="8" s="1"/>
  <c r="N69" i="8" s="1"/>
  <c r="O69" i="8" s="1"/>
  <c r="M69" i="8"/>
  <c r="M163" i="8"/>
  <c r="I163" i="8"/>
  <c r="K163" i="8" s="1"/>
  <c r="N163" i="8" s="1"/>
  <c r="O163" i="8" s="1"/>
  <c r="L69" i="8" l="1"/>
  <c r="L163" i="8"/>
  <c r="H231" i="25" l="1"/>
  <c r="I231" i="25" l="1"/>
  <c r="I110" i="8" l="1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4" i="8"/>
  <c r="I165" i="8"/>
  <c r="I166" i="8"/>
  <c r="I167" i="8"/>
  <c r="I168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83" i="8"/>
  <c r="I84" i="8"/>
  <c r="I85" i="8"/>
  <c r="I86" i="8"/>
  <c r="I87" i="8"/>
  <c r="I71" i="8"/>
  <c r="I72" i="8"/>
  <c r="I73" i="8"/>
  <c r="I74" i="8"/>
  <c r="I75" i="8"/>
  <c r="I76" i="8"/>
  <c r="I77" i="8"/>
  <c r="I78" i="8"/>
  <c r="I79" i="8"/>
  <c r="I80" i="8"/>
  <c r="K168" i="8" l="1"/>
  <c r="N168" i="8" s="1"/>
  <c r="O168" i="8" s="1"/>
  <c r="L168" i="8"/>
  <c r="M168" i="8"/>
  <c r="H230" i="25" l="1"/>
  <c r="I230" i="25" l="1"/>
  <c r="K165" i="8" l="1"/>
  <c r="N165" i="8" s="1"/>
  <c r="O165" i="8" s="1"/>
  <c r="L165" i="8"/>
  <c r="M165" i="8"/>
  <c r="K166" i="8"/>
  <c r="L166" i="8"/>
  <c r="M166" i="8"/>
  <c r="K167" i="8"/>
  <c r="N167" i="8" s="1"/>
  <c r="O167" i="8" s="1"/>
  <c r="L167" i="8"/>
  <c r="M167" i="8"/>
  <c r="N166" i="8" l="1"/>
  <c r="O166" i="8" s="1"/>
  <c r="H229" i="25" l="1"/>
  <c r="I229" i="25" l="1"/>
  <c r="H227" i="25" l="1"/>
  <c r="H228" i="25"/>
  <c r="I228" i="25" l="1"/>
  <c r="I227" i="25"/>
  <c r="N72" i="3"/>
  <c r="J72" i="3"/>
  <c r="H221" i="25"/>
  <c r="H222" i="25"/>
  <c r="H223" i="25"/>
  <c r="H224" i="25"/>
  <c r="H226" i="25"/>
  <c r="L72" i="3" l="1"/>
  <c r="O72" i="3" s="1"/>
  <c r="P72" i="3" s="1"/>
  <c r="I221" i="25"/>
  <c r="I222" i="25"/>
  <c r="I226" i="25"/>
  <c r="I224" i="25"/>
  <c r="I223" i="25"/>
  <c r="H220" i="25" l="1"/>
  <c r="I220" i="25" l="1"/>
  <c r="H197" i="25"/>
  <c r="H198" i="25"/>
  <c r="H199" i="25"/>
  <c r="H200" i="25"/>
  <c r="I198" i="25" l="1"/>
  <c r="I197" i="25"/>
  <c r="I200" i="25"/>
  <c r="I199" i="25"/>
  <c r="H196" i="25"/>
  <c r="I196" i="25" l="1"/>
  <c r="H210" i="25"/>
  <c r="H211" i="25"/>
  <c r="H212" i="25"/>
  <c r="H213" i="25"/>
  <c r="H214" i="25"/>
  <c r="H215" i="25"/>
  <c r="H216" i="25"/>
  <c r="H217" i="25"/>
  <c r="H218" i="25"/>
  <c r="H219" i="25"/>
  <c r="I215" i="25" l="1"/>
  <c r="I216" i="25"/>
  <c r="I212" i="25"/>
  <c r="I219" i="25"/>
  <c r="I211" i="25"/>
  <c r="I218" i="25"/>
  <c r="I214" i="25"/>
  <c r="I210" i="25"/>
  <c r="I217" i="25"/>
  <c r="I213" i="25"/>
  <c r="L161" i="8"/>
  <c r="M161" i="8"/>
  <c r="L162" i="8"/>
  <c r="M162" i="8"/>
  <c r="L164" i="8"/>
  <c r="M164" i="8"/>
  <c r="K159" i="8"/>
  <c r="K160" i="8"/>
  <c r="K161" i="8"/>
  <c r="N161" i="8" s="1"/>
  <c r="O161" i="8" s="1"/>
  <c r="K162" i="8"/>
  <c r="N162" i="8" s="1"/>
  <c r="O162" i="8" s="1"/>
  <c r="K164" i="8"/>
  <c r="N164" i="8" s="1"/>
  <c r="O164" i="8" s="1"/>
  <c r="H209" i="25" l="1"/>
  <c r="I209" i="25" l="1"/>
  <c r="H202" i="25"/>
  <c r="H203" i="25"/>
  <c r="H204" i="25"/>
  <c r="H205" i="25"/>
  <c r="H206" i="25"/>
  <c r="H207" i="25"/>
  <c r="H208" i="25"/>
  <c r="H186" i="25"/>
  <c r="H187" i="25"/>
  <c r="H188" i="25"/>
  <c r="H189" i="25"/>
  <c r="H190" i="25"/>
  <c r="H191" i="25"/>
  <c r="H192" i="25"/>
  <c r="H193" i="25"/>
  <c r="H194" i="25"/>
  <c r="H195" i="25"/>
  <c r="H201" i="25"/>
  <c r="H181" i="25"/>
  <c r="H182" i="25"/>
  <c r="H183" i="25"/>
  <c r="H184" i="25"/>
  <c r="H185" i="25"/>
  <c r="I181" i="25" l="1"/>
  <c r="I184" i="25"/>
  <c r="I201" i="25"/>
  <c r="I192" i="25"/>
  <c r="I188" i="25"/>
  <c r="I207" i="25"/>
  <c r="I203" i="25"/>
  <c r="I195" i="25"/>
  <c r="I191" i="25"/>
  <c r="I187" i="25"/>
  <c r="I206" i="25"/>
  <c r="I202" i="25"/>
  <c r="I183" i="25"/>
  <c r="I182" i="25"/>
  <c r="I194" i="25"/>
  <c r="I190" i="25"/>
  <c r="I186" i="25"/>
  <c r="I205" i="25"/>
  <c r="I185" i="25"/>
  <c r="I193" i="25"/>
  <c r="I189" i="25"/>
  <c r="I208" i="25"/>
  <c r="I204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68" i="25"/>
  <c r="H56" i="25"/>
  <c r="H57" i="25"/>
  <c r="H58" i="25"/>
  <c r="H59" i="25"/>
  <c r="H60" i="25"/>
  <c r="H61" i="25"/>
  <c r="H62" i="25"/>
  <c r="H63" i="25"/>
  <c r="H64" i="25"/>
  <c r="H53" i="25"/>
  <c r="H42" i="25"/>
  <c r="H43" i="25"/>
  <c r="H44" i="25"/>
  <c r="H45" i="25"/>
  <c r="H46" i="25"/>
  <c r="H47" i="25"/>
  <c r="H48" i="25"/>
  <c r="H49" i="25"/>
  <c r="H50" i="25"/>
  <c r="H28" i="25"/>
  <c r="H29" i="25"/>
  <c r="H30" i="25"/>
  <c r="H31" i="25"/>
  <c r="H32" i="25"/>
  <c r="H33" i="25"/>
  <c r="H34" i="25"/>
  <c r="H35" i="25"/>
  <c r="H18" i="25"/>
  <c r="H19" i="25"/>
  <c r="H20" i="25"/>
  <c r="H21" i="25"/>
  <c r="H22" i="25"/>
  <c r="H23" i="25"/>
  <c r="H24" i="25"/>
  <c r="H25" i="25"/>
  <c r="H10" i="25"/>
  <c r="H11" i="25"/>
  <c r="H12" i="25"/>
  <c r="I35" i="25" l="1"/>
  <c r="I10" i="25"/>
  <c r="I18" i="25"/>
  <c r="I47" i="25"/>
  <c r="I63" i="25"/>
  <c r="I167" i="25"/>
  <c r="I24" i="25"/>
  <c r="I34" i="25"/>
  <c r="I49" i="25"/>
  <c r="I45" i="25"/>
  <c r="I53" i="25"/>
  <c r="I61" i="25"/>
  <c r="I57" i="25"/>
  <c r="I177" i="25"/>
  <c r="I173" i="25"/>
  <c r="I169" i="25"/>
  <c r="I165" i="25"/>
  <c r="I161" i="25"/>
  <c r="I157" i="25"/>
  <c r="I153" i="25"/>
  <c r="I149" i="25"/>
  <c r="I145" i="25"/>
  <c r="I141" i="25"/>
  <c r="I137" i="25"/>
  <c r="I133" i="25"/>
  <c r="I129" i="25"/>
  <c r="I22" i="25"/>
  <c r="I28" i="25"/>
  <c r="I59" i="25"/>
  <c r="I159" i="25"/>
  <c r="I12" i="25"/>
  <c r="I20" i="25"/>
  <c r="I11" i="25"/>
  <c r="I23" i="25"/>
  <c r="I19" i="25"/>
  <c r="I33" i="25"/>
  <c r="I29" i="25"/>
  <c r="I48" i="25"/>
  <c r="I44" i="25"/>
  <c r="I64" i="25"/>
  <c r="I60" i="25"/>
  <c r="I56" i="25"/>
  <c r="I180" i="25"/>
  <c r="I176" i="25"/>
  <c r="I172" i="25"/>
  <c r="I168" i="25"/>
  <c r="I164" i="25"/>
  <c r="I160" i="25"/>
  <c r="I156" i="25"/>
  <c r="I152" i="25"/>
  <c r="I148" i="25"/>
  <c r="I144" i="25"/>
  <c r="I140" i="25"/>
  <c r="I136" i="25"/>
  <c r="I132" i="25"/>
  <c r="I128" i="25"/>
  <c r="I43" i="25"/>
  <c r="I175" i="25"/>
  <c r="I151" i="25"/>
  <c r="I143" i="25"/>
  <c r="I131" i="25"/>
  <c r="I32" i="25"/>
  <c r="I68" i="25"/>
  <c r="I179" i="25"/>
  <c r="I171" i="25"/>
  <c r="I163" i="25"/>
  <c r="I155" i="25"/>
  <c r="I147" i="25"/>
  <c r="I139" i="25"/>
  <c r="I135" i="25"/>
  <c r="I25" i="25"/>
  <c r="I21" i="25"/>
  <c r="I31" i="25"/>
  <c r="I50" i="25"/>
  <c r="I46" i="25"/>
  <c r="I42" i="25"/>
  <c r="I62" i="25"/>
  <c r="I58" i="25"/>
  <c r="I178" i="25"/>
  <c r="I174" i="25"/>
  <c r="I170" i="25"/>
  <c r="I166" i="25"/>
  <c r="I162" i="25"/>
  <c r="I158" i="25"/>
  <c r="I154" i="25"/>
  <c r="I150" i="25"/>
  <c r="I146" i="25"/>
  <c r="I142" i="25"/>
  <c r="I138" i="25"/>
  <c r="I134" i="25"/>
  <c r="I130" i="25"/>
  <c r="I30" i="25"/>
  <c r="H127" i="25"/>
  <c r="H125" i="25"/>
  <c r="H124" i="25"/>
  <c r="H123" i="25"/>
  <c r="H122" i="25"/>
  <c r="H121" i="25"/>
  <c r="H120" i="25"/>
  <c r="H119" i="25"/>
  <c r="H118" i="25"/>
  <c r="H117" i="25"/>
  <c r="H116" i="25"/>
  <c r="H115" i="25"/>
  <c r="H114" i="25"/>
  <c r="H113" i="25"/>
  <c r="H112" i="25"/>
  <c r="H111" i="25"/>
  <c r="H110" i="25"/>
  <c r="H109" i="25"/>
  <c r="H108" i="25"/>
  <c r="H107" i="25"/>
  <c r="H106" i="25"/>
  <c r="H105" i="25"/>
  <c r="H104" i="25"/>
  <c r="H103" i="25"/>
  <c r="H102" i="25"/>
  <c r="H101" i="25"/>
  <c r="H100" i="25"/>
  <c r="H99" i="25"/>
  <c r="H98" i="25"/>
  <c r="H97" i="25"/>
  <c r="H96" i="25"/>
  <c r="H95" i="25"/>
  <c r="H94" i="25"/>
  <c r="H93" i="25"/>
  <c r="H92" i="25"/>
  <c r="H91" i="25"/>
  <c r="H90" i="25"/>
  <c r="H89" i="25"/>
  <c r="H88" i="25"/>
  <c r="H87" i="25"/>
  <c r="H86" i="25"/>
  <c r="H85" i="25"/>
  <c r="H84" i="25"/>
  <c r="H83" i="25"/>
  <c r="H82" i="25"/>
  <c r="H81" i="25"/>
  <c r="H80" i="25"/>
  <c r="H79" i="25"/>
  <c r="H77" i="25"/>
  <c r="H76" i="25"/>
  <c r="H75" i="25"/>
  <c r="H74" i="25"/>
  <c r="H73" i="25"/>
  <c r="H72" i="25"/>
  <c r="H71" i="25"/>
  <c r="H70" i="25"/>
  <c r="H67" i="25"/>
  <c r="H55" i="25"/>
  <c r="H52" i="25"/>
  <c r="H41" i="25"/>
  <c r="H39" i="25"/>
  <c r="H38" i="25"/>
  <c r="H37" i="25"/>
  <c r="H27" i="25"/>
  <c r="H17" i="25"/>
  <c r="H15" i="25"/>
  <c r="H14" i="25"/>
  <c r="I119" i="25" l="1"/>
  <c r="I55" i="25"/>
  <c r="I85" i="25"/>
  <c r="I113" i="25"/>
  <c r="I121" i="25"/>
  <c r="I125" i="25"/>
  <c r="I27" i="25"/>
  <c r="I70" i="25"/>
  <c r="I79" i="25"/>
  <c r="I87" i="25"/>
  <c r="I95" i="25"/>
  <c r="I103" i="25"/>
  <c r="I111" i="25"/>
  <c r="I115" i="25"/>
  <c r="I123" i="25"/>
  <c r="I15" i="25"/>
  <c r="I38" i="25"/>
  <c r="I72" i="25"/>
  <c r="I76" i="25"/>
  <c r="I81" i="25"/>
  <c r="I89" i="25"/>
  <c r="I93" i="25"/>
  <c r="I97" i="25"/>
  <c r="I101" i="25"/>
  <c r="I109" i="25"/>
  <c r="I117" i="25"/>
  <c r="I17" i="25"/>
  <c r="I39" i="25"/>
  <c r="I73" i="25"/>
  <c r="I77" i="25"/>
  <c r="I82" i="25"/>
  <c r="I86" i="25"/>
  <c r="I90" i="25"/>
  <c r="I94" i="25"/>
  <c r="I98" i="25"/>
  <c r="I102" i="25"/>
  <c r="I106" i="25"/>
  <c r="I110" i="25"/>
  <c r="I114" i="25"/>
  <c r="I118" i="25"/>
  <c r="I122" i="25"/>
  <c r="I127" i="25"/>
  <c r="I41" i="25"/>
  <c r="I99" i="25"/>
  <c r="I74" i="25"/>
  <c r="I83" i="25"/>
  <c r="I91" i="25"/>
  <c r="I107" i="25"/>
  <c r="I14" i="25"/>
  <c r="I37" i="25"/>
  <c r="I52" i="25"/>
  <c r="I71" i="25"/>
  <c r="I75" i="25"/>
  <c r="I84" i="25"/>
  <c r="I88" i="25"/>
  <c r="I92" i="25"/>
  <c r="I96" i="25"/>
  <c r="I100" i="25"/>
  <c r="I104" i="25"/>
  <c r="I108" i="25"/>
  <c r="I112" i="25"/>
  <c r="I116" i="25"/>
  <c r="I120" i="25"/>
  <c r="I124" i="25"/>
  <c r="I105" i="25"/>
  <c r="I80" i="25"/>
  <c r="I67" i="25"/>
  <c r="H8" i="12" l="1"/>
  <c r="I8" i="12" l="1"/>
  <c r="L160" i="8" l="1"/>
  <c r="M160" i="8"/>
  <c r="N160" i="8"/>
  <c r="O160" i="8" s="1"/>
  <c r="L159" i="8"/>
  <c r="M106" i="8" l="1"/>
  <c r="M8" i="2" l="1"/>
  <c r="M9" i="2"/>
  <c r="M10" i="2"/>
  <c r="M11" i="2"/>
  <c r="M12" i="2"/>
  <c r="M13" i="2"/>
  <c r="M14" i="2"/>
  <c r="M15" i="2"/>
  <c r="M16" i="2"/>
  <c r="M18" i="2"/>
  <c r="M19" i="2"/>
  <c r="M20" i="2"/>
  <c r="M21" i="2"/>
  <c r="M22" i="2"/>
  <c r="M23" i="2"/>
  <c r="M24" i="2"/>
  <c r="M25" i="2"/>
  <c r="I70" i="8" l="1"/>
  <c r="M159" i="8" l="1"/>
  <c r="N159" i="8"/>
  <c r="O159" i="8" s="1"/>
  <c r="M158" i="8"/>
  <c r="L158" i="8"/>
  <c r="K158" i="8"/>
  <c r="N158" i="8" s="1"/>
  <c r="O158" i="8" s="1"/>
  <c r="M157" i="8"/>
  <c r="L157" i="8"/>
  <c r="M156" i="8"/>
  <c r="K156" i="8"/>
  <c r="N156" i="8" s="1"/>
  <c r="O156" i="8" s="1"/>
  <c r="M155" i="8"/>
  <c r="L155" i="8"/>
  <c r="M154" i="8"/>
  <c r="K154" i="8"/>
  <c r="M153" i="8"/>
  <c r="L153" i="8"/>
  <c r="M152" i="8"/>
  <c r="K152" i="8"/>
  <c r="N152" i="8" s="1"/>
  <c r="O152" i="8" s="1"/>
  <c r="M151" i="8"/>
  <c r="L151" i="8"/>
  <c r="M150" i="8"/>
  <c r="K150" i="8"/>
  <c r="N150" i="8" s="1"/>
  <c r="O150" i="8" s="1"/>
  <c r="M149" i="8"/>
  <c r="L149" i="8"/>
  <c r="M148" i="8"/>
  <c r="K148" i="8"/>
  <c r="N148" i="8" s="1"/>
  <c r="O148" i="8" s="1"/>
  <c r="J147" i="8"/>
  <c r="N146" i="8"/>
  <c r="O146" i="8" s="1"/>
  <c r="M146" i="8"/>
  <c r="L146" i="8"/>
  <c r="K146" i="8"/>
  <c r="N145" i="8"/>
  <c r="O145" i="8" s="1"/>
  <c r="M145" i="8"/>
  <c r="L145" i="8"/>
  <c r="K145" i="8"/>
  <c r="N144" i="8"/>
  <c r="O144" i="8" s="1"/>
  <c r="M144" i="8"/>
  <c r="L144" i="8"/>
  <c r="K144" i="8"/>
  <c r="M143" i="8"/>
  <c r="L143" i="8"/>
  <c r="N142" i="8"/>
  <c r="O142" i="8" s="1"/>
  <c r="M142" i="8"/>
  <c r="L142" i="8"/>
  <c r="K142" i="8"/>
  <c r="N141" i="8"/>
  <c r="O141" i="8" s="1"/>
  <c r="M141" i="8"/>
  <c r="L141" i="8"/>
  <c r="K141" i="8"/>
  <c r="M140" i="8"/>
  <c r="K140" i="8"/>
  <c r="N140" i="8" s="1"/>
  <c r="O140" i="8" s="1"/>
  <c r="M139" i="8"/>
  <c r="L139" i="8"/>
  <c r="M138" i="8"/>
  <c r="K138" i="8"/>
  <c r="N138" i="8" s="1"/>
  <c r="O138" i="8" s="1"/>
  <c r="M137" i="8"/>
  <c r="L137" i="8"/>
  <c r="M136" i="8"/>
  <c r="L136" i="8"/>
  <c r="M135" i="8"/>
  <c r="L135" i="8"/>
  <c r="N134" i="8"/>
  <c r="O134" i="8" s="1"/>
  <c r="M134" i="8"/>
  <c r="L134" i="8"/>
  <c r="K134" i="8"/>
  <c r="M133" i="8"/>
  <c r="L133" i="8"/>
  <c r="M132" i="8"/>
  <c r="L132" i="8"/>
  <c r="K132" i="8"/>
  <c r="N132" i="8" s="1"/>
  <c r="O132" i="8" s="1"/>
  <c r="M131" i="8"/>
  <c r="L131" i="8"/>
  <c r="M130" i="8"/>
  <c r="K130" i="8"/>
  <c r="N130" i="8" s="1"/>
  <c r="O130" i="8" s="1"/>
  <c r="M129" i="8"/>
  <c r="L129" i="8"/>
  <c r="N128" i="8"/>
  <c r="O128" i="8" s="1"/>
  <c r="M128" i="8"/>
  <c r="L128" i="8"/>
  <c r="K128" i="8"/>
  <c r="M127" i="8"/>
  <c r="L127" i="8"/>
  <c r="M126" i="8"/>
  <c r="K126" i="8"/>
  <c r="N126" i="8" s="1"/>
  <c r="O126" i="8" s="1"/>
  <c r="M125" i="8"/>
  <c r="L125" i="8"/>
  <c r="M124" i="8"/>
  <c r="K124" i="8"/>
  <c r="N124" i="8" s="1"/>
  <c r="O124" i="8" s="1"/>
  <c r="M123" i="8"/>
  <c r="L123" i="8"/>
  <c r="M122" i="8"/>
  <c r="L122" i="8"/>
  <c r="M121" i="8"/>
  <c r="M120" i="8"/>
  <c r="L120" i="8"/>
  <c r="M119" i="8"/>
  <c r="K119" i="8"/>
  <c r="N119" i="8" s="1"/>
  <c r="O119" i="8" s="1"/>
  <c r="M118" i="8"/>
  <c r="K118" i="8"/>
  <c r="N118" i="8" s="1"/>
  <c r="O118" i="8" s="1"/>
  <c r="M117" i="8"/>
  <c r="L117" i="8"/>
  <c r="M116" i="8"/>
  <c r="L116" i="8"/>
  <c r="M115" i="8"/>
  <c r="L115" i="8"/>
  <c r="M114" i="8"/>
  <c r="K114" i="8"/>
  <c r="N114" i="8" s="1"/>
  <c r="O114" i="8" s="1"/>
  <c r="M113" i="8"/>
  <c r="K113" i="8"/>
  <c r="N113" i="8" s="1"/>
  <c r="O113" i="8" s="1"/>
  <c r="M112" i="8"/>
  <c r="K112" i="8"/>
  <c r="N112" i="8" s="1"/>
  <c r="O112" i="8" s="1"/>
  <c r="M111" i="8"/>
  <c r="L111" i="8"/>
  <c r="M110" i="8"/>
  <c r="L110" i="8"/>
  <c r="M109" i="8"/>
  <c r="I109" i="8"/>
  <c r="L109" i="8" s="1"/>
  <c r="M107" i="8"/>
  <c r="K107" i="8"/>
  <c r="N107" i="8" s="1"/>
  <c r="O107" i="8" s="1"/>
  <c r="N105" i="8"/>
  <c r="O105" i="8" s="1"/>
  <c r="M105" i="8"/>
  <c r="L105" i="8"/>
  <c r="K105" i="8"/>
  <c r="M104" i="8"/>
  <c r="L104" i="8"/>
  <c r="K104" i="8"/>
  <c r="N104" i="8" s="1"/>
  <c r="O104" i="8" s="1"/>
  <c r="M103" i="8"/>
  <c r="K103" i="8"/>
  <c r="N103" i="8" s="1"/>
  <c r="O103" i="8" s="1"/>
  <c r="M102" i="8"/>
  <c r="L102" i="8"/>
  <c r="K102" i="8"/>
  <c r="N102" i="8" s="1"/>
  <c r="O102" i="8" s="1"/>
  <c r="M101" i="8"/>
  <c r="L101" i="8"/>
  <c r="K101" i="8"/>
  <c r="N101" i="8" s="1"/>
  <c r="O101" i="8" s="1"/>
  <c r="M100" i="8"/>
  <c r="L100" i="8"/>
  <c r="M99" i="8"/>
  <c r="M98" i="8"/>
  <c r="L98" i="8"/>
  <c r="M97" i="8"/>
  <c r="L97" i="8"/>
  <c r="M96" i="8"/>
  <c r="L96" i="8"/>
  <c r="M95" i="8"/>
  <c r="K95" i="8"/>
  <c r="N95" i="8" s="1"/>
  <c r="O95" i="8" s="1"/>
  <c r="N94" i="8"/>
  <c r="O94" i="8" s="1"/>
  <c r="M94" i="8"/>
  <c r="L94" i="8"/>
  <c r="K94" i="8"/>
  <c r="N93" i="8"/>
  <c r="O93" i="8" s="1"/>
  <c r="M93" i="8"/>
  <c r="L93" i="8"/>
  <c r="K93" i="8"/>
  <c r="M92" i="8"/>
  <c r="L92" i="8"/>
  <c r="M91" i="8"/>
  <c r="L91" i="8"/>
  <c r="M90" i="8"/>
  <c r="L90" i="8"/>
  <c r="M89" i="8"/>
  <c r="I89" i="8"/>
  <c r="K89" i="8" s="1"/>
  <c r="N89" i="8" s="1"/>
  <c r="O89" i="8" s="1"/>
  <c r="N87" i="8"/>
  <c r="O87" i="8" s="1"/>
  <c r="M87" i="8"/>
  <c r="L87" i="8"/>
  <c r="K87" i="8"/>
  <c r="M86" i="8"/>
  <c r="L86" i="8"/>
  <c r="M85" i="8"/>
  <c r="L85" i="8"/>
  <c r="K85" i="8"/>
  <c r="N85" i="8" s="1"/>
  <c r="O85" i="8" s="1"/>
  <c r="N84" i="8"/>
  <c r="O84" i="8" s="1"/>
  <c r="M84" i="8"/>
  <c r="L84" i="8"/>
  <c r="K84" i="8"/>
  <c r="M83" i="8"/>
  <c r="L83" i="8"/>
  <c r="K83" i="8"/>
  <c r="N83" i="8" s="1"/>
  <c r="O83" i="8" s="1"/>
  <c r="M82" i="8"/>
  <c r="I82" i="8"/>
  <c r="M80" i="8"/>
  <c r="L80" i="8"/>
  <c r="M79" i="8"/>
  <c r="L79" i="8"/>
  <c r="K79" i="8"/>
  <c r="N79" i="8" s="1"/>
  <c r="O79" i="8" s="1"/>
  <c r="M78" i="8"/>
  <c r="L78" i="8"/>
  <c r="N77" i="8"/>
  <c r="O77" i="8" s="1"/>
  <c r="M77" i="8"/>
  <c r="L77" i="8"/>
  <c r="K77" i="8"/>
  <c r="N76" i="8"/>
  <c r="O76" i="8" s="1"/>
  <c r="M76" i="8"/>
  <c r="L76" i="8"/>
  <c r="K76" i="8"/>
  <c r="M75" i="8"/>
  <c r="K75" i="8"/>
  <c r="N75" i="8" s="1"/>
  <c r="O75" i="8" s="1"/>
  <c r="M74" i="8"/>
  <c r="K74" i="8"/>
  <c r="N74" i="8" s="1"/>
  <c r="O74" i="8" s="1"/>
  <c r="M73" i="8"/>
  <c r="M72" i="8"/>
  <c r="L72" i="8"/>
  <c r="M71" i="8"/>
  <c r="L71" i="8"/>
  <c r="K71" i="8"/>
  <c r="M70" i="8"/>
  <c r="L70" i="8"/>
  <c r="K70" i="8"/>
  <c r="N70" i="8" s="1"/>
  <c r="O70" i="8" s="1"/>
  <c r="N67" i="8"/>
  <c r="O67" i="8" s="1"/>
  <c r="M67" i="8"/>
  <c r="L67" i="8"/>
  <c r="I67" i="8"/>
  <c r="K67" i="8" s="1"/>
  <c r="N66" i="8"/>
  <c r="O66" i="8" s="1"/>
  <c r="M66" i="8"/>
  <c r="L66" i="8"/>
  <c r="I66" i="8"/>
  <c r="K66" i="8" s="1"/>
  <c r="N65" i="8"/>
  <c r="O65" i="8" s="1"/>
  <c r="M65" i="8"/>
  <c r="L65" i="8"/>
  <c r="I65" i="8"/>
  <c r="K65" i="8" s="1"/>
  <c r="N64" i="8"/>
  <c r="O64" i="8" s="1"/>
  <c r="M64" i="8"/>
  <c r="L64" i="8"/>
  <c r="I64" i="8"/>
  <c r="K64" i="8" s="1"/>
  <c r="N63" i="8"/>
  <c r="O63" i="8" s="1"/>
  <c r="M63" i="8"/>
  <c r="L63" i="8"/>
  <c r="I63" i="8"/>
  <c r="K63" i="8" s="1"/>
  <c r="N62" i="8"/>
  <c r="O62" i="8" s="1"/>
  <c r="M62" i="8"/>
  <c r="L62" i="8"/>
  <c r="I62" i="8"/>
  <c r="K62" i="8" s="1"/>
  <c r="N61" i="8"/>
  <c r="O61" i="8" s="1"/>
  <c r="M61" i="8"/>
  <c r="L61" i="8"/>
  <c r="I61" i="8"/>
  <c r="K61" i="8" s="1"/>
  <c r="N60" i="8"/>
  <c r="O60" i="8" s="1"/>
  <c r="M60" i="8"/>
  <c r="L60" i="8"/>
  <c r="I60" i="8"/>
  <c r="K60" i="8" s="1"/>
  <c r="N59" i="8"/>
  <c r="O59" i="8" s="1"/>
  <c r="M59" i="8"/>
  <c r="L59" i="8"/>
  <c r="I59" i="8"/>
  <c r="K59" i="8" s="1"/>
  <c r="N58" i="8"/>
  <c r="O58" i="8" s="1"/>
  <c r="M58" i="8"/>
  <c r="L58" i="8"/>
  <c r="I58" i="8"/>
  <c r="K58" i="8" s="1"/>
  <c r="N57" i="8"/>
  <c r="O57" i="8" s="1"/>
  <c r="M57" i="8"/>
  <c r="L57" i="8"/>
  <c r="I57" i="8"/>
  <c r="K57" i="8" s="1"/>
  <c r="N56" i="8"/>
  <c r="O56" i="8" s="1"/>
  <c r="M56" i="8"/>
  <c r="L56" i="8"/>
  <c r="I56" i="8"/>
  <c r="K56" i="8" s="1"/>
  <c r="N55" i="8"/>
  <c r="O55" i="8" s="1"/>
  <c r="M55" i="8"/>
  <c r="L55" i="8"/>
  <c r="I55" i="8"/>
  <c r="K55" i="8" s="1"/>
  <c r="N54" i="8"/>
  <c r="O54" i="8" s="1"/>
  <c r="M54" i="8"/>
  <c r="L54" i="8"/>
  <c r="I54" i="8"/>
  <c r="K54" i="8" s="1"/>
  <c r="N53" i="8"/>
  <c r="O53" i="8" s="1"/>
  <c r="M53" i="8"/>
  <c r="L53" i="8"/>
  <c r="I53" i="8"/>
  <c r="K53" i="8" s="1"/>
  <c r="N52" i="8"/>
  <c r="O52" i="8" s="1"/>
  <c r="M52" i="8"/>
  <c r="L52" i="8"/>
  <c r="I52" i="8"/>
  <c r="K52" i="8" s="1"/>
  <c r="N51" i="8"/>
  <c r="O51" i="8" s="1"/>
  <c r="M51" i="8"/>
  <c r="L51" i="8"/>
  <c r="I51" i="8"/>
  <c r="K51" i="8" s="1"/>
  <c r="N50" i="8"/>
  <c r="O50" i="8" s="1"/>
  <c r="M50" i="8"/>
  <c r="L50" i="8"/>
  <c r="I50" i="8"/>
  <c r="K50" i="8" s="1"/>
  <c r="N49" i="8"/>
  <c r="O49" i="8" s="1"/>
  <c r="M49" i="8"/>
  <c r="L49" i="8"/>
  <c r="I49" i="8"/>
  <c r="K49" i="8" s="1"/>
  <c r="N48" i="8"/>
  <c r="O48" i="8" s="1"/>
  <c r="M48" i="8"/>
  <c r="L48" i="8"/>
  <c r="I48" i="8"/>
  <c r="K48" i="8" s="1"/>
  <c r="N47" i="8"/>
  <c r="O47" i="8" s="1"/>
  <c r="M47" i="8"/>
  <c r="L47" i="8"/>
  <c r="I47" i="8"/>
  <c r="K47" i="8" s="1"/>
  <c r="N46" i="8"/>
  <c r="O46" i="8" s="1"/>
  <c r="M46" i="8"/>
  <c r="L46" i="8"/>
  <c r="I46" i="8"/>
  <c r="K46" i="8" s="1"/>
  <c r="N45" i="8"/>
  <c r="O45" i="8" s="1"/>
  <c r="M45" i="8"/>
  <c r="L45" i="8"/>
  <c r="I45" i="8"/>
  <c r="K45" i="8" s="1"/>
  <c r="N44" i="8"/>
  <c r="O44" i="8" s="1"/>
  <c r="M44" i="8"/>
  <c r="L44" i="8"/>
  <c r="I44" i="8"/>
  <c r="K44" i="8" s="1"/>
  <c r="N43" i="8"/>
  <c r="O43" i="8" s="1"/>
  <c r="M43" i="8"/>
  <c r="L43" i="8"/>
  <c r="I43" i="8"/>
  <c r="K43" i="8" s="1"/>
  <c r="N42" i="8"/>
  <c r="O42" i="8" s="1"/>
  <c r="M42" i="8"/>
  <c r="L42" i="8"/>
  <c r="I42" i="8"/>
  <c r="K42" i="8" s="1"/>
  <c r="N41" i="8"/>
  <c r="O41" i="8" s="1"/>
  <c r="M41" i="8"/>
  <c r="L41" i="8"/>
  <c r="I41" i="8"/>
  <c r="K41" i="8" s="1"/>
  <c r="N40" i="8"/>
  <c r="O40" i="8" s="1"/>
  <c r="M40" i="8"/>
  <c r="L40" i="8"/>
  <c r="I40" i="8"/>
  <c r="K40" i="8" s="1"/>
  <c r="N39" i="8"/>
  <c r="O39" i="8" s="1"/>
  <c r="M39" i="8"/>
  <c r="L39" i="8"/>
  <c r="I39" i="8"/>
  <c r="K39" i="8" s="1"/>
  <c r="N38" i="8"/>
  <c r="O38" i="8" s="1"/>
  <c r="M38" i="8"/>
  <c r="L38" i="8"/>
  <c r="I38" i="8"/>
  <c r="K38" i="8" s="1"/>
  <c r="N37" i="8"/>
  <c r="O37" i="8" s="1"/>
  <c r="M37" i="8"/>
  <c r="L37" i="8"/>
  <c r="I37" i="8"/>
  <c r="K37" i="8" s="1"/>
  <c r="N36" i="8"/>
  <c r="O36" i="8" s="1"/>
  <c r="M36" i="8"/>
  <c r="L36" i="8"/>
  <c r="I36" i="8"/>
  <c r="K36" i="8" s="1"/>
  <c r="N35" i="8"/>
  <c r="O35" i="8" s="1"/>
  <c r="M35" i="8"/>
  <c r="L35" i="8"/>
  <c r="I35" i="8"/>
  <c r="K35" i="8" s="1"/>
  <c r="N34" i="8"/>
  <c r="O34" i="8" s="1"/>
  <c r="M34" i="8"/>
  <c r="L34" i="8"/>
  <c r="I34" i="8"/>
  <c r="K34" i="8" s="1"/>
  <c r="N33" i="8"/>
  <c r="O33" i="8" s="1"/>
  <c r="M33" i="8"/>
  <c r="L33" i="8"/>
  <c r="I33" i="8"/>
  <c r="K33" i="8" s="1"/>
  <c r="N32" i="8"/>
  <c r="O32" i="8" s="1"/>
  <c r="M32" i="8"/>
  <c r="L32" i="8"/>
  <c r="I32" i="8"/>
  <c r="K32" i="8" s="1"/>
  <c r="N31" i="8"/>
  <c r="O31" i="8" s="1"/>
  <c r="M31" i="8"/>
  <c r="L31" i="8"/>
  <c r="I31" i="8"/>
  <c r="K31" i="8" s="1"/>
  <c r="N30" i="8"/>
  <c r="O30" i="8" s="1"/>
  <c r="M30" i="8"/>
  <c r="L30" i="8"/>
  <c r="I30" i="8"/>
  <c r="K30" i="8" s="1"/>
  <c r="N29" i="8"/>
  <c r="O29" i="8" s="1"/>
  <c r="M29" i="8"/>
  <c r="L29" i="8"/>
  <c r="I29" i="8"/>
  <c r="K29" i="8" s="1"/>
  <c r="N28" i="8"/>
  <c r="O28" i="8" s="1"/>
  <c r="M28" i="8"/>
  <c r="L28" i="8"/>
  <c r="I28" i="8"/>
  <c r="K28" i="8" s="1"/>
  <c r="N27" i="8"/>
  <c r="O27" i="8" s="1"/>
  <c r="M27" i="8"/>
  <c r="L27" i="8"/>
  <c r="I27" i="8"/>
  <c r="K27" i="8" s="1"/>
  <c r="N26" i="8"/>
  <c r="O26" i="8" s="1"/>
  <c r="M26" i="8"/>
  <c r="L26" i="8"/>
  <c r="I26" i="8"/>
  <c r="K26" i="8" s="1"/>
  <c r="N25" i="8"/>
  <c r="O25" i="8" s="1"/>
  <c r="M25" i="8"/>
  <c r="L25" i="8"/>
  <c r="I25" i="8"/>
  <c r="K25" i="8" s="1"/>
  <c r="N24" i="8"/>
  <c r="O24" i="8" s="1"/>
  <c r="M24" i="8"/>
  <c r="L24" i="8"/>
  <c r="I24" i="8"/>
  <c r="K24" i="8" s="1"/>
  <c r="N23" i="8"/>
  <c r="O23" i="8" s="1"/>
  <c r="M23" i="8"/>
  <c r="L23" i="8"/>
  <c r="I23" i="8"/>
  <c r="K23" i="8" s="1"/>
  <c r="N22" i="8"/>
  <c r="O22" i="8" s="1"/>
  <c r="M22" i="8"/>
  <c r="L22" i="8"/>
  <c r="I22" i="8"/>
  <c r="K22" i="8" s="1"/>
  <c r="N21" i="8"/>
  <c r="O21" i="8" s="1"/>
  <c r="M21" i="8"/>
  <c r="L21" i="8"/>
  <c r="I21" i="8"/>
  <c r="K21" i="8" s="1"/>
  <c r="N20" i="8"/>
  <c r="O20" i="8" s="1"/>
  <c r="M20" i="8"/>
  <c r="L20" i="8"/>
  <c r="I20" i="8"/>
  <c r="K20" i="8" s="1"/>
  <c r="N19" i="8"/>
  <c r="O19" i="8" s="1"/>
  <c r="M19" i="8"/>
  <c r="L19" i="8"/>
  <c r="I19" i="8"/>
  <c r="K19" i="8" s="1"/>
  <c r="N18" i="8"/>
  <c r="O18" i="8" s="1"/>
  <c r="M18" i="8"/>
  <c r="L18" i="8"/>
  <c r="I18" i="8"/>
  <c r="K18" i="8" s="1"/>
  <c r="N17" i="8"/>
  <c r="O17" i="8" s="1"/>
  <c r="M17" i="8"/>
  <c r="L17" i="8"/>
  <c r="I17" i="8"/>
  <c r="K17" i="8" s="1"/>
  <c r="N16" i="8"/>
  <c r="O16" i="8" s="1"/>
  <c r="M16" i="8"/>
  <c r="L16" i="8"/>
  <c r="I16" i="8"/>
  <c r="K16" i="8" s="1"/>
  <c r="N15" i="8"/>
  <c r="O15" i="8" s="1"/>
  <c r="M15" i="8"/>
  <c r="L15" i="8"/>
  <c r="I15" i="8"/>
  <c r="K15" i="8" s="1"/>
  <c r="N14" i="8"/>
  <c r="O14" i="8" s="1"/>
  <c r="M14" i="8"/>
  <c r="L14" i="8"/>
  <c r="I14" i="8"/>
  <c r="K14" i="8" s="1"/>
  <c r="N13" i="8"/>
  <c r="O13" i="8" s="1"/>
  <c r="M13" i="8"/>
  <c r="L13" i="8"/>
  <c r="I13" i="8"/>
  <c r="K13" i="8" s="1"/>
  <c r="N12" i="8"/>
  <c r="O12" i="8" s="1"/>
  <c r="M12" i="8"/>
  <c r="L12" i="8"/>
  <c r="K12" i="8"/>
  <c r="N11" i="8"/>
  <c r="O11" i="8" s="1"/>
  <c r="M11" i="8"/>
  <c r="L11" i="8"/>
  <c r="I11" i="8"/>
  <c r="K11" i="8" s="1"/>
  <c r="N10" i="8"/>
  <c r="O10" i="8" s="1"/>
  <c r="M10" i="8"/>
  <c r="L10" i="8"/>
  <c r="I10" i="8"/>
  <c r="K10" i="8" s="1"/>
  <c r="N9" i="8"/>
  <c r="O9" i="8" s="1"/>
  <c r="M9" i="8"/>
  <c r="L9" i="8"/>
  <c r="I9" i="8"/>
  <c r="K9" i="8" s="1"/>
  <c r="N8" i="8"/>
  <c r="O8" i="8" s="1"/>
  <c r="M8" i="8"/>
  <c r="L8" i="8"/>
  <c r="I8" i="8"/>
  <c r="K8" i="8" s="1"/>
  <c r="N7" i="8"/>
  <c r="O7" i="8" s="1"/>
  <c r="M7" i="8"/>
  <c r="L7" i="8"/>
  <c r="I7" i="8"/>
  <c r="N71" i="3"/>
  <c r="J71" i="3"/>
  <c r="L71" i="3" s="1"/>
  <c r="O71" i="3" s="1"/>
  <c r="P71" i="3" s="1"/>
  <c r="N70" i="3"/>
  <c r="J70" i="3"/>
  <c r="L70" i="3" s="1"/>
  <c r="O70" i="3" s="1"/>
  <c r="P70" i="3" s="1"/>
  <c r="N69" i="3"/>
  <c r="J69" i="3"/>
  <c r="L69" i="3" s="1"/>
  <c r="O69" i="3" s="1"/>
  <c r="P69" i="3" s="1"/>
  <c r="N68" i="3"/>
  <c r="J68" i="3"/>
  <c r="L68" i="3" s="1"/>
  <c r="O68" i="3" s="1"/>
  <c r="P68" i="3" s="1"/>
  <c r="N67" i="3"/>
  <c r="J67" i="3"/>
  <c r="L67" i="3" s="1"/>
  <c r="O67" i="3" s="1"/>
  <c r="P67" i="3" s="1"/>
  <c r="N66" i="3"/>
  <c r="J66" i="3"/>
  <c r="L66" i="3" s="1"/>
  <c r="O66" i="3" s="1"/>
  <c r="P66" i="3" s="1"/>
  <c r="N65" i="3"/>
  <c r="J65" i="3"/>
  <c r="L65" i="3" s="1"/>
  <c r="O65" i="3" s="1"/>
  <c r="P65" i="3" s="1"/>
  <c r="N64" i="3"/>
  <c r="J64" i="3"/>
  <c r="L64" i="3" s="1"/>
  <c r="O64" i="3" s="1"/>
  <c r="P64" i="3" s="1"/>
  <c r="N63" i="3"/>
  <c r="J63" i="3"/>
  <c r="L63" i="3" s="1"/>
  <c r="O63" i="3" s="1"/>
  <c r="P63" i="3" s="1"/>
  <c r="N62" i="3"/>
  <c r="J62" i="3"/>
  <c r="L62" i="3" s="1"/>
  <c r="O62" i="3" s="1"/>
  <c r="P62" i="3" s="1"/>
  <c r="O61" i="3"/>
  <c r="P61" i="3" s="1"/>
  <c r="N61" i="3"/>
  <c r="M61" i="3"/>
  <c r="J61" i="3"/>
  <c r="L61" i="3" s="1"/>
  <c r="N60" i="3"/>
  <c r="J60" i="3"/>
  <c r="L60" i="3" s="1"/>
  <c r="O60" i="3" s="1"/>
  <c r="P60" i="3" s="1"/>
  <c r="N59" i="3"/>
  <c r="J59" i="3"/>
  <c r="L59" i="3" s="1"/>
  <c r="O59" i="3" s="1"/>
  <c r="P59" i="3" s="1"/>
  <c r="O58" i="3"/>
  <c r="P58" i="3" s="1"/>
  <c r="N58" i="3"/>
  <c r="M58" i="3"/>
  <c r="J58" i="3"/>
  <c r="L58" i="3" s="1"/>
  <c r="N57" i="3"/>
  <c r="J57" i="3"/>
  <c r="L57" i="3" s="1"/>
  <c r="O57" i="3" s="1"/>
  <c r="P57" i="3" s="1"/>
  <c r="N56" i="3"/>
  <c r="J56" i="3"/>
  <c r="L56" i="3" s="1"/>
  <c r="O56" i="3" s="1"/>
  <c r="P56" i="3" s="1"/>
  <c r="O55" i="3"/>
  <c r="P55" i="3" s="1"/>
  <c r="N55" i="3"/>
  <c r="M55" i="3"/>
  <c r="J55" i="3"/>
  <c r="L55" i="3" s="1"/>
  <c r="N54" i="3"/>
  <c r="J54" i="3"/>
  <c r="L54" i="3" s="1"/>
  <c r="O54" i="3" s="1"/>
  <c r="P54" i="3" s="1"/>
  <c r="N53" i="3"/>
  <c r="J53" i="3"/>
  <c r="L53" i="3" s="1"/>
  <c r="O53" i="3" s="1"/>
  <c r="P53" i="3" s="1"/>
  <c r="N52" i="3"/>
  <c r="J52" i="3"/>
  <c r="L52" i="3" s="1"/>
  <c r="O52" i="3" s="1"/>
  <c r="P52" i="3" s="1"/>
  <c r="O51" i="3"/>
  <c r="P51" i="3" s="1"/>
  <c r="N51" i="3"/>
  <c r="M51" i="3"/>
  <c r="J51" i="3"/>
  <c r="L51" i="3" s="1"/>
  <c r="O50" i="3"/>
  <c r="P50" i="3" s="1"/>
  <c r="N50" i="3"/>
  <c r="M50" i="3"/>
  <c r="J50" i="3"/>
  <c r="L50" i="3" s="1"/>
  <c r="O49" i="3"/>
  <c r="P49" i="3" s="1"/>
  <c r="N49" i="3"/>
  <c r="M49" i="3"/>
  <c r="J49" i="3"/>
  <c r="L49" i="3" s="1"/>
  <c r="O48" i="3"/>
  <c r="P48" i="3" s="1"/>
  <c r="N48" i="3"/>
  <c r="M48" i="3"/>
  <c r="J48" i="3"/>
  <c r="L48" i="3" s="1"/>
  <c r="O47" i="3"/>
  <c r="P47" i="3" s="1"/>
  <c r="N47" i="3"/>
  <c r="M47" i="3"/>
  <c r="J47" i="3"/>
  <c r="L47" i="3" s="1"/>
  <c r="N46" i="3"/>
  <c r="J46" i="3"/>
  <c r="N45" i="3"/>
  <c r="J45" i="3"/>
  <c r="L45" i="3" s="1"/>
  <c r="O45" i="3" s="1"/>
  <c r="P45" i="3" s="1"/>
  <c r="N44" i="3"/>
  <c r="J44" i="3"/>
  <c r="L44" i="3" s="1"/>
  <c r="O44" i="3" s="1"/>
  <c r="P44" i="3" s="1"/>
  <c r="N43" i="3"/>
  <c r="J43" i="3"/>
  <c r="L43" i="3" s="1"/>
  <c r="O43" i="3" s="1"/>
  <c r="P43" i="3" s="1"/>
  <c r="O42" i="3"/>
  <c r="P42" i="3" s="1"/>
  <c r="N42" i="3"/>
  <c r="M42" i="3"/>
  <c r="J42" i="3"/>
  <c r="L42" i="3" s="1"/>
  <c r="O41" i="3"/>
  <c r="P41" i="3" s="1"/>
  <c r="N41" i="3"/>
  <c r="M41" i="3"/>
  <c r="J41" i="3"/>
  <c r="L41" i="3" s="1"/>
  <c r="O40" i="3"/>
  <c r="P40" i="3" s="1"/>
  <c r="N40" i="3"/>
  <c r="M40" i="3"/>
  <c r="J40" i="3"/>
  <c r="L40" i="3" s="1"/>
  <c r="N39" i="3"/>
  <c r="J39" i="3"/>
  <c r="L39" i="3" s="1"/>
  <c r="O39" i="3" s="1"/>
  <c r="P39" i="3" s="1"/>
  <c r="O38" i="3"/>
  <c r="P38" i="3" s="1"/>
  <c r="N38" i="3"/>
  <c r="M38" i="3"/>
  <c r="J38" i="3"/>
  <c r="L38" i="3" s="1"/>
  <c r="O37" i="3"/>
  <c r="P37" i="3" s="1"/>
  <c r="N37" i="3"/>
  <c r="M37" i="3"/>
  <c r="J37" i="3"/>
  <c r="L37" i="3" s="1"/>
  <c r="O36" i="3"/>
  <c r="P36" i="3" s="1"/>
  <c r="N36" i="3"/>
  <c r="M36" i="3"/>
  <c r="J36" i="3"/>
  <c r="L36" i="3" s="1"/>
  <c r="O35" i="3"/>
  <c r="P35" i="3" s="1"/>
  <c r="N35" i="3"/>
  <c r="M35" i="3"/>
  <c r="J35" i="3"/>
  <c r="L35" i="3" s="1"/>
  <c r="O34" i="3"/>
  <c r="P34" i="3" s="1"/>
  <c r="N34" i="3"/>
  <c r="M34" i="3"/>
  <c r="J34" i="3"/>
  <c r="L34" i="3" s="1"/>
  <c r="O33" i="3"/>
  <c r="P33" i="3" s="1"/>
  <c r="N33" i="3"/>
  <c r="M33" i="3"/>
  <c r="J33" i="3"/>
  <c r="L33" i="3" s="1"/>
  <c r="N32" i="3"/>
  <c r="J32" i="3"/>
  <c r="L32" i="3" s="1"/>
  <c r="O32" i="3" s="1"/>
  <c r="P32" i="3" s="1"/>
  <c r="N31" i="3"/>
  <c r="J31" i="3"/>
  <c r="L31" i="3" s="1"/>
  <c r="O31" i="3" s="1"/>
  <c r="P31" i="3" s="1"/>
  <c r="N30" i="3"/>
  <c r="J30" i="3"/>
  <c r="L30" i="3" s="1"/>
  <c r="O30" i="3" s="1"/>
  <c r="P30" i="3" s="1"/>
  <c r="N29" i="3"/>
  <c r="J29" i="3"/>
  <c r="L29" i="3" s="1"/>
  <c r="N28" i="3"/>
  <c r="J28" i="3"/>
  <c r="L28" i="3" s="1"/>
  <c r="O28" i="3" s="1"/>
  <c r="P28" i="3" s="1"/>
  <c r="N27" i="3"/>
  <c r="J27" i="3"/>
  <c r="N26" i="3"/>
  <c r="J26" i="3"/>
  <c r="L26" i="3" s="1"/>
  <c r="O26" i="3" s="1"/>
  <c r="P26" i="3" s="1"/>
  <c r="N25" i="3"/>
  <c r="J25" i="3"/>
  <c r="L25" i="3" s="1"/>
  <c r="O25" i="3" s="1"/>
  <c r="P25" i="3" s="1"/>
  <c r="O24" i="3"/>
  <c r="P24" i="3" s="1"/>
  <c r="N24" i="3"/>
  <c r="M24" i="3"/>
  <c r="J24" i="3"/>
  <c r="L24" i="3" s="1"/>
  <c r="O23" i="3"/>
  <c r="P23" i="3" s="1"/>
  <c r="N23" i="3"/>
  <c r="M23" i="3"/>
  <c r="J23" i="3"/>
  <c r="L23" i="3" s="1"/>
  <c r="O22" i="3"/>
  <c r="P22" i="3" s="1"/>
  <c r="N22" i="3"/>
  <c r="M22" i="3"/>
  <c r="J22" i="3"/>
  <c r="L22" i="3" s="1"/>
  <c r="N21" i="3"/>
  <c r="J21" i="3"/>
  <c r="L21" i="3" s="1"/>
  <c r="O21" i="3" s="1"/>
  <c r="P21" i="3" s="1"/>
  <c r="N20" i="3"/>
  <c r="J20" i="3"/>
  <c r="L20" i="3" s="1"/>
  <c r="O20" i="3" s="1"/>
  <c r="P20" i="3" s="1"/>
  <c r="N19" i="3"/>
  <c r="J19" i="3"/>
  <c r="L19" i="3" s="1"/>
  <c r="O19" i="3" s="1"/>
  <c r="P19" i="3" s="1"/>
  <c r="N18" i="3"/>
  <c r="J18" i="3"/>
  <c r="L18" i="3" s="1"/>
  <c r="O18" i="3" s="1"/>
  <c r="P18" i="3" s="1"/>
  <c r="N17" i="3"/>
  <c r="J17" i="3"/>
  <c r="L17" i="3" s="1"/>
  <c r="O17" i="3" s="1"/>
  <c r="P17" i="3" s="1"/>
  <c r="N16" i="3"/>
  <c r="J16" i="3"/>
  <c r="L16" i="3" s="1"/>
  <c r="O16" i="3" s="1"/>
  <c r="P16" i="3" s="1"/>
  <c r="N15" i="3"/>
  <c r="J15" i="3"/>
  <c r="L15" i="3" s="1"/>
  <c r="O15" i="3" s="1"/>
  <c r="P15" i="3" s="1"/>
  <c r="N14" i="3"/>
  <c r="J14" i="3"/>
  <c r="L14" i="3" s="1"/>
  <c r="O14" i="3" s="1"/>
  <c r="P14" i="3" s="1"/>
  <c r="O13" i="3"/>
  <c r="P13" i="3" s="1"/>
  <c r="N13" i="3"/>
  <c r="M13" i="3"/>
  <c r="J13" i="3"/>
  <c r="L13" i="3" s="1"/>
  <c r="N12" i="3"/>
  <c r="J12" i="3"/>
  <c r="L12" i="3" s="1"/>
  <c r="O12" i="3" s="1"/>
  <c r="P12" i="3" s="1"/>
  <c r="N11" i="3"/>
  <c r="J11" i="3"/>
  <c r="L11" i="3" s="1"/>
  <c r="O11" i="3" s="1"/>
  <c r="P11" i="3" s="1"/>
  <c r="O10" i="3"/>
  <c r="P10" i="3" s="1"/>
  <c r="N10" i="3"/>
  <c r="M10" i="3"/>
  <c r="J10" i="3"/>
  <c r="L10" i="3" s="1"/>
  <c r="N9" i="3"/>
  <c r="J9" i="3"/>
  <c r="L9" i="3" s="1"/>
  <c r="O9" i="3" s="1"/>
  <c r="P9" i="3" s="1"/>
  <c r="N8" i="3"/>
  <c r="J8" i="3"/>
  <c r="L8" i="3" s="1"/>
  <c r="O8" i="3" s="1"/>
  <c r="P8" i="3" s="1"/>
  <c r="N7" i="3"/>
  <c r="J7" i="3"/>
  <c r="L7" i="3" s="1"/>
  <c r="O7" i="3" s="1"/>
  <c r="P7" i="3" s="1"/>
  <c r="Q25" i="2"/>
  <c r="P25" i="2"/>
  <c r="R24" i="2"/>
  <c r="S24" i="2" s="1"/>
  <c r="Q24" i="2"/>
  <c r="P24" i="2"/>
  <c r="O24" i="2"/>
  <c r="Q23" i="2"/>
  <c r="O23" i="2"/>
  <c r="R23" i="2" s="1"/>
  <c r="S23" i="2" s="1"/>
  <c r="R22" i="2"/>
  <c r="S22" i="2" s="1"/>
  <c r="Q22" i="2"/>
  <c r="P22" i="2"/>
  <c r="O22" i="2"/>
  <c r="R21" i="2"/>
  <c r="S21" i="2" s="1"/>
  <c r="Q21" i="2"/>
  <c r="P21" i="2"/>
  <c r="O21" i="2"/>
  <c r="R20" i="2"/>
  <c r="S20" i="2" s="1"/>
  <c r="Q20" i="2"/>
  <c r="P20" i="2"/>
  <c r="O20" i="2"/>
  <c r="R19" i="2"/>
  <c r="S19" i="2" s="1"/>
  <c r="Q19" i="2"/>
  <c r="P19" i="2"/>
  <c r="O19" i="2"/>
  <c r="Q18" i="2"/>
  <c r="O18" i="2"/>
  <c r="Q17" i="2"/>
  <c r="P17" i="2"/>
  <c r="O17" i="2"/>
  <c r="R17" i="2" s="1"/>
  <c r="S17" i="2" s="1"/>
  <c r="R16" i="2"/>
  <c r="S16" i="2" s="1"/>
  <c r="Q16" i="2"/>
  <c r="P16" i="2"/>
  <c r="O16" i="2"/>
  <c r="Q15" i="2"/>
  <c r="P15" i="2"/>
  <c r="O15" i="2"/>
  <c r="R15" i="2" s="1"/>
  <c r="S15" i="2" s="1"/>
  <c r="R14" i="2"/>
  <c r="S14" i="2" s="1"/>
  <c r="Q14" i="2"/>
  <c r="P14" i="2"/>
  <c r="O14" i="2"/>
  <c r="R13" i="2"/>
  <c r="S13" i="2" s="1"/>
  <c r="Q13" i="2"/>
  <c r="P13" i="2"/>
  <c r="O13" i="2"/>
  <c r="R12" i="2"/>
  <c r="S12" i="2" s="1"/>
  <c r="Q12" i="2"/>
  <c r="P12" i="2"/>
  <c r="O12" i="2"/>
  <c r="R11" i="2"/>
  <c r="S11" i="2" s="1"/>
  <c r="Q11" i="2"/>
  <c r="P11" i="2"/>
  <c r="O11" i="2"/>
  <c r="R10" i="2"/>
  <c r="S10" i="2" s="1"/>
  <c r="Q10" i="2"/>
  <c r="P10" i="2"/>
  <c r="O10" i="2"/>
  <c r="Q9" i="2"/>
  <c r="P9" i="2"/>
  <c r="O9" i="2"/>
  <c r="R9" i="2" s="1"/>
  <c r="S9" i="2" s="1"/>
  <c r="Q8" i="2"/>
  <c r="P8" i="2"/>
  <c r="O8" i="2"/>
  <c r="R8" i="2" s="1"/>
  <c r="S8" i="2" s="1"/>
  <c r="Q7" i="2"/>
  <c r="M7" i="2"/>
  <c r="N71" i="8" l="1"/>
  <c r="O71" i="8" s="1"/>
  <c r="K7" i="8"/>
  <c r="L46" i="3"/>
  <c r="O46" i="3" s="1"/>
  <c r="P46" i="3" s="1"/>
  <c r="P7" i="2"/>
  <c r="N154" i="8"/>
  <c r="O154" i="8" s="1"/>
  <c r="L82" i="8"/>
  <c r="L73" i="8"/>
  <c r="L140" i="8"/>
  <c r="L126" i="8"/>
  <c r="L119" i="8"/>
  <c r="L27" i="3"/>
  <c r="O29" i="3"/>
  <c r="P29" i="3" s="1"/>
  <c r="L113" i="8"/>
  <c r="M147" i="8"/>
  <c r="L121" i="8"/>
  <c r="L95" i="8"/>
  <c r="L103" i="8"/>
  <c r="L107" i="8"/>
  <c r="K99" i="8"/>
  <c r="N99" i="8" s="1"/>
  <c r="O99" i="8" s="1"/>
  <c r="K106" i="8"/>
  <c r="N106" i="8" s="1"/>
  <c r="O106" i="8" s="1"/>
  <c r="L106" i="8"/>
  <c r="K110" i="8"/>
  <c r="N110" i="8" s="1"/>
  <c r="O110" i="8" s="1"/>
  <c r="L130" i="8"/>
  <c r="L74" i="8"/>
  <c r="K123" i="8"/>
  <c r="N123" i="8" s="1"/>
  <c r="O123" i="8" s="1"/>
  <c r="L138" i="8"/>
  <c r="K98" i="8"/>
  <c r="N98" i="8" s="1"/>
  <c r="O98" i="8" s="1"/>
  <c r="K117" i="8"/>
  <c r="N117" i="8" s="1"/>
  <c r="O117" i="8" s="1"/>
  <c r="L150" i="8"/>
  <c r="K111" i="8"/>
  <c r="N111" i="8" s="1"/>
  <c r="O111" i="8" s="1"/>
  <c r="K147" i="8"/>
  <c r="N147" i="8" s="1"/>
  <c r="O147" i="8" s="1"/>
  <c r="K127" i="8"/>
  <c r="N127" i="8" s="1"/>
  <c r="O127" i="8" s="1"/>
  <c r="K116" i="8"/>
  <c r="N116" i="8" s="1"/>
  <c r="O116" i="8" s="1"/>
  <c r="K122" i="8"/>
  <c r="N122" i="8" s="1"/>
  <c r="O122" i="8" s="1"/>
  <c r="L152" i="8"/>
  <c r="K92" i="8"/>
  <c r="N92" i="8" s="1"/>
  <c r="O92" i="8" s="1"/>
  <c r="L118" i="8"/>
  <c r="K131" i="8"/>
  <c r="N131" i="8" s="1"/>
  <c r="O131" i="8" s="1"/>
  <c r="K139" i="8"/>
  <c r="N139" i="8" s="1"/>
  <c r="O139" i="8" s="1"/>
  <c r="L89" i="8"/>
  <c r="L112" i="8"/>
  <c r="L124" i="8"/>
  <c r="P23" i="2"/>
  <c r="K91" i="8"/>
  <c r="N91" i="8" s="1"/>
  <c r="O91" i="8" s="1"/>
  <c r="K96" i="8"/>
  <c r="N96" i="8" s="1"/>
  <c r="O96" i="8" s="1"/>
  <c r="K115" i="8"/>
  <c r="N115" i="8" s="1"/>
  <c r="O115" i="8" s="1"/>
  <c r="K120" i="8"/>
  <c r="N120" i="8" s="1"/>
  <c r="O120" i="8" s="1"/>
  <c r="K129" i="8"/>
  <c r="N129" i="8" s="1"/>
  <c r="O129" i="8" s="1"/>
  <c r="K133" i="8"/>
  <c r="N133" i="8" s="1"/>
  <c r="O133" i="8" s="1"/>
  <c r="K136" i="8"/>
  <c r="N136" i="8" s="1"/>
  <c r="O136" i="8" s="1"/>
  <c r="K137" i="8"/>
  <c r="N137" i="8" s="1"/>
  <c r="O137" i="8" s="1"/>
  <c r="K143" i="8"/>
  <c r="N143" i="8" s="1"/>
  <c r="O143" i="8" s="1"/>
  <c r="K100" i="8"/>
  <c r="N100" i="8" s="1"/>
  <c r="O100" i="8" s="1"/>
  <c r="L114" i="8"/>
  <c r="K135" i="8"/>
  <c r="N135" i="8" s="1"/>
  <c r="O135" i="8" s="1"/>
  <c r="L148" i="8"/>
  <c r="K97" i="8"/>
  <c r="N97" i="8" s="1"/>
  <c r="O97" i="8" s="1"/>
  <c r="K121" i="8"/>
  <c r="L154" i="8"/>
  <c r="L75" i="8"/>
  <c r="K125" i="8"/>
  <c r="N125" i="8" s="1"/>
  <c r="O125" i="8" s="1"/>
  <c r="L147" i="8"/>
  <c r="K72" i="8"/>
  <c r="N72" i="8" s="1"/>
  <c r="O72" i="8" s="1"/>
  <c r="K78" i="8"/>
  <c r="N78" i="8" s="1"/>
  <c r="O78" i="8" s="1"/>
  <c r="K80" i="8"/>
  <c r="N80" i="8" s="1"/>
  <c r="O80" i="8" s="1"/>
  <c r="K86" i="8"/>
  <c r="N86" i="8" s="1"/>
  <c r="O86" i="8" s="1"/>
  <c r="K90" i="8"/>
  <c r="N90" i="8" s="1"/>
  <c r="O90" i="8" s="1"/>
  <c r="K149" i="8"/>
  <c r="N149" i="8" s="1"/>
  <c r="O149" i="8" s="1"/>
  <c r="K151" i="8"/>
  <c r="N151" i="8" s="1"/>
  <c r="O151" i="8" s="1"/>
  <c r="K153" i="8"/>
  <c r="N153" i="8" s="1"/>
  <c r="O153" i="8" s="1"/>
  <c r="K155" i="8"/>
  <c r="N155" i="8" s="1"/>
  <c r="O155" i="8" s="1"/>
  <c r="K157" i="8"/>
  <c r="N157" i="8" s="1"/>
  <c r="O157" i="8" s="1"/>
  <c r="P18" i="2"/>
  <c r="O25" i="2"/>
  <c r="L99" i="8"/>
  <c r="O7" i="2"/>
  <c r="L156" i="8"/>
  <c r="K73" i="8"/>
  <c r="N73" i="8" s="1"/>
  <c r="O73" i="8" s="1"/>
  <c r="R18" i="2"/>
  <c r="S18" i="2" s="1"/>
  <c r="K109" i="8"/>
  <c r="N109" i="8" s="1"/>
  <c r="O109" i="8" s="1"/>
  <c r="K82" i="8"/>
  <c r="R7" i="2" l="1"/>
  <c r="S7" i="2" s="1"/>
  <c r="N82" i="8"/>
  <c r="O82" i="8" s="1"/>
  <c r="R25" i="2"/>
  <c r="S25" i="2" s="1"/>
  <c r="O27" i="3"/>
  <c r="P27" i="3" s="1"/>
  <c r="N121" i="8"/>
  <c r="O121" i="8" s="1"/>
  <c r="M26" i="3" l="1"/>
  <c r="M25" i="3" l="1"/>
  <c r="M46" i="3"/>
  <c r="M16" i="3"/>
  <c r="M44" i="3"/>
  <c r="M17" i="3"/>
  <c r="M62" i="3"/>
  <c r="M52" i="3"/>
  <c r="M45" i="3"/>
  <c r="M54" i="3"/>
  <c r="M73" i="3"/>
  <c r="M7" i="3"/>
  <c r="M70" i="3"/>
  <c r="M19" i="3"/>
  <c r="M59" i="3"/>
  <c r="M8" i="3"/>
  <c r="M21" i="3"/>
  <c r="M6" i="3"/>
  <c r="M18" i="3"/>
  <c r="M12" i="3"/>
  <c r="M57" i="3"/>
  <c r="M30" i="3"/>
  <c r="M32" i="3"/>
  <c r="M27" i="3"/>
  <c r="M31" i="3"/>
  <c r="M20" i="3"/>
  <c r="M71" i="3"/>
  <c r="M56" i="3"/>
  <c r="M72" i="3"/>
  <c r="M43" i="3"/>
  <c r="M11" i="3"/>
  <c r="M29" i="3"/>
  <c r="M67" i="3"/>
  <c r="M64" i="3"/>
  <c r="M39" i="3"/>
  <c r="M14" i="3"/>
  <c r="M9" i="3"/>
  <c r="M28" i="3"/>
  <c r="M68" i="3"/>
  <c r="M69" i="3"/>
  <c r="M60" i="3"/>
  <c r="M15" i="3"/>
  <c r="M66" i="3"/>
  <c r="M53" i="3"/>
</calcChain>
</file>

<file path=xl/sharedStrings.xml><?xml version="1.0" encoding="utf-8"?>
<sst xmlns="http://schemas.openxmlformats.org/spreadsheetml/2006/main" count="891" uniqueCount="662">
  <si>
    <t>Ser</t>
  </si>
  <si>
    <t>(i)</t>
  </si>
  <si>
    <t>(ii)</t>
  </si>
  <si>
    <t>(iii)</t>
  </si>
  <si>
    <t>(iv)</t>
  </si>
  <si>
    <t>(v)</t>
  </si>
  <si>
    <t>(vi)</t>
  </si>
  <si>
    <t>(vii)</t>
  </si>
  <si>
    <t>(viii)</t>
  </si>
  <si>
    <t>(ix)</t>
  </si>
  <si>
    <t>(x)</t>
  </si>
  <si>
    <t>(xi)</t>
  </si>
  <si>
    <t>(xii)</t>
  </si>
  <si>
    <t>(xiii)</t>
  </si>
  <si>
    <t>Category (Make &amp; Type)</t>
  </si>
  <si>
    <t>Eng</t>
  </si>
  <si>
    <t xml:space="preserve">Make &amp; Eqpt </t>
  </si>
  <si>
    <t>Dependency</t>
  </si>
  <si>
    <t>Total NMC (Nos)</t>
  </si>
  <si>
    <t xml:space="preserve">PMC (Nos) 
</t>
  </si>
  <si>
    <t>FMC (Nos)</t>
  </si>
  <si>
    <t>NMC %</t>
  </si>
  <si>
    <t>PMC%</t>
  </si>
  <si>
    <t>FMC %</t>
  </si>
  <si>
    <t>Avl %</t>
  </si>
  <si>
    <t>Auth (UE)</t>
  </si>
  <si>
    <t>Held (UH)</t>
  </si>
  <si>
    <t>Spares</t>
  </si>
  <si>
    <t>OBE</t>
  </si>
  <si>
    <t>(xiv)</t>
  </si>
  <si>
    <t>(xv)</t>
  </si>
  <si>
    <t>NMC Due to</t>
  </si>
  <si>
    <t>PMC (Nos) 
(Due to OH)</t>
  </si>
  <si>
    <t>FMC</t>
  </si>
  <si>
    <t xml:space="preserve">Remarks </t>
  </si>
  <si>
    <t>MUA</t>
  </si>
  <si>
    <t>OH</t>
  </si>
  <si>
    <t>MR</t>
  </si>
  <si>
    <t>FR</t>
  </si>
  <si>
    <t>R4</t>
  </si>
  <si>
    <t>(xvi)</t>
  </si>
  <si>
    <t>(xvii)</t>
  </si>
  <si>
    <t>(xviii)</t>
  </si>
  <si>
    <t>(xix)</t>
  </si>
  <si>
    <t>(xx)</t>
  </si>
  <si>
    <t>FMN READINESS STATE  : ARMT</t>
  </si>
  <si>
    <t>FMN READINESS STATE  : SMALL ARMS</t>
  </si>
  <si>
    <t>FMN READINESS STATE  : INSTS</t>
  </si>
  <si>
    <t xml:space="preserve">NMC due to </t>
  </si>
  <si>
    <t>Remarks (To incl present loc of eqpt EOA)</t>
  </si>
  <si>
    <t xml:space="preserve"> Under OH /R4/FR/  Base Repair</t>
  </si>
  <si>
    <t>SVL / OBSN / SIGHTING EQPTS (THERMAL IMAGING)</t>
  </si>
  <si>
    <t>LASER BASED INSTS</t>
  </si>
  <si>
    <t>PASSIVE NIGHT VISION DEVICES (PNVD)</t>
  </si>
  <si>
    <t>Optical Insts</t>
  </si>
  <si>
    <t xml:space="preserve"> </t>
  </si>
  <si>
    <t>Auth 
(UE)</t>
  </si>
  <si>
    <t>Total</t>
  </si>
  <si>
    <t>Ser No</t>
  </si>
  <si>
    <t>Excavator Loader</t>
  </si>
  <si>
    <t>Wheel Dozer</t>
  </si>
  <si>
    <t>Air Compressor</t>
  </si>
  <si>
    <t xml:space="preserve"> Under OH /MR/R4/
FR/ Base Repair</t>
  </si>
  <si>
    <t>Eng/
 Brl</t>
  </si>
  <si>
    <t>Special Vehicle</t>
  </si>
  <si>
    <t>Ambulance Vehs</t>
  </si>
  <si>
    <t>Recovery Vehs</t>
  </si>
  <si>
    <t>NIV / CIV Pattern Vehs</t>
  </si>
  <si>
    <t>Trailer</t>
  </si>
  <si>
    <t>Misc Vehicles</t>
  </si>
  <si>
    <t>PLANT AND MACHY EQPT</t>
  </si>
  <si>
    <t>Tracked Dozer</t>
  </si>
  <si>
    <t>Construction Eqpt</t>
  </si>
  <si>
    <t>Out Board Motor</t>
  </si>
  <si>
    <t>Mining Eqpt</t>
  </si>
  <si>
    <t>Misc Eqpt</t>
  </si>
  <si>
    <t>BRIDGING EQPT AND MOBILE MASTS</t>
  </si>
  <si>
    <t>Mobile Mast</t>
  </si>
  <si>
    <t>BRIDGING EQPT</t>
  </si>
  <si>
    <t>GENR SET AND CHG SET</t>
  </si>
  <si>
    <t>FMN READINESS STATE :  C VEHS</t>
  </si>
  <si>
    <t xml:space="preserve">Remarks
(Demand details of VOR/EOA ) </t>
  </si>
  <si>
    <t>Addl Eqpt</t>
  </si>
  <si>
    <t>Water Browser</t>
  </si>
  <si>
    <t>Remarks</t>
  </si>
  <si>
    <t>LIGHT &amp; GS  VEHICLE</t>
  </si>
  <si>
    <t>01 x Veh VOR due to Eng block bkn. Defct report  raised on 13 May 2025. Awaited  for JDI by AHSP.</t>
  </si>
  <si>
    <t>01 x Blower Mounting Bracket bkn</t>
  </si>
  <si>
    <t>Defect report fwd to concerned ech on 06 Sep 25</t>
  </si>
  <si>
    <t>FMN READINESS STATE : 'B' VEH OF HQ 17 CORPS (EME) FOR THE MONTH OF OCT 2025</t>
  </si>
  <si>
    <t xml:space="preserve">01 x II Tube fitment under progress
</t>
  </si>
  <si>
    <r>
      <t xml:space="preserve">APPX A-III (a) (C veh)  
</t>
    </r>
    <r>
      <rPr>
        <sz val="12"/>
        <color theme="1"/>
        <rFont val="Arial"/>
        <family val="2"/>
      </rPr>
      <t xml:space="preserve">(Ref HQ 17 Corps (EME) letter No 42146/R&amp;R/EME Tech-01 dt    Dec 2025)
</t>
    </r>
  </si>
  <si>
    <r>
      <t xml:space="preserve"> </t>
    </r>
    <r>
      <rPr>
        <b/>
        <sz val="12"/>
        <color theme="1"/>
        <rFont val="Arial"/>
        <family val="2"/>
      </rPr>
      <t>Appx B</t>
    </r>
    <r>
      <rPr>
        <sz val="12"/>
        <color theme="1"/>
        <rFont val="Arial"/>
        <family val="2"/>
      </rPr>
      <t xml:space="preserve">
(Ref HQ 17 Corps (EME) letter No 42146/
 EME Tech-01 dt    Dec 2025)
</t>
    </r>
  </si>
  <si>
    <r>
      <t xml:space="preserve"> </t>
    </r>
    <r>
      <rPr>
        <b/>
        <sz val="12"/>
        <color theme="1"/>
        <rFont val="Arial"/>
        <family val="2"/>
      </rPr>
      <t>Appx C</t>
    </r>
    <r>
      <rPr>
        <sz val="12"/>
        <color theme="1"/>
        <rFont val="Arial"/>
        <family val="2"/>
      </rPr>
      <t xml:space="preserve">
(Ref HQ 17 Corps (EME) letter No 42146/
 EME Tech-01 dt    Dec 2025)
</t>
    </r>
  </si>
  <si>
    <r>
      <t xml:space="preserve"> </t>
    </r>
    <r>
      <rPr>
        <b/>
        <sz val="12"/>
        <color theme="1"/>
        <rFont val="Arial"/>
        <family val="2"/>
      </rPr>
      <t>Appx E</t>
    </r>
    <r>
      <rPr>
        <sz val="12"/>
        <color theme="1"/>
        <rFont val="Arial"/>
        <family val="2"/>
      </rPr>
      <t xml:space="preserve">
(Ref HQ 17 Corps (EME) letter No 42146/
 EME Tech-01 dt     Dec 2025)
</t>
    </r>
  </si>
  <si>
    <r>
      <t xml:space="preserve">APPX A (B veh)
</t>
    </r>
    <r>
      <rPr>
        <sz val="12"/>
        <color theme="1"/>
        <rFont val="Arial"/>
        <family val="2"/>
      </rPr>
      <t>(Ref HQ 17 Corps (EME) letter No 42146/R&amp;R/
EME Tech-01 dt______ Dec 2025)</t>
    </r>
  </si>
  <si>
    <t>02 x Held incresed due to new unit move in orbit</t>
  </si>
  <si>
    <t>120 x Held incresed due to new unit move in orbit</t>
  </si>
  <si>
    <t>290 x Held incresed due to new unit move in orbit</t>
  </si>
  <si>
    <t>144 x Held incresed due to new unit move in orbit</t>
  </si>
  <si>
    <t>37 x Held incresed due to new unit move in orbit</t>
  </si>
  <si>
    <t>03 x Held Increased due to unit moved from orbit</t>
  </si>
  <si>
    <t>02 x Held Increased due to unit moved from orbit</t>
  </si>
  <si>
    <t xml:space="preserve">71 x Held incresed due to new unit move in orbit
</t>
  </si>
  <si>
    <t xml:space="preserve">32 x Held incresed due to new unit move in orbit
</t>
  </si>
  <si>
    <r>
      <rPr>
        <sz val="12"/>
        <color rgb="FFFF0000"/>
        <rFont val="Arial"/>
        <family val="2"/>
      </rPr>
      <t>02 x eng assy demanded</t>
    </r>
    <r>
      <rPr>
        <sz val="12"/>
        <color theme="1"/>
        <rFont val="Arial"/>
        <family val="2"/>
      </rPr>
      <t xml:space="preserve">
</t>
    </r>
    <r>
      <rPr>
        <sz val="12"/>
        <color rgb="FFFF0000"/>
        <rFont val="Arial"/>
        <family val="2"/>
      </rPr>
      <t>07 x Half  Eng demand</t>
    </r>
    <r>
      <rPr>
        <sz val="12"/>
        <color theme="1"/>
        <rFont val="Arial"/>
        <family val="2"/>
      </rPr>
      <t xml:space="preserve">
</t>
    </r>
    <r>
      <rPr>
        <sz val="12"/>
        <color rgb="FFFF0000"/>
        <rFont val="Arial"/>
        <family val="2"/>
      </rPr>
      <t>03 x Held decresed due to decl CL-V</t>
    </r>
  </si>
  <si>
    <t xml:space="preserve">01 x Front axle assy demanded 
</t>
  </si>
  <si>
    <r>
      <t xml:space="preserve">01 x Eng assy collected and Veh put on road
</t>
    </r>
    <r>
      <rPr>
        <sz val="12"/>
        <color rgb="FFFF0000"/>
        <rFont val="Arial"/>
        <family val="2"/>
      </rPr>
      <t>03 x FAT decl CL V and deposited at RVDP Panagarh</t>
    </r>
  </si>
  <si>
    <t>01 x Held decreased due to Decl CL V &amp; deposited at RVDP Panagargh</t>
  </si>
  <si>
    <t>01 x Held increased due to newly collected.</t>
  </si>
  <si>
    <t>01 x Held increased due to unit move in to orbit.</t>
  </si>
  <si>
    <t xml:space="preserve">01 x Held decreased due to Decl CL V &amp; deposited </t>
  </si>
  <si>
    <t>01 x Held Incresed due to newly issued</t>
  </si>
  <si>
    <t>01 x decl BER</t>
  </si>
  <si>
    <t>01 x BOH completed and collected by user unit</t>
  </si>
  <si>
    <r>
      <t xml:space="preserve">01 x E-875 fwd to CQA (W) on 15 May 2025.  Reply awaited from CQA (W).
</t>
    </r>
    <r>
      <rPr>
        <sz val="12"/>
        <color rgb="FFFF0000"/>
        <rFont val="Arial"/>
        <family val="2"/>
      </rPr>
      <t>01 x BOH completed at collected by user unit.</t>
    </r>
  </si>
  <si>
    <t xml:space="preserve">03 x Held incresed due to new unit move in orbit
</t>
  </si>
  <si>
    <t xml:space="preserve">04 x Held incresed due to new unit move in orbit
</t>
  </si>
  <si>
    <t>01 x Eqpt repair carried out and collected byu user unit</t>
  </si>
  <si>
    <t xml:space="preserve">01 x Patient Monitor repaired and collected
</t>
  </si>
  <si>
    <t>01 x Held decrease due to change in EME-1</t>
  </si>
  <si>
    <t>02 x Genr set Wksp repairing due to AVR Faulty.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</si>
  <si>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</si>
  <si>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</si>
  <si>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</si>
  <si>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</si>
  <si>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</si>
  <si>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</si>
  <si>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</si>
  <si>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</si>
  <si>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</si>
  <si>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</si>
  <si>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</si>
  <si>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</si>
  <si>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</si>
  <si>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</si>
  <si>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</si>
  <si>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</si>
  <si>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</si>
  <si>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</si>
  <si>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</si>
  <si>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</si>
  <si>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</si>
  <si>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</si>
  <si>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</si>
  <si>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</si>
  <si>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</si>
  <si>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</si>
  <si>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</si>
  <si>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</si>
  <si>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</si>
  <si>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</si>
  <si>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</si>
  <si>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</si>
  <si>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</si>
  <si>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</si>
  <si>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</si>
  <si>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</si>
  <si>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</si>
  <si>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</si>
  <si>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</si>
  <si>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</si>
  <si>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</si>
  <si>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</si>
  <si>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</si>
  <si>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</si>
  <si>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</si>
  <si>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</si>
  <si>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</si>
  <si>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</si>
  <si>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</si>
  <si>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</si>
  <si>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</si>
  <si>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</si>
  <si>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</si>
  <si>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</si>
  <si>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</si>
  <si>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</si>
  <si>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</si>
  <si>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</si>
  <si>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</si>
  <si>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</si>
  <si>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</si>
  <si>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</si>
  <si>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</si>
  <si>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</si>
  <si>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</si>
  <si>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</si>
  <si>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</si>
  <si>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</si>
  <si>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</si>
  <si>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</si>
  <si>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</si>
  <si>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</si>
  <si>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</si>
  <si>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</si>
  <si>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</si>
  <si>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</si>
  <si>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</si>
  <si>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</si>
  <si>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</si>
  <si>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</si>
  <si>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</si>
  <si>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</si>
  <si>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</si>
  <si>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</si>
  <si>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</si>
  <si>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</si>
  <si>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</si>
  <si>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</si>
  <si>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</si>
  <si>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</si>
  <si>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</si>
  <si>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</si>
  <si>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</si>
  <si>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</si>
  <si>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</si>
  <si>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</si>
  <si>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</si>
  <si>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</si>
  <si>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</si>
  <si>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</si>
  <si>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</si>
  <si>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</si>
  <si>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</si>
  <si>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</si>
  <si>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</si>
  <si>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</si>
  <si>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</si>
  <si>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</si>
  <si>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</si>
  <si>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</si>
  <si>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</si>
  <si>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</si>
  <si>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</si>
  <si>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</si>
  <si>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</si>
  <si>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</si>
  <si>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</si>
  <si>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</si>
  <si>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</si>
  <si>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</si>
  <si>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</si>
  <si>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</si>
  <si>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</si>
  <si>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</si>
  <si>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</si>
  <si>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</si>
  <si>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</si>
  <si>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</si>
  <si>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</si>
  <si>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</si>
  <si>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01 x Eng assy demanded
02 x Under BOH at W6</t>
  </si>
  <si>
    <t>04 x Vehs under BOH at W6.</t>
  </si>
  <si>
    <t>02 x Scania under BOH at W5 since 06 Mar 2025 &amp; 19 Jun 2025.
01 x Gear Box Assy under OH at W5 since 05 Oct 2024. Further W5 proposed for BER.</t>
  </si>
  <si>
    <r>
      <rPr>
        <sz val="12"/>
        <color rgb="FFFF0000"/>
        <rFont val="Arial"/>
        <family val="2"/>
      </rPr>
      <t>02 x Eng assy demanded</t>
    </r>
    <r>
      <rPr>
        <sz val="12"/>
        <color theme="1"/>
        <rFont val="Arial"/>
        <family val="2"/>
      </rPr>
      <t xml:space="preserve">
02 x Main Gear Box assy demand
01 x Cabin assy  demand 
</t>
    </r>
    <r>
      <rPr>
        <sz val="12"/>
        <color rgb="FFFF0000"/>
        <rFont val="Arial"/>
        <family val="2"/>
      </rPr>
      <t xml:space="preserve">01 x Held incresed due to newly collected </t>
    </r>
  </si>
  <si>
    <r>
      <t xml:space="preserve">01 x Under repair at Z2
</t>
    </r>
    <r>
      <rPr>
        <sz val="12"/>
        <color rgb="FFFF0000"/>
        <rFont val="Arial"/>
        <family val="2"/>
      </rPr>
      <t>02 x Eng Assy under demand
01 x Held Incresed due to newly issued</t>
    </r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</si>
  <si>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</si>
  <si>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</si>
  <si>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</si>
  <si>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</si>
  <si>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</si>
  <si>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</si>
  <si>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</si>
  <si>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</si>
  <si>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</si>
  <si>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</si>
  <si>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</si>
  <si>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</si>
  <si>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</si>
  <si>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</si>
  <si>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</si>
  <si>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</si>
  <si>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</si>
  <si>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</si>
  <si>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</si>
  <si>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</si>
  <si>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</si>
  <si>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</si>
  <si>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</si>
  <si>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</si>
  <si>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</si>
  <si>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</si>
  <si>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</si>
  <si>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</si>
  <si>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</si>
  <si>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</si>
  <si>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</si>
  <si>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</si>
  <si>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</si>
  <si>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</si>
  <si>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</si>
  <si>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</si>
  <si>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</si>
  <si>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</si>
  <si>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</si>
  <si>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</si>
  <si>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</si>
  <si>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</si>
  <si>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</si>
  <si>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</si>
  <si>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</si>
  <si>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</si>
  <si>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</si>
  <si>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</si>
  <si>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</si>
  <si>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</si>
  <si>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</si>
  <si>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</si>
  <si>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</si>
  <si>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</si>
  <si>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</si>
  <si>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</si>
  <si>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</si>
  <si>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</si>
  <si>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</si>
  <si>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</si>
  <si>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</si>
  <si>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</si>
  <si>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</si>
  <si>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</si>
  <si>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</si>
  <si>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</si>
  <si>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</si>
  <si>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</si>
  <si>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</si>
  <si>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</si>
  <si>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</si>
  <si>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</si>
  <si>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</si>
  <si>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</si>
  <si>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</si>
  <si>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</si>
  <si>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</si>
  <si>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</si>
  <si>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</si>
  <si>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</si>
  <si>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</si>
  <si>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</si>
  <si>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</si>
  <si>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</si>
  <si>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</si>
  <si>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</si>
  <si>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</si>
  <si>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</si>
  <si>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</si>
  <si>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</si>
  <si>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</si>
  <si>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</si>
  <si>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</si>
  <si>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</si>
  <si>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</si>
  <si>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</si>
  <si>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</si>
  <si>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</si>
  <si>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</si>
  <si>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</si>
  <si>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</si>
  <si>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</si>
  <si>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</si>
  <si>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</si>
  <si>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</si>
  <si>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</si>
  <si>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</si>
  <si>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</si>
  <si>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</si>
  <si>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</si>
  <si>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</si>
  <si>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</si>
  <si>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</si>
  <si>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</si>
  <si>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</si>
  <si>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</si>
  <si>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</si>
  <si>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</si>
  <si>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</si>
  <si>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</si>
  <si>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</si>
  <si>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</si>
  <si>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</si>
  <si>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</si>
  <si>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</si>
  <si>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</si>
  <si>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</si>
  <si>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</si>
  <si>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</si>
  <si>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</si>
  <si>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</si>
  <si>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</si>
  <si>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</si>
  <si>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</si>
  <si>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</si>
  <si>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</si>
  <si>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</si>
  <si>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</si>
  <si>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</si>
  <si>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</si>
  <si>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</si>
  <si>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</si>
  <si>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</si>
  <si>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</si>
  <si>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</si>
  <si>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</si>
  <si>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</si>
  <si>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</si>
  <si>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</si>
  <si>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</si>
  <si>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</si>
  <si>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</si>
  <si>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</si>
  <si>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</si>
  <si>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</si>
  <si>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</si>
  <si>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</si>
  <si>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</si>
  <si>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</si>
  <si>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</si>
  <si>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</si>
  <si>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</si>
  <si>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</si>
  <si>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</si>
  <si>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</si>
  <si>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</si>
  <si>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</si>
  <si>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</si>
  <si>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</si>
  <si>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</si>
  <si>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</si>
  <si>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</si>
  <si>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</si>
  <si>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</si>
  <si>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</si>
  <si>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</si>
  <si>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</si>
  <si>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</si>
  <si>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</si>
  <si>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</si>
  <si>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</si>
  <si>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</si>
  <si>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</si>
  <si>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</si>
  <si>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</si>
  <si>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</si>
  <si>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</si>
  <si>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</si>
  <si>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</si>
  <si>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</si>
  <si>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</si>
  <si>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</si>
  <si>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</si>
  <si>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</si>
  <si>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</si>
  <si>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</si>
  <si>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</si>
  <si>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</si>
  <si>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</si>
  <si>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</si>
  <si>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</si>
  <si>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</si>
  <si>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01 x 30 KVA Gen Set fwd to Z2 for armature rewinding
02 x Gen under repair at Z2</t>
  </si>
  <si>
    <t>03 x Genr set under repair at W2 since 28 Jan 25 &amp; 16 May 2025 respectively.
02 x Genr set defective items fwd to W2 for repair on 11 Jun 2025.</t>
  </si>
  <si>
    <t>02 x Eqpts under repair at W2.
02 x Eqpt BOH completed and collected by user unit.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</si>
  <si>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</si>
  <si>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</si>
  <si>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</si>
  <si>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</si>
  <si>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</si>
  <si>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</si>
  <si>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</si>
  <si>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</si>
  <si>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</si>
  <si>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</si>
  <si>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</si>
  <si>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</si>
  <si>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</si>
  <si>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</si>
  <si>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</si>
  <si>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</si>
  <si>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</si>
  <si>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</si>
  <si>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</si>
  <si>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28  L-70 Gun upgraded
01 x Guns Faulty item fwd to W7 for repair on 09 May 2025. (PMC)
01 x Guns Faulty item fwd to W7 for repair on 11 May 2025. (PMC)
02 x CIN recd and MUA deposited at W2.(PMC)
01 x DRWO uploaded to HQ BWG portal on 08 Oct 2025.  Awaiting for CIN. (PMC)</t>
  </si>
  <si>
    <t>01 x Gun under BOH at W3 ABW since 08 Aug 2025.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</si>
  <si>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</si>
  <si>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</si>
  <si>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</si>
  <si>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</si>
  <si>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</si>
  <si>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</si>
  <si>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</si>
  <si>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</si>
  <si>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</si>
  <si>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</si>
  <si>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</si>
  <si>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</si>
  <si>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</si>
  <si>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</si>
  <si>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</si>
  <si>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</si>
  <si>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</si>
  <si>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</si>
  <si>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</si>
  <si>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</si>
  <si>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</si>
  <si>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</si>
  <si>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</si>
  <si>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</si>
  <si>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</si>
  <si>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</si>
  <si>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</si>
  <si>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</si>
  <si>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</si>
  <si>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</si>
  <si>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</si>
  <si>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</si>
  <si>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</si>
  <si>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</si>
  <si>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</si>
  <si>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</si>
  <si>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</si>
  <si>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</si>
  <si>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</si>
  <si>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</si>
  <si>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</si>
  <si>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</si>
  <si>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</si>
  <si>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</si>
  <si>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</si>
  <si>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</si>
  <si>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</si>
  <si>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</si>
  <si>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</si>
  <si>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</si>
  <si>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</si>
  <si>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</si>
  <si>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</si>
  <si>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</si>
  <si>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</si>
  <si>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</si>
  <si>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</si>
  <si>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</si>
  <si>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</si>
  <si>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</si>
  <si>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</si>
  <si>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</si>
  <si>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</si>
  <si>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</si>
  <si>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</si>
  <si>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</si>
  <si>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</si>
  <si>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</si>
  <si>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</si>
  <si>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01 x under repair at Z2</t>
  </si>
  <si>
    <t>S1.1</t>
  </si>
  <si>
    <t>S1.2</t>
  </si>
  <si>
    <t>S1.3</t>
  </si>
  <si>
    <t>S1.4</t>
  </si>
  <si>
    <t>S1.5</t>
  </si>
  <si>
    <t>S2.1</t>
  </si>
  <si>
    <t>S2.2</t>
  </si>
  <si>
    <t>S2.3</t>
  </si>
  <si>
    <t>S3.1</t>
  </si>
  <si>
    <t>S3.2</t>
  </si>
  <si>
    <t>S3.3</t>
  </si>
  <si>
    <t>S3.4</t>
  </si>
  <si>
    <t>S3.5</t>
  </si>
  <si>
    <t>S4.1</t>
  </si>
  <si>
    <t>S4.2</t>
  </si>
  <si>
    <t>S4.3</t>
  </si>
  <si>
    <t>S4.4</t>
  </si>
  <si>
    <t>S5.1</t>
  </si>
  <si>
    <t>S5.2</t>
  </si>
  <si>
    <t>S6.1</t>
  </si>
  <si>
    <t>S6.2</t>
  </si>
  <si>
    <t>S6.3</t>
  </si>
  <si>
    <t>S6.4</t>
  </si>
  <si>
    <t>S6.5</t>
  </si>
  <si>
    <t>S7.1</t>
  </si>
  <si>
    <t>S7.2</t>
  </si>
  <si>
    <t>S7.3</t>
  </si>
  <si>
    <t>S7.4</t>
  </si>
  <si>
    <t>S8.1</t>
  </si>
  <si>
    <t>S8.2</t>
  </si>
  <si>
    <t>S9.1</t>
  </si>
  <si>
    <t>S9.2</t>
  </si>
  <si>
    <t>S9.3</t>
  </si>
  <si>
    <t>S9.4</t>
  </si>
  <si>
    <t>S.10.1</t>
  </si>
  <si>
    <t>S10.2</t>
  </si>
  <si>
    <t>S.10.2</t>
  </si>
  <si>
    <t>S10.3</t>
  </si>
  <si>
    <t>S11.2</t>
  </si>
  <si>
    <t>S12.1</t>
  </si>
  <si>
    <t>S13.1</t>
  </si>
  <si>
    <t>S13.2</t>
  </si>
  <si>
    <t>S14.1</t>
  </si>
  <si>
    <t>S14.2</t>
  </si>
  <si>
    <t>S15.1</t>
  </si>
  <si>
    <t>S15.2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</si>
  <si>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</si>
  <si>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</si>
  <si>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</si>
  <si>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</si>
  <si>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</si>
  <si>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</si>
  <si>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</si>
  <si>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</si>
  <si>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</si>
  <si>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</si>
  <si>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</si>
  <si>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</si>
  <si>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</si>
  <si>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</si>
  <si>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</si>
  <si>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</si>
  <si>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</si>
  <si>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</si>
  <si>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</si>
  <si>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</si>
  <si>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</si>
  <si>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</si>
  <si>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</si>
  <si>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</si>
  <si>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</si>
  <si>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</si>
  <si>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</si>
  <si>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</si>
  <si>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</si>
  <si>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</si>
  <si>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</si>
  <si>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</si>
  <si>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</si>
  <si>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</si>
  <si>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</si>
  <si>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</si>
  <si>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</si>
  <si>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</si>
  <si>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</si>
  <si>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</si>
  <si>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</si>
  <si>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</si>
  <si>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</si>
  <si>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</si>
  <si>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</si>
  <si>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</si>
  <si>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</si>
  <si>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</si>
  <si>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</si>
  <si>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</si>
  <si>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</si>
  <si>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</si>
  <si>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</si>
  <si>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</si>
  <si>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</si>
  <si>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</si>
  <si>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</si>
  <si>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</si>
  <si>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</si>
  <si>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</si>
  <si>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</si>
  <si>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01 x Eqpt under repair at Z2 since 10 Dec 2025</t>
  </si>
  <si>
    <t>02 x Eqpts under repair at Z2.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</si>
</sst>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2"/>
      <color theme="1"/>
      <name val="Arial"/>
      <family val="2"/>
    </font>
    <font>
      <b/>
      <u/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indexed="8"/>
      <name val="Calibri"/>
      <family val="2"/>
    </font>
    <font>
      <sz val="12"/>
      <color rgb="FFFF0000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u/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1" fillId="0" borderId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</cellStyleXfs>
  <cellXfs count="235">
    <xf numFmtId="0" fontId="0" fillId="0" borderId="0" xfId="0"/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left" vertical="center" wrapText="1"/>
      <protection locked="0"/>
    </xf>
    <xf numFmtId="0" fontId="4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 applyProtection="1">
      <alignment horizontal="left" vertical="center" wrapText="1"/>
      <protection locked="0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2" borderId="12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8" fillId="2" borderId="1" xfId="0" applyFont="1" applyFill="1" applyBorder="1" applyAlignment="1" applyProtection="1">
      <alignment horizontal="left" vertical="center" wrapText="1"/>
      <protection locked="0"/>
    </xf>
    <xf numFmtId="0" fontId="8" fillId="2" borderId="1" xfId="0" applyFont="1" applyFill="1" applyBorder="1" applyAlignment="1" applyProtection="1">
      <alignment horizontal="left" vertical="top" wrapText="1"/>
      <protection locked="0"/>
    </xf>
    <xf numFmtId="0" fontId="4" fillId="2" borderId="0" xfId="0" applyFont="1" applyFill="1" applyAlignment="1">
      <alignment horizontal="center"/>
    </xf>
    <xf numFmtId="0" fontId="6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4" fillId="2" borderId="1" xfId="0" applyFont="1" applyFill="1" applyBorder="1" applyAlignment="1" applyProtection="1">
      <alignment horizontal="left" vertical="top" wrapText="1"/>
      <protection locked="0"/>
    </xf>
    <xf numFmtId="0" fontId="5" fillId="2" borderId="1" xfId="0" applyFont="1" applyFill="1" applyBorder="1" applyAlignment="1" applyProtection="1">
      <alignment vertical="center" wrapText="1"/>
      <protection locked="0"/>
    </xf>
    <xf numFmtId="0" fontId="0" fillId="2" borderId="0" xfId="0" applyFill="1"/>
    <xf numFmtId="0" fontId="5" fillId="2" borderId="12" xfId="0" applyFont="1" applyFill="1" applyBorder="1" applyAlignment="1" applyProtection="1">
      <alignment horizontal="center" vertical="center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Alignment="1" applyProtection="1">
      <alignment vertical="center"/>
      <protection locked="0"/>
    </xf>
    <xf numFmtId="0" fontId="5" fillId="2" borderId="1" xfId="0" applyFont="1" applyFill="1" applyBorder="1" applyAlignment="1" applyProtection="1">
      <alignment horizontal="left" vertical="top" wrapText="1"/>
      <protection locked="0"/>
    </xf>
    <xf numFmtId="0" fontId="4" fillId="2" borderId="1" xfId="0" applyFont="1" applyFill="1" applyBorder="1" applyAlignment="1" applyProtection="1">
      <alignment horizontal="left" vertical="center"/>
      <protection locked="0"/>
    </xf>
    <xf numFmtId="0" fontId="4" fillId="2" borderId="1" xfId="0" applyFont="1" applyFill="1" applyBorder="1" applyProtection="1">
      <protection locked="0"/>
    </xf>
    <xf numFmtId="0" fontId="4" fillId="2" borderId="1" xfId="0" applyFont="1" applyFill="1" applyBorder="1" applyAlignment="1" applyProtection="1">
      <alignment vertical="center" wrapText="1"/>
      <protection locked="0"/>
    </xf>
    <xf numFmtId="0" fontId="0" fillId="2" borderId="0" xfId="0" applyFill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0" fontId="5" fillId="2" borderId="12" xfId="0" applyFont="1" applyFill="1" applyBorder="1" applyAlignment="1">
      <alignment horizontal="center" vertical="center"/>
    </xf>
    <xf numFmtId="0" fontId="6" fillId="2" borderId="1" xfId="0" applyFont="1" applyFill="1" applyBorder="1" applyAlignment="1" applyProtection="1">
      <alignment horizontal="left" vertical="top" wrapText="1"/>
      <protection locked="0"/>
    </xf>
    <xf numFmtId="0" fontId="4" fillId="2" borderId="1" xfId="0" applyFont="1" applyFill="1" applyBorder="1" applyAlignment="1" applyProtection="1">
      <alignment vertical="top" wrapText="1"/>
      <protection locked="0"/>
    </xf>
    <xf numFmtId="0" fontId="5" fillId="2" borderId="0" xfId="0" applyFont="1" applyFill="1" applyAlignment="1">
      <alignment horizontal="center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/>
      <protection locked="0"/>
    </xf>
    <xf numFmtId="0" fontId="5" fillId="2" borderId="1" xfId="0" applyFont="1" applyFill="1" applyBorder="1" applyAlignment="1" applyProtection="1">
      <alignment vertical="center"/>
      <protection locked="0"/>
    </xf>
    <xf numFmtId="0" fontId="5" fillId="2" borderId="0" xfId="0" applyFont="1" applyFill="1" applyAlignment="1">
      <alignment vertical="center"/>
    </xf>
    <xf numFmtId="0" fontId="4" fillId="2" borderId="0" xfId="5" applyFont="1" applyFill="1" applyAlignment="1">
      <alignment vertical="center"/>
    </xf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vertical="center"/>
    </xf>
    <xf numFmtId="0" fontId="4" fillId="2" borderId="1" xfId="0" applyFont="1" applyFill="1" applyBorder="1" applyAlignment="1" applyProtection="1">
      <alignment wrapText="1"/>
      <protection locked="0"/>
    </xf>
    <xf numFmtId="0" fontId="4" fillId="2" borderId="0" xfId="0" applyFont="1" applyFill="1"/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 applyAlignment="1" applyProtection="1">
      <alignment horizontal="left" wrapText="1"/>
      <protection locked="0"/>
    </xf>
    <xf numFmtId="0" fontId="6" fillId="2" borderId="1" xfId="0" applyFont="1" applyFill="1" applyBorder="1" applyAlignment="1" applyProtection="1">
      <alignment horizontal="left" wrapText="1"/>
      <protection locked="0"/>
    </xf>
    <xf numFmtId="0" fontId="4" fillId="2" borderId="0" xfId="0" applyFont="1" applyFill="1" applyAlignment="1" applyProtection="1">
      <alignment horizontal="left"/>
      <protection locked="0"/>
    </xf>
    <xf numFmtId="0" fontId="5" fillId="2" borderId="1" xfId="0" applyFont="1" applyFill="1" applyBorder="1" applyAlignment="1" applyProtection="1">
      <alignment horizontal="left" vertical="center" wrapText="1"/>
      <protection locked="0"/>
    </xf>
    <xf numFmtId="0" fontId="4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 applyProtection="1">
      <alignment vertical="top" wrapText="1"/>
      <protection locked="0"/>
    </xf>
    <xf numFmtId="0" fontId="4" fillId="2" borderId="1" xfId="0" applyFont="1" applyFill="1" applyBorder="1" applyAlignment="1">
      <alignment vertical="top" wrapText="1"/>
    </xf>
    <xf numFmtId="0" fontId="4" fillId="2" borderId="5" xfId="0" applyFont="1" applyFill="1" applyBorder="1" applyAlignment="1">
      <alignment horizontal="left" vertical="center"/>
    </xf>
    <xf numFmtId="0" fontId="4" fillId="2" borderId="0" xfId="0" applyFont="1" applyFill="1" applyProtection="1">
      <protection locked="0"/>
    </xf>
    <xf numFmtId="0" fontId="6" fillId="2" borderId="1" xfId="0" applyFont="1" applyFill="1" applyBorder="1" applyAlignment="1" applyProtection="1">
      <alignment vertical="center" wrapText="1"/>
      <protection locked="0"/>
    </xf>
    <xf numFmtId="0" fontId="4" fillId="2" borderId="0" xfId="0" applyFont="1" applyFill="1" applyAlignment="1">
      <alignment horizontal="left" indent="2"/>
    </xf>
    <xf numFmtId="0" fontId="6" fillId="2" borderId="1" xfId="0" applyFont="1" applyFill="1" applyBorder="1" applyAlignment="1" applyProtection="1">
      <alignment horizontal="center" wrapText="1"/>
      <protection locked="0"/>
    </xf>
    <xf numFmtId="0" fontId="6" fillId="2" borderId="0" xfId="0" applyFont="1" applyFill="1" applyAlignment="1">
      <alignment horizontal="left" indent="2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left" vertical="top" indent="2"/>
    </xf>
    <xf numFmtId="0" fontId="6" fillId="2" borderId="0" xfId="0" applyFont="1" applyFill="1" applyAlignment="1">
      <alignment horizontal="center"/>
    </xf>
    <xf numFmtId="1" fontId="4" fillId="2" borderId="1" xfId="0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left" indent="2"/>
    </xf>
    <xf numFmtId="0" fontId="4" fillId="2" borderId="0" xfId="0" applyFont="1" applyFill="1" applyAlignment="1">
      <alignment horizontal="left" vertical="top"/>
    </xf>
    <xf numFmtId="0" fontId="6" fillId="2" borderId="1" xfId="0" applyFont="1" applyFill="1" applyBorder="1" applyAlignment="1">
      <alignment horizontal="center" vertical="center" textRotation="255"/>
    </xf>
    <xf numFmtId="0" fontId="6" fillId="2" borderId="1" xfId="0" applyFont="1" applyFill="1" applyBorder="1" applyAlignment="1">
      <alignment horizontal="center" vertical="center" textRotation="90"/>
    </xf>
    <xf numFmtId="1" fontId="6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top" wrapText="1"/>
    </xf>
    <xf numFmtId="1" fontId="4" fillId="2" borderId="1" xfId="0" applyNumberFormat="1" applyFont="1" applyFill="1" applyBorder="1" applyAlignment="1">
      <alignment horizontal="center" vertical="center"/>
    </xf>
    <xf numFmtId="10" fontId="4" fillId="2" borderId="2" xfId="3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 applyProtection="1">
      <alignment horizontal="left" indent="2"/>
      <protection locked="0"/>
    </xf>
    <xf numFmtId="0" fontId="6" fillId="2" borderId="1" xfId="0" applyFont="1" applyFill="1" applyBorder="1" applyAlignment="1" applyProtection="1">
      <alignment horizontal="left" wrapText="1" indent="2"/>
      <protection locked="0"/>
    </xf>
    <xf numFmtId="1" fontId="4" fillId="2" borderId="2" xfId="0" applyNumberFormat="1" applyFont="1" applyFill="1" applyBorder="1" applyAlignment="1">
      <alignment horizontal="center" vertical="center"/>
    </xf>
    <xf numFmtId="1" fontId="4" fillId="2" borderId="3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 applyProtection="1">
      <alignment vertical="top" wrapText="1"/>
      <protection locked="0"/>
    </xf>
    <xf numFmtId="0" fontId="6" fillId="2" borderId="0" xfId="0" applyFont="1" applyFill="1"/>
    <xf numFmtId="0" fontId="8" fillId="2" borderId="1" xfId="0" applyFont="1" applyFill="1" applyBorder="1" applyAlignment="1" applyProtection="1">
      <alignment horizontal="left" wrapText="1"/>
      <protection locked="0"/>
    </xf>
    <xf numFmtId="0" fontId="12" fillId="2" borderId="0" xfId="0" applyFont="1" applyFill="1"/>
    <xf numFmtId="0" fontId="5" fillId="2" borderId="0" xfId="0" applyFont="1" applyFill="1" applyAlignment="1">
      <alignment vertical="top"/>
    </xf>
    <xf numFmtId="0" fontId="6" fillId="2" borderId="1" xfId="0" applyFont="1" applyFill="1" applyBorder="1" applyAlignment="1">
      <alignment vertical="top"/>
    </xf>
    <xf numFmtId="0" fontId="6" fillId="2" borderId="7" xfId="0" applyFont="1" applyFill="1" applyBorder="1" applyAlignment="1">
      <alignment vertical="top"/>
    </xf>
    <xf numFmtId="0" fontId="6" fillId="2" borderId="8" xfId="0" applyFont="1" applyFill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2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vertical="center" wrapText="1"/>
    </xf>
    <xf numFmtId="0" fontId="6" fillId="2" borderId="9" xfId="0" applyFont="1" applyFill="1" applyBorder="1" applyAlignment="1">
      <alignment vertical="top"/>
    </xf>
    <xf numFmtId="0" fontId="6" fillId="2" borderId="10" xfId="0" applyFont="1" applyFill="1" applyBorder="1" applyAlignment="1">
      <alignment vertical="top"/>
    </xf>
    <xf numFmtId="0" fontId="6" fillId="2" borderId="3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top" wrapText="1"/>
    </xf>
    <xf numFmtId="0" fontId="13" fillId="2" borderId="0" xfId="0" applyFont="1" applyFill="1" applyAlignment="1">
      <alignment vertical="center"/>
    </xf>
    <xf numFmtId="0" fontId="5" fillId="2" borderId="4" xfId="0" applyFont="1" applyFill="1" applyBorder="1" applyAlignment="1">
      <alignment vertical="top"/>
    </xf>
    <xf numFmtId="0" fontId="5" fillId="2" borderId="12" xfId="0" applyFont="1" applyFill="1" applyBorder="1" applyAlignment="1">
      <alignment vertical="top"/>
    </xf>
    <xf numFmtId="0" fontId="5" fillId="2" borderId="12" xfId="0" applyFont="1" applyFill="1" applyBorder="1" applyAlignment="1">
      <alignment vertical="top" wrapText="1"/>
    </xf>
    <xf numFmtId="0" fontId="5" fillId="2" borderId="12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vertical="top" wrapText="1"/>
    </xf>
    <xf numFmtId="0" fontId="12" fillId="2" borderId="0" xfId="0" applyFont="1" applyFill="1" applyAlignment="1">
      <alignment vertical="center"/>
    </xf>
    <xf numFmtId="1" fontId="4" fillId="2" borderId="1" xfId="0" applyNumberFormat="1" applyFont="1" applyFill="1" applyBorder="1" applyAlignment="1">
      <alignment horizontal="center" vertical="top"/>
    </xf>
    <xf numFmtId="0" fontId="4" fillId="2" borderId="5" xfId="0" applyFont="1" applyFill="1" applyBorder="1" applyAlignment="1">
      <alignment vertical="top"/>
    </xf>
    <xf numFmtId="0" fontId="6" fillId="2" borderId="1" xfId="0" applyFont="1" applyFill="1" applyBorder="1" applyAlignment="1">
      <alignment wrapText="1"/>
    </xf>
    <xf numFmtId="0" fontId="6" fillId="2" borderId="1" xfId="0" applyFont="1" applyFill="1" applyBorder="1" applyAlignment="1">
      <alignment horizontal="left" wrapText="1"/>
    </xf>
    <xf numFmtId="0" fontId="5" fillId="2" borderId="5" xfId="0" applyFont="1" applyFill="1" applyBorder="1" applyAlignment="1">
      <alignment vertical="top"/>
    </xf>
    <xf numFmtId="0" fontId="13" fillId="2" borderId="0" xfId="0" applyFont="1" applyFill="1"/>
    <xf numFmtId="0" fontId="4" fillId="2" borderId="2" xfId="0" applyFont="1" applyFill="1" applyBorder="1" applyAlignment="1">
      <alignment horizontal="center" vertical="top"/>
    </xf>
    <xf numFmtId="0" fontId="4" fillId="2" borderId="3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vertical="top" wrapText="1"/>
    </xf>
    <xf numFmtId="1" fontId="4" fillId="2" borderId="12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vertical="top" wrapText="1"/>
    </xf>
    <xf numFmtId="0" fontId="12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left" wrapText="1" indent="2"/>
    </xf>
    <xf numFmtId="0" fontId="4" fillId="2" borderId="1" xfId="0" applyFont="1" applyFill="1" applyBorder="1" applyAlignment="1">
      <alignment horizontal="left" wrapText="1"/>
    </xf>
    <xf numFmtId="0" fontId="12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 applyProtection="1">
      <alignment vertical="center" wrapText="1"/>
      <protection locked="0"/>
    </xf>
    <xf numFmtId="0" fontId="8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left" vertical="center"/>
    </xf>
    <xf numFmtId="0" fontId="5" fillId="2" borderId="12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left" vertical="top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vertical="top" wrapText="1"/>
    </xf>
    <xf numFmtId="0" fontId="6" fillId="2" borderId="12" xfId="0" applyFont="1" applyFill="1" applyBorder="1" applyAlignment="1" applyProtection="1">
      <alignment horizontal="center" vertical="center"/>
      <protection locked="0"/>
    </xf>
    <xf numFmtId="0" fontId="6" fillId="2" borderId="12" xfId="0" applyFont="1" applyFill="1" applyBorder="1" applyAlignment="1" applyProtection="1">
      <alignment vertical="center"/>
      <protection locked="0"/>
    </xf>
    <xf numFmtId="0" fontId="4" fillId="2" borderId="4" xfId="5" applyFont="1" applyFill="1" applyBorder="1" applyAlignment="1" applyProtection="1">
      <alignment horizontal="left" wrapText="1"/>
      <protection locked="0"/>
    </xf>
    <xf numFmtId="0" fontId="4" fillId="2" borderId="4" xfId="0" applyFont="1" applyFill="1" applyBorder="1" applyAlignment="1" applyProtection="1">
      <alignment horizontal="left" wrapText="1"/>
      <protection locked="0"/>
    </xf>
    <xf numFmtId="0" fontId="4" fillId="2" borderId="4" xfId="0" applyFont="1" applyFill="1" applyBorder="1" applyAlignment="1" applyProtection="1">
      <alignment horizontal="left"/>
      <protection locked="0"/>
    </xf>
    <xf numFmtId="0" fontId="5" fillId="2" borderId="4" xfId="0" applyFont="1" applyFill="1" applyBorder="1" applyAlignment="1" applyProtection="1">
      <alignment horizontal="left" wrapText="1"/>
      <protection locked="0"/>
    </xf>
    <xf numFmtId="0" fontId="5" fillId="2" borderId="12" xfId="0" applyFont="1" applyFill="1" applyBorder="1" applyAlignment="1" applyProtection="1">
      <alignment horizontal="left"/>
      <protection locked="0"/>
    </xf>
    <xf numFmtId="0" fontId="5" fillId="2" borderId="4" xfId="0" applyFont="1" applyFill="1" applyBorder="1" applyAlignment="1" applyProtection="1">
      <alignment horizontal="left"/>
      <protection locked="0"/>
    </xf>
    <xf numFmtId="0" fontId="4" fillId="2" borderId="4" xfId="0" applyFont="1" applyFill="1" applyBorder="1" applyAlignment="1">
      <alignment horizontal="left" wrapText="1"/>
    </xf>
    <xf numFmtId="0" fontId="8" fillId="2" borderId="4" xfId="0" applyFont="1" applyFill="1" applyBorder="1" applyAlignment="1" applyProtection="1">
      <alignment horizontal="left" wrapText="1"/>
      <protection locked="0"/>
    </xf>
    <xf numFmtId="0" fontId="9" fillId="2" borderId="4" xfId="0" applyFont="1" applyFill="1" applyBorder="1" applyAlignment="1" applyProtection="1">
      <alignment horizontal="left"/>
      <protection locked="0"/>
    </xf>
    <xf numFmtId="0" fontId="9" fillId="2" borderId="4" xfId="0" applyFont="1" applyFill="1" applyBorder="1" applyAlignment="1" applyProtection="1">
      <alignment horizontal="left" wrapText="1"/>
      <protection locked="0"/>
    </xf>
    <xf numFmtId="0" fontId="5" fillId="2" borderId="12" xfId="0" applyFont="1" applyFill="1" applyBorder="1" applyAlignment="1">
      <alignment horizontal="left"/>
    </xf>
    <xf numFmtId="0" fontId="6" fillId="2" borderId="4" xfId="0" applyFont="1" applyFill="1" applyBorder="1" applyAlignment="1" applyProtection="1">
      <alignment horizontal="left" wrapText="1"/>
      <protection locked="0"/>
    </xf>
    <xf numFmtId="0" fontId="4" fillId="2" borderId="4" xfId="5" applyFont="1" applyFill="1" applyBorder="1" applyAlignment="1">
      <alignment horizontal="left" wrapText="1"/>
    </xf>
    <xf numFmtId="0" fontId="6" fillId="2" borderId="4" xfId="5" applyFont="1" applyFill="1" applyBorder="1" applyAlignment="1" applyProtection="1">
      <alignment horizontal="left" wrapText="1"/>
      <protection locked="0"/>
    </xf>
    <xf numFmtId="0" fontId="4" fillId="2" borderId="4" xfId="5" applyFont="1" applyFill="1" applyBorder="1" applyAlignment="1" applyProtection="1">
      <alignment horizontal="left" vertical="center" wrapText="1"/>
      <protection locked="0"/>
    </xf>
    <xf numFmtId="0" fontId="10" fillId="2" borderId="4" xfId="0" applyFont="1" applyFill="1" applyBorder="1" applyAlignment="1" applyProtection="1">
      <alignment horizontal="left" wrapText="1"/>
      <protection locked="0"/>
    </xf>
    <xf numFmtId="0" fontId="4" fillId="2" borderId="4" xfId="5" applyFont="1" applyFill="1" applyBorder="1" applyAlignment="1" applyProtection="1">
      <alignment horizontal="left"/>
      <protection locked="0"/>
    </xf>
    <xf numFmtId="0" fontId="4" fillId="2" borderId="4" xfId="5" applyFont="1" applyFill="1" applyBorder="1" applyAlignment="1" applyProtection="1">
      <alignment horizontal="left" vertical="center"/>
      <protection locked="0"/>
    </xf>
    <xf numFmtId="0" fontId="4" fillId="2" borderId="4" xfId="5" applyFont="1" applyFill="1" applyBorder="1" applyAlignment="1" applyProtection="1">
      <alignment horizontal="left" vertical="top" wrapText="1"/>
      <protection locked="0"/>
    </xf>
    <xf numFmtId="0" fontId="8" fillId="2" borderId="4" xfId="5" applyFont="1" applyFill="1" applyBorder="1" applyAlignment="1">
      <alignment horizontal="left" vertical="center" wrapText="1"/>
    </xf>
    <xf numFmtId="0" fontId="8" fillId="2" borderId="1" xfId="0" applyFont="1" applyFill="1" applyBorder="1" applyAlignment="1" applyProtection="1">
      <alignment horizontal="left" vertical="center"/>
      <protection locked="0"/>
    </xf>
    <xf numFmtId="0" fontId="8" fillId="2" borderId="1" xfId="0" applyFont="1" applyFill="1" applyBorder="1" applyAlignment="1" applyProtection="1">
      <alignment vertical="center"/>
      <protection locked="0"/>
    </xf>
    <xf numFmtId="0" fontId="8" fillId="2" borderId="1" xfId="0" applyFont="1" applyFill="1" applyBorder="1"/>
    <xf numFmtId="0" fontId="8" fillId="2" borderId="1" xfId="0" applyFont="1" applyFill="1" applyBorder="1" applyAlignment="1">
      <alignment horizontal="left" vertical="top"/>
    </xf>
    <xf numFmtId="0" fontId="4" fillId="2" borderId="2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/>
    </xf>
    <xf numFmtId="0" fontId="4" fillId="2" borderId="4" xfId="0" applyFont="1" applyFill="1" applyBorder="1" applyAlignment="1" applyProtection="1">
      <alignment horizontal="left" vertical="center" wrapText="1"/>
      <protection locked="0"/>
    </xf>
    <xf numFmtId="0" fontId="4" fillId="2" borderId="4" xfId="0" applyFont="1" applyFill="1" applyBorder="1" applyAlignment="1">
      <alignment horizontal="left" vertical="top" wrapText="1"/>
    </xf>
    <xf numFmtId="0" fontId="4" fillId="2" borderId="1" xfId="5" applyFont="1" applyFill="1" applyBorder="1" applyAlignment="1" applyProtection="1">
      <alignment vertical="top" wrapText="1"/>
      <protection locked="0"/>
    </xf>
    <xf numFmtId="0" fontId="6" fillId="2" borderId="4" xfId="0" applyFont="1" applyFill="1" applyBorder="1" applyAlignment="1" applyProtection="1">
      <alignment horizontal="left"/>
      <protection locked="0"/>
    </xf>
    <xf numFmtId="0" fontId="4" fillId="2" borderId="4" xfId="5" applyFont="1" applyFill="1" applyBorder="1" applyAlignment="1">
      <alignment horizontal="left" vertical="center" wrapText="1"/>
    </xf>
    <xf numFmtId="0" fontId="8" fillId="2" borderId="4" xfId="0" applyFont="1" applyFill="1" applyBorder="1" applyAlignment="1" applyProtection="1">
      <alignment horizontal="left"/>
      <protection locked="0"/>
    </xf>
    <xf numFmtId="0" fontId="8" fillId="2" borderId="2" xfId="0" applyFont="1" applyFill="1" applyBorder="1" applyAlignment="1">
      <alignment vertical="center"/>
    </xf>
    <xf numFmtId="0" fontId="8" fillId="2" borderId="1" xfId="0" applyFont="1" applyFill="1" applyBorder="1" applyAlignment="1" applyProtection="1">
      <alignment wrapText="1"/>
      <protection locked="0"/>
    </xf>
    <xf numFmtId="0" fontId="8" fillId="2" borderId="1" xfId="0" applyFont="1" applyFill="1" applyBorder="1" applyAlignment="1">
      <alignment wrapText="1"/>
    </xf>
    <xf numFmtId="10" fontId="4" fillId="2" borderId="1" xfId="3" applyNumberFormat="1" applyFont="1" applyFill="1" applyBorder="1" applyAlignment="1" applyProtection="1">
      <alignment horizontal="left" vertical="center" wrapText="1"/>
    </xf>
    <xf numFmtId="0" fontId="8" fillId="2" borderId="4" xfId="0" applyFont="1" applyFill="1" applyBorder="1" applyAlignment="1" applyProtection="1">
      <alignment horizontal="left" vertical="center" wrapText="1"/>
      <protection locked="0"/>
    </xf>
    <xf numFmtId="0" fontId="8" fillId="2" borderId="4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 applyProtection="1">
      <alignment vertical="top" wrapText="1"/>
      <protection locked="0"/>
    </xf>
    <xf numFmtId="0" fontId="4" fillId="2" borderId="4" xfId="0" applyFont="1" applyFill="1" applyBorder="1" applyAlignment="1" applyProtection="1">
      <alignment horizontal="left" vertical="center"/>
      <protection locked="0"/>
    </xf>
    <xf numFmtId="1" fontId="8" fillId="2" borderId="5" xfId="0" applyNumberFormat="1" applyFont="1" applyFill="1" applyBorder="1" applyAlignment="1">
      <alignment vertical="top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center" vertical="top"/>
    </xf>
    <xf numFmtId="0" fontId="4" fillId="2" borderId="5" xfId="0" applyFont="1" applyFill="1" applyBorder="1" applyAlignment="1">
      <alignment horizontal="center" vertical="top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top" wrapText="1"/>
    </xf>
    <xf numFmtId="0" fontId="5" fillId="2" borderId="6" xfId="0" applyFont="1" applyFill="1" applyBorder="1" applyAlignment="1">
      <alignment horizontal="center" vertical="top"/>
    </xf>
    <xf numFmtId="0" fontId="6" fillId="2" borderId="4" xfId="0" applyFont="1" applyFill="1" applyBorder="1" applyAlignment="1">
      <alignment horizontal="center" vertical="top"/>
    </xf>
    <xf numFmtId="0" fontId="6" fillId="2" borderId="12" xfId="0" applyFont="1" applyFill="1" applyBorder="1" applyAlignment="1">
      <alignment horizontal="center" vertical="top"/>
    </xf>
    <xf numFmtId="0" fontId="6" fillId="2" borderId="5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left" vertical="center"/>
    </xf>
    <xf numFmtId="0" fontId="5" fillId="2" borderId="1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/>
    </xf>
    <xf numFmtId="10" fontId="6" fillId="2" borderId="0" xfId="0" applyNumberFormat="1" applyFont="1" applyFill="1" applyAlignment="1">
      <alignment horizontal="center" vertical="center" wrapText="1"/>
    </xf>
    <xf numFmtId="10" fontId="6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top"/>
    </xf>
    <xf numFmtId="0" fontId="5" fillId="2" borderId="0" xfId="0" applyFont="1" applyFill="1" applyAlignment="1">
      <alignment horizontal="center" vertical="top"/>
    </xf>
    <xf numFmtId="0" fontId="5" fillId="2" borderId="6" xfId="0" applyFont="1" applyFill="1" applyBorder="1" applyAlignment="1">
      <alignment horizontal="left" vertical="top"/>
    </xf>
    <xf numFmtId="0" fontId="6" fillId="2" borderId="6" xfId="0" applyFont="1" applyFill="1" applyBorder="1" applyAlignment="1">
      <alignment horizontal="left" vertical="top"/>
    </xf>
    <xf numFmtId="0" fontId="6" fillId="2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/>
    </xf>
    <xf numFmtId="0" fontId="6" fillId="2" borderId="3" xfId="0" applyFont="1" applyFill="1" applyBorder="1" applyAlignment="1">
      <alignment horizontal="center" vertical="top"/>
    </xf>
  </cellXfs>
  <cellStyles count="10">
    <cellStyle name="Normal" xfId="0" builtinId="0"/>
    <cellStyle name="Normal 2" xfId="1" xr:uid="{00000000-0005-0000-0000-000002000000}"/>
    <cellStyle name="Normal 2 2 2" xfId="6" xr:uid="{00000000-0005-0000-0000-000003000000}"/>
    <cellStyle name="Normal 2 4" xfId="7" xr:uid="{00000000-0005-0000-0000-000004000000}"/>
    <cellStyle name="Normal 3" xfId="8" xr:uid="{00000000-0005-0000-0000-000005000000}"/>
    <cellStyle name="Normal 3 2" xfId="9" xr:uid="{00000000-0005-0000-0000-000006000000}"/>
    <cellStyle name="Normal 4" xfId="2" xr:uid="{00000000-0005-0000-0000-000007000000}"/>
    <cellStyle name="Normal 4 2" xfId="4" xr:uid="{00000000-0005-0000-0000-000008000000}"/>
    <cellStyle name="Normal 55" xfId="5" xr:uid="{00000000-0005-0000-0000-000009000000}"/>
    <cellStyle name="Percent" xfId="3" builtinId="5"/>
  </cellStyles>
  <dxfs count="0"/>
  <tableStyles count="0" defaultTableStyle="TableStyleMedium9" defaultPivotStyle="PivotStyleLight16"/>
  <colors>
    <mruColors>
      <color rgb="FF1DA320"/>
      <color rgb="FF0000FF"/>
      <color rgb="FF14721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AE144"/>
  <sheetViews>
    <sheetView view="pageBreakPreview" zoomScale="70" zoomScaleNormal="70" zoomScaleSheetLayoutView="7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J8" sqref="J8"/>
    </sheetView>
  </sheetViews>
  <sheetFormatPr defaultColWidth="9.109375" defaultRowHeight="15" x14ac:dyDescent="0.25"/>
  <cols>
    <col min="1" max="1" width="8.6640625" style="16" customWidth="1"/>
    <col min="2" max="2" width="43" style="40" customWidth="1"/>
    <col min="3" max="3" width="11.44140625" style="16" customWidth="1"/>
    <col min="4" max="4" width="11.109375" style="16" customWidth="1"/>
    <col min="5" max="5" width="7.33203125" style="16" customWidth="1"/>
    <col min="6" max="6" width="5.6640625" style="16" customWidth="1"/>
    <col min="7" max="7" width="7.109375" style="16" customWidth="1"/>
    <col min="8" max="8" width="8.109375" style="16" customWidth="1"/>
    <col min="9" max="9" width="12.5546875" style="16" customWidth="1"/>
    <col min="10" max="10" width="89.6640625" style="46" customWidth="1"/>
    <col min="11" max="23" width="9.109375" style="16"/>
    <col min="24" max="24" width="9.109375" style="16" customWidth="1"/>
    <col min="25" max="16384" width="9.109375" style="16"/>
  </cols>
  <sheetData>
    <row r="1" spans="1:31" ht="54.75" customHeight="1" x14ac:dyDescent="0.25">
      <c r="A1" s="209" t="s">
        <v>95</v>
      </c>
      <c r="B1" s="210"/>
      <c r="C1" s="210"/>
      <c r="D1" s="210"/>
      <c r="E1" s="210"/>
      <c r="F1" s="210"/>
      <c r="G1" s="210"/>
      <c r="H1" s="210"/>
      <c r="I1" s="210"/>
      <c r="J1" s="210"/>
    </row>
    <row r="2" spans="1:31" ht="8.25" customHeight="1" x14ac:dyDescent="0.25">
      <c r="A2" s="210"/>
      <c r="B2" s="210"/>
      <c r="C2" s="210"/>
      <c r="D2" s="210"/>
      <c r="E2" s="210"/>
      <c r="F2" s="210"/>
      <c r="G2" s="210"/>
      <c r="H2" s="210"/>
      <c r="I2" s="210"/>
      <c r="J2" s="210"/>
    </row>
    <row r="3" spans="1:31" ht="24.75" customHeight="1" x14ac:dyDescent="0.3">
      <c r="A3" s="208" t="s">
        <v>89</v>
      </c>
      <c r="B3" s="208"/>
      <c r="C3" s="208"/>
      <c r="D3" s="208"/>
      <c r="E3" s="208"/>
      <c r="F3" s="208"/>
      <c r="G3" s="208"/>
      <c r="H3" s="208"/>
      <c r="I3" s="208"/>
      <c r="J3" s="208"/>
    </row>
    <row r="4" spans="1:31" s="3" customFormat="1" ht="55.5" customHeight="1" x14ac:dyDescent="0.3">
      <c r="A4" s="216" t="s">
        <v>58</v>
      </c>
      <c r="B4" s="216" t="s">
        <v>14</v>
      </c>
      <c r="C4" s="212" t="s">
        <v>17</v>
      </c>
      <c r="D4" s="213"/>
      <c r="E4" s="211"/>
      <c r="F4" s="211"/>
      <c r="G4" s="211"/>
      <c r="H4" s="211"/>
      <c r="I4" s="218" t="s">
        <v>33</v>
      </c>
      <c r="J4" s="216" t="s">
        <v>84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s="3" customFormat="1" ht="15.6" x14ac:dyDescent="0.3">
      <c r="A5" s="217"/>
      <c r="B5" s="217"/>
      <c r="C5" s="125" t="s">
        <v>25</v>
      </c>
      <c r="D5" s="125" t="s">
        <v>26</v>
      </c>
      <c r="E5" s="126" t="s">
        <v>35</v>
      </c>
      <c r="F5" s="126" t="s">
        <v>36</v>
      </c>
      <c r="G5" s="126" t="s">
        <v>39</v>
      </c>
      <c r="H5" s="166" t="s">
        <v>57</v>
      </c>
      <c r="I5" s="219"/>
      <c r="J5" s="217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s="1" customFormat="1" ht="18.75" customHeight="1" x14ac:dyDescent="0.3">
      <c r="A6" s="3" t="s">
        <v>1</v>
      </c>
      <c r="B6" s="18" t="s">
        <v>2</v>
      </c>
      <c r="C6" s="3" t="s">
        <v>3</v>
      </c>
      <c r="D6" s="3" t="s">
        <v>4</v>
      </c>
      <c r="E6" s="3" t="s">
        <v>6</v>
      </c>
      <c r="F6" s="3" t="s">
        <v>8</v>
      </c>
      <c r="G6" s="3" t="s">
        <v>11</v>
      </c>
      <c r="H6" s="3" t="s">
        <v>12</v>
      </c>
      <c r="I6" s="3" t="s">
        <v>30</v>
      </c>
      <c r="J6" s="19" t="s">
        <v>44</v>
      </c>
    </row>
    <row r="7" spans="1:31" s="1" customFormat="1" ht="18.75" customHeight="1" x14ac:dyDescent="0.3">
      <c r="A7" s="20" t="s">
        <v>85</v>
      </c>
      <c r="B7" s="21"/>
      <c r="C7" s="12"/>
      <c r="D7" s="12"/>
      <c r="E7" s="12"/>
      <c r="F7" s="12"/>
      <c r="G7" s="12"/>
      <c r="H7" s="12"/>
      <c r="I7" s="12"/>
      <c r="J7" s="13"/>
    </row>
    <row r="8" spans="1:31" s="22" customFormat="1" ht="45" x14ac:dyDescent="0.25">
      <c r="A8" s="3">
        <v>1</v>
      </c>
      <c r="B8" s="10" t="s">
        <v>122</v>
      </c>
      <c r="C8" s="4">
        <v>907</v>
      </c>
      <c r="D8" s="4">
        <v>594</v>
      </c>
      <c r="E8" s="4">
        <v>9</v>
      </c>
      <c r="F8" s="4">
        <v>0</v>
      </c>
      <c r="G8" s="4">
        <v>0</v>
      </c>
      <c r="H8" s="3">
        <f t="shared" ref="H8:H17" si="0">E8+F8+G8</f>
        <v>9</v>
      </c>
      <c r="I8" s="3">
        <f t="shared" ref="I8" si="1">D8-H8</f>
        <v>585</v>
      </c>
      <c r="J8" s="141" t="s">
        <v>105</v>
      </c>
    </row>
    <row r="9" spans="1:31" s="1" customFormat="1" ht="45" x14ac:dyDescent="0.25">
      <c r="A9" s="18">
        <v>2</v>
      </c>
      <c r="B9" s="10" t="s">
        <v>123</v>
      </c>
      <c r="C9" s="4">
        <v>1222</v>
      </c>
      <c r="D9" s="4">
        <v>969</v>
      </c>
      <c r="E9" s="4">
        <v>3</v>
      </c>
      <c r="F9" s="4">
        <v>0</v>
      </c>
      <c r="G9" s="4">
        <v>0</v>
      </c>
      <c r="H9" s="3">
        <f t="shared" si="0"/>
        <v>3</v>
      </c>
      <c r="I9" s="3">
        <f t="shared" ref="I9:I17" si="2">D9-H9</f>
        <v>966</v>
      </c>
      <c r="J9" s="141" t="s">
        <v>256</v>
      </c>
    </row>
    <row r="10" spans="1:31" s="1" customFormat="1" ht="66" customHeight="1" x14ac:dyDescent="0.3">
      <c r="A10" s="3">
        <v>3</v>
      </c>
      <c r="B10" s="10" t="s">
        <v>124</v>
      </c>
      <c r="C10" s="4">
        <v>1851</v>
      </c>
      <c r="D10" s="4">
        <v>1532</v>
      </c>
      <c r="E10" s="4">
        <v>5</v>
      </c>
      <c r="F10" s="4">
        <v>0</v>
      </c>
      <c r="G10" s="4">
        <v>0</v>
      </c>
      <c r="H10" s="3">
        <f>E10+F10+G10</f>
        <v>5</v>
      </c>
      <c r="I10" s="3">
        <f t="shared" si="2"/>
        <v>1527</v>
      </c>
      <c r="J10" s="159" t="s">
        <v>255</v>
      </c>
    </row>
    <row r="11" spans="1:31" s="1" customFormat="1" ht="18" customHeight="1" x14ac:dyDescent="0.25">
      <c r="A11" s="18">
        <v>4</v>
      </c>
      <c r="B11" s="10" t="s">
        <v>125</v>
      </c>
      <c r="C11" s="4">
        <v>6</v>
      </c>
      <c r="D11" s="4">
        <v>9</v>
      </c>
      <c r="E11" s="4">
        <v>0</v>
      </c>
      <c r="F11" s="4">
        <v>0</v>
      </c>
      <c r="G11" s="4">
        <v>0</v>
      </c>
      <c r="H11" s="3">
        <f t="shared" si="0"/>
        <v>0</v>
      </c>
      <c r="I11" s="3">
        <f t="shared" si="2"/>
        <v>9</v>
      </c>
      <c r="J11" s="142"/>
    </row>
    <row r="12" spans="1:31" s="1" customFormat="1" ht="27" customHeight="1" x14ac:dyDescent="0.25">
      <c r="A12" s="3">
        <v>5</v>
      </c>
      <c r="B12" s="10" t="s">
        <v>126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3">
        <f t="shared" si="0"/>
        <v>0</v>
      </c>
      <c r="I12" s="3">
        <f t="shared" si="2"/>
        <v>0</v>
      </c>
      <c r="J12" s="142"/>
    </row>
    <row r="13" spans="1:31" s="1" customFormat="1" ht="27" customHeight="1" x14ac:dyDescent="0.25">
      <c r="A13" s="18">
        <v>6</v>
      </c>
      <c r="B13" s="10" t="s">
        <v>127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3">
        <f t="shared" si="0"/>
        <v>0</v>
      </c>
      <c r="I13" s="3">
        <f t="shared" si="2"/>
        <v>0</v>
      </c>
      <c r="J13" s="143"/>
    </row>
    <row r="14" spans="1:31" s="1" customFormat="1" ht="27" customHeight="1" x14ac:dyDescent="0.25">
      <c r="A14" s="3">
        <v>7</v>
      </c>
      <c r="B14" s="10" t="s">
        <v>128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3">
        <f t="shared" si="0"/>
        <v>0</v>
      </c>
      <c r="I14" s="3">
        <f t="shared" si="2"/>
        <v>0</v>
      </c>
      <c r="J14" s="143"/>
    </row>
    <row r="15" spans="1:31" s="1" customFormat="1" ht="27" customHeight="1" x14ac:dyDescent="0.25">
      <c r="A15" s="18">
        <v>8</v>
      </c>
      <c r="B15" s="10" t="s">
        <v>129</v>
      </c>
      <c r="C15" s="4">
        <v>2</v>
      </c>
      <c r="D15" s="4">
        <v>1</v>
      </c>
      <c r="E15" s="4">
        <v>0</v>
      </c>
      <c r="F15" s="4">
        <v>0</v>
      </c>
      <c r="G15" s="4">
        <v>0</v>
      </c>
      <c r="H15" s="3">
        <f t="shared" si="0"/>
        <v>0</v>
      </c>
      <c r="I15" s="3">
        <f t="shared" si="2"/>
        <v>1</v>
      </c>
      <c r="J15" s="142"/>
    </row>
    <row r="16" spans="1:31" s="25" customFormat="1" ht="27" customHeight="1" x14ac:dyDescent="0.3">
      <c r="A16" s="3">
        <v>9</v>
      </c>
      <c r="B16" s="10" t="s">
        <v>130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3">
        <f t="shared" si="0"/>
        <v>0</v>
      </c>
      <c r="I16" s="3">
        <f t="shared" si="2"/>
        <v>0</v>
      </c>
      <c r="J16" s="144"/>
    </row>
    <row r="17" spans="1:10" s="25" customFormat="1" ht="27" customHeight="1" x14ac:dyDescent="0.3">
      <c r="A17" s="18">
        <v>10</v>
      </c>
      <c r="B17" s="10" t="s">
        <v>131</v>
      </c>
      <c r="C17" s="4">
        <v>84</v>
      </c>
      <c r="D17" s="4">
        <v>0</v>
      </c>
      <c r="E17" s="4">
        <v>0</v>
      </c>
      <c r="F17" s="4">
        <v>0</v>
      </c>
      <c r="G17" s="4">
        <v>0</v>
      </c>
      <c r="H17" s="3">
        <f t="shared" si="0"/>
        <v>0</v>
      </c>
      <c r="I17" s="3">
        <f t="shared" si="2"/>
        <v>0</v>
      </c>
      <c r="J17" s="144"/>
    </row>
    <row r="18" spans="1:10" s="25" customFormat="1" ht="26.25" customHeight="1" x14ac:dyDescent="0.3">
      <c r="A18" s="21" t="s">
        <v>64</v>
      </c>
      <c r="B18" s="12"/>
      <c r="C18" s="139">
        <v>0</v>
      </c>
      <c r="D18" s="140">
        <v>0</v>
      </c>
      <c r="E18" s="27"/>
      <c r="F18" s="27"/>
      <c r="G18" s="27"/>
      <c r="H18" s="12"/>
      <c r="I18" s="12"/>
      <c r="J18" s="145"/>
    </row>
    <row r="19" spans="1:10" s="1" customFormat="1" ht="26.25" customHeight="1" x14ac:dyDescent="0.25">
      <c r="A19" s="3">
        <v>11</v>
      </c>
      <c r="B19" s="10" t="s">
        <v>132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3">
        <f t="shared" ref="H19:H62" si="3">E19+F19+G19</f>
        <v>0</v>
      </c>
      <c r="I19" s="3">
        <f t="shared" ref="I19" si="4">D19-H19</f>
        <v>0</v>
      </c>
      <c r="J19" s="141"/>
    </row>
    <row r="20" spans="1:10" s="1" customFormat="1" ht="26.25" customHeight="1" x14ac:dyDescent="0.25">
      <c r="A20" s="3">
        <v>12</v>
      </c>
      <c r="B20" s="10" t="s">
        <v>133</v>
      </c>
      <c r="C20" s="4">
        <v>0</v>
      </c>
      <c r="D20" s="4">
        <v>4</v>
      </c>
      <c r="E20" s="4">
        <v>0</v>
      </c>
      <c r="F20" s="4">
        <v>0</v>
      </c>
      <c r="G20" s="4">
        <v>0</v>
      </c>
      <c r="H20" s="3">
        <f t="shared" si="3"/>
        <v>0</v>
      </c>
      <c r="I20" s="3">
        <f t="shared" ref="I20:I24" si="5">D20-H20</f>
        <v>4</v>
      </c>
      <c r="J20" s="141"/>
    </row>
    <row r="21" spans="1:10" s="1" customFormat="1" ht="26.25" customHeight="1" x14ac:dyDescent="0.3">
      <c r="A21" s="3">
        <v>13</v>
      </c>
      <c r="B21" s="10" t="s">
        <v>134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3">
        <f t="shared" si="3"/>
        <v>0</v>
      </c>
      <c r="I21" s="3">
        <f t="shared" si="5"/>
        <v>0</v>
      </c>
      <c r="J21" s="144"/>
    </row>
    <row r="22" spans="1:10" s="1" customFormat="1" ht="26.25" customHeight="1" x14ac:dyDescent="0.25">
      <c r="A22" s="3">
        <v>14</v>
      </c>
      <c r="B22" s="10" t="s">
        <v>135</v>
      </c>
      <c r="C22" s="4">
        <v>0</v>
      </c>
      <c r="D22" s="4">
        <v>1</v>
      </c>
      <c r="E22" s="4">
        <v>0</v>
      </c>
      <c r="F22" s="4">
        <v>0</v>
      </c>
      <c r="G22" s="4">
        <v>0</v>
      </c>
      <c r="H22" s="3">
        <f t="shared" si="3"/>
        <v>0</v>
      </c>
      <c r="I22" s="3">
        <f t="shared" si="5"/>
        <v>1</v>
      </c>
      <c r="J22" s="40"/>
    </row>
    <row r="23" spans="1:10" s="1" customFormat="1" ht="26.25" customHeight="1" x14ac:dyDescent="0.3">
      <c r="A23" s="3">
        <v>15</v>
      </c>
      <c r="B23" s="10" t="s">
        <v>136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3">
        <f t="shared" si="3"/>
        <v>0</v>
      </c>
      <c r="I23" s="3">
        <f t="shared" si="5"/>
        <v>0</v>
      </c>
      <c r="J23" s="146"/>
    </row>
    <row r="24" spans="1:10" s="1" customFormat="1" ht="26.25" customHeight="1" x14ac:dyDescent="0.3">
      <c r="A24" s="3">
        <v>16</v>
      </c>
      <c r="B24" s="10" t="s">
        <v>137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3">
        <f t="shared" si="3"/>
        <v>0</v>
      </c>
      <c r="I24" s="3">
        <f t="shared" si="5"/>
        <v>0</v>
      </c>
      <c r="J24" s="146"/>
    </row>
    <row r="25" spans="1:10" s="1" customFormat="1" ht="66" customHeight="1" x14ac:dyDescent="0.3">
      <c r="A25" s="3">
        <v>17</v>
      </c>
      <c r="B25" s="10" t="s">
        <v>138</v>
      </c>
      <c r="C25" s="4">
        <v>30</v>
      </c>
      <c r="D25" s="4">
        <v>29</v>
      </c>
      <c r="E25" s="4">
        <v>1</v>
      </c>
      <c r="F25" s="4">
        <v>2</v>
      </c>
      <c r="G25" s="4">
        <v>0</v>
      </c>
      <c r="H25" s="3">
        <f t="shared" si="3"/>
        <v>3</v>
      </c>
      <c r="I25" s="3">
        <f t="shared" ref="I25:I62" si="6">D25-H25</f>
        <v>26</v>
      </c>
      <c r="J25" s="168" t="s">
        <v>254</v>
      </c>
    </row>
    <row r="26" spans="1:10" s="1" customFormat="1" ht="23.25" customHeight="1" x14ac:dyDescent="0.3">
      <c r="A26" s="3">
        <v>18</v>
      </c>
      <c r="B26" s="10" t="s">
        <v>139</v>
      </c>
      <c r="C26" s="4">
        <v>0</v>
      </c>
      <c r="D26" s="4">
        <v>2</v>
      </c>
      <c r="E26" s="4">
        <v>1</v>
      </c>
      <c r="F26" s="4">
        <v>0</v>
      </c>
      <c r="G26" s="4">
        <v>0</v>
      </c>
      <c r="H26" s="3">
        <f t="shared" si="3"/>
        <v>1</v>
      </c>
      <c r="I26" s="3">
        <f t="shared" si="6"/>
        <v>1</v>
      </c>
      <c r="J26" s="181" t="s">
        <v>87</v>
      </c>
    </row>
    <row r="27" spans="1:10" s="1" customFormat="1" ht="23.25" customHeight="1" x14ac:dyDescent="0.25">
      <c r="A27" s="3">
        <v>19</v>
      </c>
      <c r="B27" s="10" t="s">
        <v>140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3">
        <f t="shared" si="3"/>
        <v>0</v>
      </c>
      <c r="I27" s="3">
        <f t="shared" si="6"/>
        <v>0</v>
      </c>
      <c r="J27" s="143"/>
    </row>
    <row r="28" spans="1:10" s="1" customFormat="1" ht="23.25" customHeight="1" x14ac:dyDescent="0.25">
      <c r="A28" s="3">
        <v>20</v>
      </c>
      <c r="B28" s="10" t="s">
        <v>141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3">
        <f t="shared" si="3"/>
        <v>0</v>
      </c>
      <c r="I28" s="3">
        <f t="shared" si="6"/>
        <v>0</v>
      </c>
      <c r="J28" s="143"/>
    </row>
    <row r="29" spans="1:10" s="22" customFormat="1" ht="30" x14ac:dyDescent="0.3">
      <c r="A29" s="3">
        <v>21</v>
      </c>
      <c r="B29" s="10" t="s">
        <v>142</v>
      </c>
      <c r="C29" s="4">
        <v>108</v>
      </c>
      <c r="D29" s="4">
        <v>71</v>
      </c>
      <c r="E29" s="4">
        <v>1</v>
      </c>
      <c r="F29" s="4">
        <v>2</v>
      </c>
      <c r="G29" s="4">
        <v>0</v>
      </c>
      <c r="H29" s="3">
        <f t="shared" si="3"/>
        <v>3</v>
      </c>
      <c r="I29" s="3">
        <f t="shared" si="6"/>
        <v>68</v>
      </c>
      <c r="J29" s="169" t="s">
        <v>252</v>
      </c>
    </row>
    <row r="30" spans="1:10" s="22" customFormat="1" ht="31.5" customHeight="1" x14ac:dyDescent="0.25">
      <c r="A30" s="3">
        <v>22</v>
      </c>
      <c r="B30" s="10" t="s">
        <v>143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3">
        <f t="shared" si="3"/>
        <v>0</v>
      </c>
      <c r="I30" s="3">
        <f t="shared" si="6"/>
        <v>0</v>
      </c>
      <c r="J30" s="142"/>
    </row>
    <row r="31" spans="1:10" s="22" customFormat="1" ht="31.5" customHeight="1" x14ac:dyDescent="0.25">
      <c r="A31" s="3">
        <v>23</v>
      </c>
      <c r="B31" s="10" t="s">
        <v>144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3">
        <f t="shared" si="3"/>
        <v>0</v>
      </c>
      <c r="I31" s="3">
        <f t="shared" si="6"/>
        <v>0</v>
      </c>
      <c r="J31" s="142"/>
    </row>
    <row r="32" spans="1:10" s="22" customFormat="1" ht="31.5" customHeight="1" x14ac:dyDescent="0.25">
      <c r="A32" s="3">
        <v>24</v>
      </c>
      <c r="B32" s="10" t="s">
        <v>145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3">
        <f t="shared" si="3"/>
        <v>0</v>
      </c>
      <c r="I32" s="3">
        <f t="shared" si="6"/>
        <v>0</v>
      </c>
      <c r="J32" s="142"/>
    </row>
    <row r="33" spans="1:10" s="22" customFormat="1" ht="31.5" customHeight="1" x14ac:dyDescent="0.25">
      <c r="A33" s="3">
        <v>25</v>
      </c>
      <c r="B33" s="10" t="s">
        <v>146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3">
        <f t="shared" si="3"/>
        <v>0</v>
      </c>
      <c r="I33" s="3">
        <f t="shared" si="6"/>
        <v>0</v>
      </c>
      <c r="J33" s="142"/>
    </row>
    <row r="34" spans="1:10" s="22" customFormat="1" ht="31.5" customHeight="1" x14ac:dyDescent="0.25">
      <c r="A34" s="3">
        <v>26</v>
      </c>
      <c r="B34" s="10" t="s">
        <v>147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3">
        <f t="shared" si="3"/>
        <v>0</v>
      </c>
      <c r="I34" s="3">
        <f t="shared" si="6"/>
        <v>0</v>
      </c>
      <c r="J34" s="142"/>
    </row>
    <row r="35" spans="1:10" s="22" customFormat="1" ht="31.5" customHeight="1" x14ac:dyDescent="0.25">
      <c r="A35" s="3">
        <v>27</v>
      </c>
      <c r="B35" s="10" t="s">
        <v>148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3">
        <f t="shared" si="3"/>
        <v>0</v>
      </c>
      <c r="I35" s="3">
        <f t="shared" si="6"/>
        <v>0</v>
      </c>
      <c r="J35" s="142"/>
    </row>
    <row r="36" spans="1:10" s="1" customFormat="1" ht="36.75" customHeight="1" x14ac:dyDescent="0.3">
      <c r="A36" s="3">
        <v>28</v>
      </c>
      <c r="B36" s="10" t="s">
        <v>149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3">
        <f t="shared" si="3"/>
        <v>0</v>
      </c>
      <c r="I36" s="3">
        <f t="shared" si="6"/>
        <v>0</v>
      </c>
      <c r="J36" s="170"/>
    </row>
    <row r="37" spans="1:10" s="1" customFormat="1" ht="24.75" customHeight="1" x14ac:dyDescent="0.25">
      <c r="A37" s="3">
        <v>29</v>
      </c>
      <c r="B37" s="10" t="s">
        <v>150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3">
        <f t="shared" si="3"/>
        <v>0</v>
      </c>
      <c r="I37" s="3">
        <f t="shared" si="6"/>
        <v>0</v>
      </c>
      <c r="J37" s="143"/>
    </row>
    <row r="38" spans="1:10" s="1" customFormat="1" ht="24.75" customHeight="1" x14ac:dyDescent="0.25">
      <c r="A38" s="3">
        <v>30</v>
      </c>
      <c r="B38" s="10" t="s">
        <v>151</v>
      </c>
      <c r="C38" s="4">
        <v>0</v>
      </c>
      <c r="D38" s="4">
        <v>5</v>
      </c>
      <c r="E38" s="4">
        <v>0</v>
      </c>
      <c r="F38" s="4">
        <v>0</v>
      </c>
      <c r="G38" s="4">
        <v>0</v>
      </c>
      <c r="H38" s="3">
        <f t="shared" si="3"/>
        <v>0</v>
      </c>
      <c r="I38" s="3">
        <f t="shared" si="6"/>
        <v>5</v>
      </c>
      <c r="J38" s="143"/>
    </row>
    <row r="39" spans="1:10" s="25" customFormat="1" ht="24.75" customHeight="1" x14ac:dyDescent="0.3">
      <c r="A39" s="3">
        <v>31</v>
      </c>
      <c r="B39" s="10" t="s">
        <v>152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3">
        <f t="shared" si="3"/>
        <v>0</v>
      </c>
      <c r="I39" s="3">
        <f t="shared" si="6"/>
        <v>0</v>
      </c>
      <c r="J39" s="143"/>
    </row>
    <row r="40" spans="1:10" s="33" customFormat="1" ht="31.5" customHeight="1" x14ac:dyDescent="0.3">
      <c r="A40" s="3">
        <v>32</v>
      </c>
      <c r="B40" s="10" t="s">
        <v>153</v>
      </c>
      <c r="C40" s="4">
        <v>12</v>
      </c>
      <c r="D40" s="4">
        <v>8</v>
      </c>
      <c r="E40" s="4">
        <v>0</v>
      </c>
      <c r="F40" s="4">
        <v>4</v>
      </c>
      <c r="G40" s="4">
        <v>0</v>
      </c>
      <c r="H40" s="3">
        <f t="shared" si="3"/>
        <v>4</v>
      </c>
      <c r="I40" s="3">
        <f t="shared" si="6"/>
        <v>4</v>
      </c>
      <c r="J40" s="167" t="s">
        <v>253</v>
      </c>
    </row>
    <row r="41" spans="1:10" s="25" customFormat="1" ht="24.75" customHeight="1" x14ac:dyDescent="0.3">
      <c r="A41" s="3">
        <v>33</v>
      </c>
      <c r="B41" s="10" t="s">
        <v>154</v>
      </c>
      <c r="C41" s="4">
        <v>3</v>
      </c>
      <c r="D41" s="4">
        <v>8</v>
      </c>
      <c r="E41" s="4">
        <v>0</v>
      </c>
      <c r="F41" s="4">
        <v>0</v>
      </c>
      <c r="G41" s="4">
        <v>0</v>
      </c>
      <c r="H41" s="3">
        <f t="shared" si="3"/>
        <v>0</v>
      </c>
      <c r="I41" s="3">
        <f t="shared" si="6"/>
        <v>8</v>
      </c>
      <c r="J41" s="148"/>
    </row>
    <row r="42" spans="1:10" s="22" customFormat="1" ht="36.75" customHeight="1" x14ac:dyDescent="0.25">
      <c r="A42" s="3">
        <v>34</v>
      </c>
      <c r="B42" s="10" t="s">
        <v>155</v>
      </c>
      <c r="C42" s="4">
        <v>58</v>
      </c>
      <c r="D42" s="4">
        <v>25</v>
      </c>
      <c r="E42" s="4">
        <v>1</v>
      </c>
      <c r="F42" s="4">
        <v>0</v>
      </c>
      <c r="G42" s="4">
        <v>0</v>
      </c>
      <c r="H42" s="3">
        <f t="shared" si="3"/>
        <v>1</v>
      </c>
      <c r="I42" s="3">
        <f t="shared" si="6"/>
        <v>24</v>
      </c>
      <c r="J42" s="148" t="s">
        <v>106</v>
      </c>
    </row>
    <row r="43" spans="1:10" s="22" customFormat="1" ht="24.75" customHeight="1" x14ac:dyDescent="0.25">
      <c r="A43" s="3">
        <v>35</v>
      </c>
      <c r="B43" s="10" t="s">
        <v>156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3">
        <f t="shared" si="3"/>
        <v>0</v>
      </c>
      <c r="I43" s="3">
        <f t="shared" si="6"/>
        <v>0</v>
      </c>
      <c r="J43" s="142"/>
    </row>
    <row r="44" spans="1:10" s="22" customFormat="1" ht="31.5" customHeight="1" x14ac:dyDescent="0.25">
      <c r="A44" s="3">
        <v>36</v>
      </c>
      <c r="B44" s="10" t="s">
        <v>157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3">
        <f t="shared" si="3"/>
        <v>0</v>
      </c>
      <c r="I44" s="3">
        <f t="shared" si="6"/>
        <v>0</v>
      </c>
      <c r="J44" s="142"/>
    </row>
    <row r="45" spans="1:10" s="22" customFormat="1" ht="24.75" customHeight="1" x14ac:dyDescent="0.25">
      <c r="A45" s="3">
        <v>37</v>
      </c>
      <c r="B45" s="10" t="s">
        <v>158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3">
        <f t="shared" si="3"/>
        <v>0</v>
      </c>
      <c r="I45" s="3">
        <f t="shared" si="6"/>
        <v>0</v>
      </c>
      <c r="J45" s="142"/>
    </row>
    <row r="46" spans="1:10" s="22" customFormat="1" ht="24.75" customHeight="1" x14ac:dyDescent="0.25">
      <c r="A46" s="3">
        <v>38</v>
      </c>
      <c r="B46" s="10" t="s">
        <v>159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3">
        <f t="shared" si="3"/>
        <v>0</v>
      </c>
      <c r="I46" s="3">
        <f t="shared" si="6"/>
        <v>0</v>
      </c>
      <c r="J46" s="142"/>
    </row>
    <row r="47" spans="1:10" s="22" customFormat="1" ht="24.75" customHeight="1" x14ac:dyDescent="0.25">
      <c r="A47" s="3">
        <v>39</v>
      </c>
      <c r="B47" s="10" t="s">
        <v>160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3">
        <f t="shared" si="3"/>
        <v>0</v>
      </c>
      <c r="I47" s="3">
        <f t="shared" si="6"/>
        <v>0</v>
      </c>
      <c r="J47" s="142"/>
    </row>
    <row r="48" spans="1:10" s="25" customFormat="1" ht="24.75" customHeight="1" x14ac:dyDescent="0.3">
      <c r="A48" s="3">
        <v>40</v>
      </c>
      <c r="B48" s="10" t="s">
        <v>161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3">
        <f t="shared" si="3"/>
        <v>0</v>
      </c>
      <c r="I48" s="3">
        <f t="shared" si="6"/>
        <v>0</v>
      </c>
      <c r="J48" s="144"/>
    </row>
    <row r="49" spans="1:11" s="1" customFormat="1" ht="24.75" customHeight="1" x14ac:dyDescent="0.3">
      <c r="A49" s="3">
        <v>41</v>
      </c>
      <c r="B49" s="10" t="s">
        <v>162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3">
        <f t="shared" si="3"/>
        <v>0</v>
      </c>
      <c r="I49" s="3">
        <f t="shared" si="6"/>
        <v>0</v>
      </c>
      <c r="J49" s="170"/>
    </row>
    <row r="50" spans="1:11" s="1" customFormat="1" ht="24.75" customHeight="1" x14ac:dyDescent="0.3">
      <c r="A50" s="3">
        <v>42</v>
      </c>
      <c r="B50" s="10" t="s">
        <v>163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3">
        <f t="shared" si="3"/>
        <v>0</v>
      </c>
      <c r="I50" s="3">
        <f t="shared" si="6"/>
        <v>0</v>
      </c>
      <c r="J50" s="146"/>
    </row>
    <row r="51" spans="1:11" s="1" customFormat="1" ht="35.25" customHeight="1" x14ac:dyDescent="0.3">
      <c r="A51" s="3">
        <v>43</v>
      </c>
      <c r="B51" s="10" t="s">
        <v>164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3">
        <f t="shared" si="3"/>
        <v>0</v>
      </c>
      <c r="I51" s="3">
        <f t="shared" si="6"/>
        <v>0</v>
      </c>
      <c r="J51" s="146"/>
    </row>
    <row r="52" spans="1:11" s="1" customFormat="1" ht="35.25" customHeight="1" x14ac:dyDescent="0.3">
      <c r="A52" s="3">
        <v>44</v>
      </c>
      <c r="B52" s="10" t="s">
        <v>165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3">
        <f t="shared" si="3"/>
        <v>0</v>
      </c>
      <c r="I52" s="3">
        <f t="shared" si="6"/>
        <v>0</v>
      </c>
      <c r="J52" s="146"/>
    </row>
    <row r="53" spans="1:11" s="1" customFormat="1" ht="28.5" customHeight="1" x14ac:dyDescent="0.3">
      <c r="A53" s="3">
        <v>45</v>
      </c>
      <c r="B53" s="10" t="s">
        <v>166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3">
        <f t="shared" si="3"/>
        <v>0</v>
      </c>
      <c r="I53" s="3">
        <f t="shared" si="6"/>
        <v>0</v>
      </c>
      <c r="J53" s="146"/>
    </row>
    <row r="54" spans="1:11" s="1" customFormat="1" ht="28.5" customHeight="1" x14ac:dyDescent="0.25">
      <c r="A54" s="3">
        <v>46</v>
      </c>
      <c r="B54" s="10" t="s">
        <v>167</v>
      </c>
      <c r="C54" s="4">
        <v>0</v>
      </c>
      <c r="D54" s="4">
        <v>76</v>
      </c>
      <c r="E54" s="4">
        <v>0</v>
      </c>
      <c r="F54" s="4">
        <v>0</v>
      </c>
      <c r="G54" s="4">
        <v>0</v>
      </c>
      <c r="H54" s="3">
        <f t="shared" si="3"/>
        <v>0</v>
      </c>
      <c r="I54" s="3">
        <f t="shared" si="6"/>
        <v>76</v>
      </c>
      <c r="J54" s="142"/>
    </row>
    <row r="55" spans="1:11" s="1" customFormat="1" ht="33.75" customHeight="1" x14ac:dyDescent="0.3">
      <c r="A55" s="3">
        <v>47</v>
      </c>
      <c r="B55" s="10" t="s">
        <v>168</v>
      </c>
      <c r="C55" s="4">
        <v>35</v>
      </c>
      <c r="D55" s="4">
        <v>42</v>
      </c>
      <c r="E55" s="4">
        <v>0</v>
      </c>
      <c r="F55" s="4">
        <v>0</v>
      </c>
      <c r="G55" s="4">
        <v>0</v>
      </c>
      <c r="H55" s="3">
        <f t="shared" si="3"/>
        <v>0</v>
      </c>
      <c r="I55" s="3">
        <f t="shared" si="6"/>
        <v>42</v>
      </c>
      <c r="J55" s="167"/>
    </row>
    <row r="56" spans="1:11" s="1" customFormat="1" ht="30" x14ac:dyDescent="0.3">
      <c r="A56" s="3">
        <v>48</v>
      </c>
      <c r="B56" s="10" t="s">
        <v>169</v>
      </c>
      <c r="C56" s="4">
        <v>368</v>
      </c>
      <c r="D56" s="4">
        <v>299</v>
      </c>
      <c r="E56" s="4">
        <v>1</v>
      </c>
      <c r="F56" s="4">
        <v>0</v>
      </c>
      <c r="G56" s="4">
        <v>0</v>
      </c>
      <c r="H56" s="3">
        <f t="shared" si="3"/>
        <v>1</v>
      </c>
      <c r="I56" s="3">
        <f t="shared" si="6"/>
        <v>298</v>
      </c>
      <c r="J56" s="137" t="s">
        <v>107</v>
      </c>
      <c r="K56" s="1">
        <v>3</v>
      </c>
    </row>
    <row r="57" spans="1:11" s="1" customFormat="1" ht="25.5" customHeight="1" x14ac:dyDescent="0.25">
      <c r="A57" s="3">
        <v>49</v>
      </c>
      <c r="B57" s="10" t="s">
        <v>170</v>
      </c>
      <c r="C57" s="4">
        <v>1</v>
      </c>
      <c r="D57" s="4">
        <v>1</v>
      </c>
      <c r="E57" s="4">
        <v>0</v>
      </c>
      <c r="F57" s="4">
        <v>0</v>
      </c>
      <c r="G57" s="4">
        <v>0</v>
      </c>
      <c r="H57" s="3">
        <f t="shared" si="3"/>
        <v>0</v>
      </c>
      <c r="I57" s="3">
        <f t="shared" si="6"/>
        <v>1</v>
      </c>
      <c r="J57" s="143"/>
    </row>
    <row r="58" spans="1:11" s="1" customFormat="1" ht="25.5" customHeight="1" x14ac:dyDescent="0.25">
      <c r="A58" s="3">
        <v>50</v>
      </c>
      <c r="B58" s="10" t="s">
        <v>171</v>
      </c>
      <c r="C58" s="4">
        <v>0</v>
      </c>
      <c r="D58" s="4">
        <v>1</v>
      </c>
      <c r="E58" s="4">
        <v>0</v>
      </c>
      <c r="F58" s="4">
        <v>0</v>
      </c>
      <c r="G58" s="4">
        <v>0</v>
      </c>
      <c r="H58" s="3">
        <f t="shared" si="3"/>
        <v>0</v>
      </c>
      <c r="I58" s="3">
        <f t="shared" si="6"/>
        <v>1</v>
      </c>
      <c r="J58" s="143"/>
    </row>
    <row r="59" spans="1:11" s="34" customFormat="1" ht="25.5" customHeight="1" x14ac:dyDescent="0.3">
      <c r="A59" s="3">
        <v>51</v>
      </c>
      <c r="B59" s="10" t="s">
        <v>172</v>
      </c>
      <c r="C59" s="4">
        <v>4</v>
      </c>
      <c r="D59" s="4">
        <v>1</v>
      </c>
      <c r="E59" s="4">
        <v>0</v>
      </c>
      <c r="F59" s="4">
        <v>0</v>
      </c>
      <c r="G59" s="4">
        <v>0</v>
      </c>
      <c r="H59" s="3">
        <f t="shared" si="3"/>
        <v>0</v>
      </c>
      <c r="I59" s="3">
        <f t="shared" si="6"/>
        <v>1</v>
      </c>
      <c r="J59" s="149"/>
    </row>
    <row r="60" spans="1:11" s="34" customFormat="1" ht="25.5" customHeight="1" x14ac:dyDescent="0.3">
      <c r="A60" s="3">
        <v>52</v>
      </c>
      <c r="B60" s="10" t="s">
        <v>173</v>
      </c>
      <c r="C60" s="4">
        <v>9</v>
      </c>
      <c r="D60" s="4">
        <v>1</v>
      </c>
      <c r="E60" s="4">
        <v>0</v>
      </c>
      <c r="F60" s="4">
        <v>0</v>
      </c>
      <c r="G60" s="4">
        <v>0</v>
      </c>
      <c r="H60" s="3">
        <f t="shared" si="3"/>
        <v>0</v>
      </c>
      <c r="I60" s="3">
        <f t="shared" si="6"/>
        <v>1</v>
      </c>
      <c r="J60" s="149"/>
    </row>
    <row r="61" spans="1:11" s="34" customFormat="1" ht="16.8" x14ac:dyDescent="0.3">
      <c r="A61" s="3">
        <v>53</v>
      </c>
      <c r="B61" s="10" t="s">
        <v>174</v>
      </c>
      <c r="C61" s="4">
        <v>14</v>
      </c>
      <c r="D61" s="4">
        <v>2</v>
      </c>
      <c r="E61" s="4">
        <v>0</v>
      </c>
      <c r="F61" s="4">
        <v>0</v>
      </c>
      <c r="G61" s="4">
        <v>0</v>
      </c>
      <c r="H61" s="3">
        <f t="shared" si="3"/>
        <v>0</v>
      </c>
      <c r="I61" s="3">
        <f t="shared" si="6"/>
        <v>2</v>
      </c>
      <c r="J61" s="150"/>
    </row>
    <row r="62" spans="1:11" s="1" customFormat="1" ht="25.5" customHeight="1" x14ac:dyDescent="0.25">
      <c r="A62" s="3">
        <v>54</v>
      </c>
      <c r="B62" s="10" t="s">
        <v>175</v>
      </c>
      <c r="C62" s="4">
        <v>1</v>
      </c>
      <c r="D62" s="4">
        <v>0</v>
      </c>
      <c r="E62" s="4">
        <v>0</v>
      </c>
      <c r="F62" s="4">
        <v>0</v>
      </c>
      <c r="G62" s="4">
        <v>0</v>
      </c>
      <c r="H62" s="3">
        <f t="shared" si="3"/>
        <v>0</v>
      </c>
      <c r="I62" s="3">
        <f t="shared" si="6"/>
        <v>0</v>
      </c>
      <c r="J62" s="143"/>
    </row>
    <row r="63" spans="1:11" s="34" customFormat="1" ht="30.75" customHeight="1" x14ac:dyDescent="0.3">
      <c r="A63" s="21" t="s">
        <v>65</v>
      </c>
      <c r="B63" s="12"/>
      <c r="C63" s="26">
        <v>0</v>
      </c>
      <c r="D63" s="27">
        <v>0</v>
      </c>
      <c r="E63" s="27"/>
      <c r="F63" s="27"/>
      <c r="G63" s="27"/>
      <c r="H63" s="12"/>
      <c r="I63" s="12"/>
      <c r="J63" s="145"/>
    </row>
    <row r="64" spans="1:11" s="1" customFormat="1" ht="30.75" customHeight="1" x14ac:dyDescent="0.25">
      <c r="A64" s="18">
        <v>55</v>
      </c>
      <c r="B64" s="10" t="s">
        <v>176</v>
      </c>
      <c r="C64" s="4">
        <v>1</v>
      </c>
      <c r="D64" s="4">
        <v>3</v>
      </c>
      <c r="E64" s="4">
        <v>0</v>
      </c>
      <c r="F64" s="4">
        <v>0</v>
      </c>
      <c r="G64" s="4">
        <v>0</v>
      </c>
      <c r="H64" s="3">
        <f t="shared" ref="H64:H70" si="7">E64+F64+G64</f>
        <v>0</v>
      </c>
      <c r="I64" s="3">
        <f t="shared" ref="I64" si="8">D64-H64</f>
        <v>3</v>
      </c>
      <c r="J64" s="142"/>
    </row>
    <row r="65" spans="1:10" s="1" customFormat="1" ht="30.75" customHeight="1" x14ac:dyDescent="0.25">
      <c r="A65" s="3">
        <v>56</v>
      </c>
      <c r="B65" s="10" t="s">
        <v>177</v>
      </c>
      <c r="C65" s="4">
        <v>55</v>
      </c>
      <c r="D65" s="4">
        <v>44</v>
      </c>
      <c r="E65" s="4">
        <v>0</v>
      </c>
      <c r="F65" s="4">
        <v>0</v>
      </c>
      <c r="G65" s="4">
        <v>0</v>
      </c>
      <c r="H65" s="3">
        <f t="shared" si="7"/>
        <v>0</v>
      </c>
      <c r="I65" s="3">
        <f t="shared" ref="I65:I70" si="9">D65-H65</f>
        <v>44</v>
      </c>
      <c r="J65" s="142"/>
    </row>
    <row r="66" spans="1:10" s="1" customFormat="1" ht="30.75" customHeight="1" x14ac:dyDescent="0.25">
      <c r="A66" s="18">
        <v>57</v>
      </c>
      <c r="B66" s="10" t="s">
        <v>178</v>
      </c>
      <c r="C66" s="4">
        <v>14</v>
      </c>
      <c r="D66" s="4">
        <v>29</v>
      </c>
      <c r="E66" s="4">
        <v>0</v>
      </c>
      <c r="F66" s="4">
        <v>0</v>
      </c>
      <c r="G66" s="4">
        <v>0</v>
      </c>
      <c r="H66" s="3">
        <f t="shared" si="7"/>
        <v>0</v>
      </c>
      <c r="I66" s="3">
        <f t="shared" si="9"/>
        <v>29</v>
      </c>
      <c r="J66" s="142"/>
    </row>
    <row r="67" spans="1:10" s="1" customFormat="1" ht="34.5" customHeight="1" x14ac:dyDescent="0.25">
      <c r="A67" s="3">
        <v>58</v>
      </c>
      <c r="B67" s="10" t="s">
        <v>179</v>
      </c>
      <c r="C67" s="4">
        <v>46</v>
      </c>
      <c r="D67" s="4">
        <v>21</v>
      </c>
      <c r="E67" s="4">
        <v>0</v>
      </c>
      <c r="F67" s="4">
        <v>0</v>
      </c>
      <c r="G67" s="4">
        <v>0</v>
      </c>
      <c r="H67" s="3">
        <f t="shared" si="7"/>
        <v>0</v>
      </c>
      <c r="I67" s="3">
        <f t="shared" si="9"/>
        <v>21</v>
      </c>
      <c r="J67" s="141"/>
    </row>
    <row r="68" spans="1:10" s="1" customFormat="1" ht="30.75" customHeight="1" x14ac:dyDescent="0.25">
      <c r="A68" s="18">
        <v>59</v>
      </c>
      <c r="B68" s="10" t="s">
        <v>180</v>
      </c>
      <c r="C68" s="4">
        <v>8</v>
      </c>
      <c r="D68" s="4">
        <v>0</v>
      </c>
      <c r="E68" s="4">
        <v>0</v>
      </c>
      <c r="F68" s="4">
        <v>0</v>
      </c>
      <c r="G68" s="4">
        <v>0</v>
      </c>
      <c r="H68" s="3">
        <f t="shared" si="7"/>
        <v>0</v>
      </c>
      <c r="I68" s="3">
        <f t="shared" si="9"/>
        <v>0</v>
      </c>
      <c r="J68" s="172"/>
    </row>
    <row r="69" spans="1:10" s="1" customFormat="1" ht="30.75" customHeight="1" x14ac:dyDescent="0.25">
      <c r="A69" s="3">
        <v>60</v>
      </c>
      <c r="B69" s="10" t="s">
        <v>181</v>
      </c>
      <c r="C69" s="4">
        <v>8</v>
      </c>
      <c r="D69" s="4">
        <v>20</v>
      </c>
      <c r="E69" s="4">
        <v>0</v>
      </c>
      <c r="F69" s="4">
        <v>0</v>
      </c>
      <c r="G69" s="4">
        <v>0</v>
      </c>
      <c r="H69" s="3">
        <f t="shared" si="7"/>
        <v>0</v>
      </c>
      <c r="I69" s="3">
        <f t="shared" si="9"/>
        <v>20</v>
      </c>
      <c r="J69" s="141"/>
    </row>
    <row r="70" spans="1:10" s="25" customFormat="1" ht="30.75" customHeight="1" x14ac:dyDescent="0.3">
      <c r="A70" s="18">
        <v>61</v>
      </c>
      <c r="B70" s="10" t="s">
        <v>182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3">
        <f t="shared" si="7"/>
        <v>0</v>
      </c>
      <c r="I70" s="3">
        <f t="shared" si="9"/>
        <v>0</v>
      </c>
      <c r="J70" s="143"/>
    </row>
    <row r="71" spans="1:10" s="1" customFormat="1" ht="30.75" customHeight="1" x14ac:dyDescent="0.3">
      <c r="A71" s="21" t="s">
        <v>66</v>
      </c>
      <c r="B71" s="12"/>
      <c r="C71" s="26">
        <v>0</v>
      </c>
      <c r="D71" s="27">
        <v>0</v>
      </c>
      <c r="E71" s="27"/>
      <c r="F71" s="27"/>
      <c r="G71" s="27"/>
      <c r="H71" s="12"/>
      <c r="I71" s="12"/>
      <c r="J71" s="145"/>
    </row>
    <row r="72" spans="1:10" s="1" customFormat="1" x14ac:dyDescent="0.25">
      <c r="A72" s="3">
        <v>62</v>
      </c>
      <c r="B72" s="10" t="s">
        <v>183</v>
      </c>
      <c r="C72" s="4">
        <v>32</v>
      </c>
      <c r="D72" s="4">
        <v>2</v>
      </c>
      <c r="E72" s="4">
        <v>0</v>
      </c>
      <c r="F72" s="4">
        <v>0</v>
      </c>
      <c r="G72" s="4">
        <v>0</v>
      </c>
      <c r="H72" s="3">
        <f>E72+F72+G72</f>
        <v>0</v>
      </c>
      <c r="I72" s="3">
        <f>D72-H72</f>
        <v>2</v>
      </c>
      <c r="J72" s="148"/>
    </row>
    <row r="73" spans="1:10" s="1" customFormat="1" x14ac:dyDescent="0.25">
      <c r="A73" s="18">
        <v>63</v>
      </c>
      <c r="B73" s="10" t="s">
        <v>184</v>
      </c>
      <c r="C73" s="4">
        <v>78</v>
      </c>
      <c r="D73" s="4">
        <v>83</v>
      </c>
      <c r="E73" s="4">
        <v>0</v>
      </c>
      <c r="F73" s="4">
        <v>0</v>
      </c>
      <c r="G73" s="4">
        <v>0</v>
      </c>
      <c r="H73" s="3">
        <f t="shared" ref="H73:H74" si="10">E73+F73+G73</f>
        <v>0</v>
      </c>
      <c r="I73" s="3">
        <f t="shared" ref="I73:I74" si="11">D73-H73</f>
        <v>83</v>
      </c>
      <c r="J73" s="148"/>
    </row>
    <row r="74" spans="1:10" s="25" customFormat="1" ht="15.6" x14ac:dyDescent="0.3">
      <c r="A74" s="3">
        <v>64</v>
      </c>
      <c r="B74" s="10" t="s">
        <v>185</v>
      </c>
      <c r="C74" s="4">
        <v>0</v>
      </c>
      <c r="D74" s="4">
        <v>4</v>
      </c>
      <c r="E74" s="4">
        <v>0</v>
      </c>
      <c r="F74" s="4">
        <v>0</v>
      </c>
      <c r="G74" s="4">
        <v>0</v>
      </c>
      <c r="H74" s="3">
        <f t="shared" si="10"/>
        <v>0</v>
      </c>
      <c r="I74" s="3">
        <f t="shared" si="11"/>
        <v>4</v>
      </c>
      <c r="J74" s="143"/>
    </row>
    <row r="75" spans="1:10" s="1" customFormat="1" ht="15.6" x14ac:dyDescent="0.3">
      <c r="A75" s="214" t="s">
        <v>83</v>
      </c>
      <c r="B75" s="215"/>
      <c r="C75" s="36">
        <v>0</v>
      </c>
      <c r="D75" s="128">
        <v>0</v>
      </c>
      <c r="E75" s="128"/>
      <c r="F75" s="128"/>
      <c r="G75" s="128"/>
      <c r="H75" s="128"/>
      <c r="I75" s="128"/>
      <c r="J75" s="151"/>
    </row>
    <row r="76" spans="1:10" s="1" customFormat="1" x14ac:dyDescent="0.25">
      <c r="A76" s="3">
        <v>65</v>
      </c>
      <c r="B76" s="10" t="s">
        <v>186</v>
      </c>
      <c r="C76" s="4">
        <v>132</v>
      </c>
      <c r="D76" s="4">
        <v>137</v>
      </c>
      <c r="E76" s="4">
        <v>0</v>
      </c>
      <c r="F76" s="4">
        <v>0</v>
      </c>
      <c r="G76" s="4">
        <v>0</v>
      </c>
      <c r="H76" s="3">
        <f>E76+F76+G76</f>
        <v>0</v>
      </c>
      <c r="I76" s="3">
        <f>D76-H76</f>
        <v>137</v>
      </c>
      <c r="J76" s="148"/>
    </row>
    <row r="77" spans="1:10" s="1" customFormat="1" x14ac:dyDescent="0.25">
      <c r="A77" s="3">
        <v>66</v>
      </c>
      <c r="B77" s="10" t="s">
        <v>187</v>
      </c>
      <c r="C77" s="4">
        <v>179</v>
      </c>
      <c r="D77" s="4">
        <v>117</v>
      </c>
      <c r="E77" s="4">
        <v>0</v>
      </c>
      <c r="F77" s="4">
        <v>0</v>
      </c>
      <c r="G77" s="4">
        <v>0</v>
      </c>
      <c r="H77" s="3">
        <f>E77+F77+G77</f>
        <v>0</v>
      </c>
      <c r="I77" s="3">
        <f>D77-H77</f>
        <v>117</v>
      </c>
      <c r="J77" s="148"/>
    </row>
    <row r="78" spans="1:10" s="25" customFormat="1" ht="15.75" customHeight="1" x14ac:dyDescent="0.3">
      <c r="A78" s="21" t="s">
        <v>67</v>
      </c>
      <c r="B78" s="12"/>
      <c r="C78" s="26">
        <v>0</v>
      </c>
      <c r="D78" s="27">
        <v>0</v>
      </c>
      <c r="E78" s="27"/>
      <c r="F78" s="27"/>
      <c r="G78" s="27"/>
      <c r="H78" s="12"/>
      <c r="I78" s="12"/>
      <c r="J78" s="145"/>
    </row>
    <row r="79" spans="1:10" s="1" customFormat="1" x14ac:dyDescent="0.3">
      <c r="A79" s="3">
        <v>67</v>
      </c>
      <c r="B79" s="10" t="s">
        <v>188</v>
      </c>
      <c r="C79" s="4">
        <v>12</v>
      </c>
      <c r="D79" s="4">
        <v>8</v>
      </c>
      <c r="E79" s="4">
        <v>0</v>
      </c>
      <c r="F79" s="4">
        <v>0</v>
      </c>
      <c r="G79" s="4">
        <v>0</v>
      </c>
      <c r="H79" s="3">
        <f t="shared" ref="H79:H99" si="12">E79+F79+G79</f>
        <v>0</v>
      </c>
      <c r="I79" s="3">
        <f t="shared" ref="I79" si="13">D79-H79</f>
        <v>8</v>
      </c>
      <c r="J79" s="171"/>
    </row>
    <row r="80" spans="1:10" s="1" customFormat="1" x14ac:dyDescent="0.25">
      <c r="A80" s="18">
        <v>68</v>
      </c>
      <c r="B80" s="10" t="s">
        <v>189</v>
      </c>
      <c r="C80" s="4">
        <v>135</v>
      </c>
      <c r="D80" s="4">
        <v>162</v>
      </c>
      <c r="E80" s="4">
        <v>0</v>
      </c>
      <c r="F80" s="4">
        <v>0</v>
      </c>
      <c r="G80" s="4">
        <v>0</v>
      </c>
      <c r="H80" s="3">
        <f t="shared" si="12"/>
        <v>0</v>
      </c>
      <c r="I80" s="3">
        <f t="shared" ref="I80:I96" si="14">D80-H80</f>
        <v>162</v>
      </c>
      <c r="J80" s="148" t="s">
        <v>109</v>
      </c>
    </row>
    <row r="81" spans="1:10" s="1" customFormat="1" x14ac:dyDescent="0.3">
      <c r="A81" s="3">
        <v>69</v>
      </c>
      <c r="B81" s="10" t="s">
        <v>190</v>
      </c>
      <c r="C81" s="4">
        <v>266</v>
      </c>
      <c r="D81" s="4">
        <v>240</v>
      </c>
      <c r="E81" s="4">
        <v>0</v>
      </c>
      <c r="F81" s="4">
        <v>0</v>
      </c>
      <c r="G81" s="4">
        <v>0</v>
      </c>
      <c r="H81" s="3">
        <f t="shared" si="12"/>
        <v>0</v>
      </c>
      <c r="I81" s="3">
        <f t="shared" si="14"/>
        <v>240</v>
      </c>
      <c r="J81" s="160" t="s">
        <v>108</v>
      </c>
    </row>
    <row r="82" spans="1:10" s="1" customFormat="1" ht="26.25" customHeight="1" x14ac:dyDescent="0.3">
      <c r="A82" s="18">
        <v>70</v>
      </c>
      <c r="B82" s="10" t="s">
        <v>191</v>
      </c>
      <c r="C82" s="4">
        <v>8</v>
      </c>
      <c r="D82" s="4">
        <v>10</v>
      </c>
      <c r="E82" s="4">
        <v>0</v>
      </c>
      <c r="F82" s="4">
        <v>0</v>
      </c>
      <c r="G82" s="4">
        <v>0</v>
      </c>
      <c r="H82" s="3">
        <f t="shared" si="12"/>
        <v>0</v>
      </c>
      <c r="I82" s="3">
        <f t="shared" si="14"/>
        <v>10</v>
      </c>
      <c r="J82" s="152"/>
    </row>
    <row r="83" spans="1:10" s="1" customFormat="1" ht="26.25" customHeight="1" x14ac:dyDescent="0.25">
      <c r="A83" s="3">
        <v>71</v>
      </c>
      <c r="B83" s="10" t="s">
        <v>192</v>
      </c>
      <c r="C83" s="4">
        <v>2</v>
      </c>
      <c r="D83" s="4">
        <v>9</v>
      </c>
      <c r="E83" s="4">
        <v>0</v>
      </c>
      <c r="F83" s="4">
        <v>0</v>
      </c>
      <c r="G83" s="4">
        <v>0</v>
      </c>
      <c r="H83" s="3">
        <f t="shared" si="12"/>
        <v>0</v>
      </c>
      <c r="I83" s="3">
        <f t="shared" si="14"/>
        <v>9</v>
      </c>
      <c r="J83" s="153"/>
    </row>
    <row r="84" spans="1:10" s="1" customFormat="1" x14ac:dyDescent="0.3">
      <c r="A84" s="18">
        <v>72</v>
      </c>
      <c r="B84" s="10" t="s">
        <v>193</v>
      </c>
      <c r="C84" s="4">
        <v>3</v>
      </c>
      <c r="D84" s="4">
        <v>86</v>
      </c>
      <c r="E84" s="4">
        <v>0</v>
      </c>
      <c r="F84" s="4">
        <v>0</v>
      </c>
      <c r="G84" s="4">
        <v>0</v>
      </c>
      <c r="H84" s="3">
        <f t="shared" si="12"/>
        <v>0</v>
      </c>
      <c r="I84" s="3">
        <f t="shared" si="14"/>
        <v>86</v>
      </c>
      <c r="J84" s="160"/>
    </row>
    <row r="85" spans="1:10" s="1" customFormat="1" ht="36" customHeight="1" x14ac:dyDescent="0.25">
      <c r="A85" s="3">
        <v>73</v>
      </c>
      <c r="B85" s="10" t="s">
        <v>194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3">
        <f t="shared" si="12"/>
        <v>0</v>
      </c>
      <c r="I85" s="3">
        <f t="shared" si="14"/>
        <v>0</v>
      </c>
      <c r="J85" s="143"/>
    </row>
    <row r="86" spans="1:10" s="1" customFormat="1" ht="26.25" customHeight="1" x14ac:dyDescent="0.25">
      <c r="A86" s="18">
        <v>74</v>
      </c>
      <c r="B86" s="10" t="s">
        <v>195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3">
        <f t="shared" si="12"/>
        <v>0</v>
      </c>
      <c r="I86" s="3">
        <f t="shared" si="14"/>
        <v>0</v>
      </c>
      <c r="J86" s="143"/>
    </row>
    <row r="87" spans="1:10" s="25" customFormat="1" ht="26.25" customHeight="1" x14ac:dyDescent="0.3">
      <c r="A87" s="3">
        <v>75</v>
      </c>
      <c r="B87" s="10" t="s">
        <v>196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3">
        <f t="shared" si="12"/>
        <v>0</v>
      </c>
      <c r="I87" s="3">
        <f t="shared" si="14"/>
        <v>0</v>
      </c>
      <c r="J87" s="143"/>
    </row>
    <row r="88" spans="1:10" s="25" customFormat="1" ht="26.25" customHeight="1" x14ac:dyDescent="0.3">
      <c r="A88" s="18">
        <v>76</v>
      </c>
      <c r="B88" s="10" t="s">
        <v>197</v>
      </c>
      <c r="C88" s="4">
        <v>0</v>
      </c>
      <c r="D88" s="4">
        <v>4</v>
      </c>
      <c r="E88" s="4">
        <v>0</v>
      </c>
      <c r="F88" s="4">
        <v>0</v>
      </c>
      <c r="G88" s="4">
        <v>0</v>
      </c>
      <c r="H88" s="3">
        <f t="shared" si="12"/>
        <v>0</v>
      </c>
      <c r="I88" s="3">
        <f t="shared" si="14"/>
        <v>4</v>
      </c>
      <c r="J88" s="143"/>
    </row>
    <row r="89" spans="1:10" s="1" customFormat="1" ht="26.25" customHeight="1" x14ac:dyDescent="0.25">
      <c r="A89" s="3">
        <v>77</v>
      </c>
      <c r="B89" s="10" t="s">
        <v>198</v>
      </c>
      <c r="C89" s="4">
        <v>0</v>
      </c>
      <c r="D89" s="4">
        <v>12</v>
      </c>
      <c r="E89" s="4">
        <v>0</v>
      </c>
      <c r="F89" s="4">
        <v>0</v>
      </c>
      <c r="G89" s="4">
        <v>0</v>
      </c>
      <c r="H89" s="3">
        <f t="shared" si="12"/>
        <v>0</v>
      </c>
      <c r="I89" s="3">
        <f t="shared" si="14"/>
        <v>12</v>
      </c>
      <c r="J89" s="142"/>
    </row>
    <row r="90" spans="1:10" s="1" customFormat="1" ht="35.25" customHeight="1" x14ac:dyDescent="0.3">
      <c r="A90" s="18">
        <v>78</v>
      </c>
      <c r="B90" s="10" t="s">
        <v>199</v>
      </c>
      <c r="C90" s="4">
        <v>21</v>
      </c>
      <c r="D90" s="4">
        <v>99</v>
      </c>
      <c r="E90" s="4">
        <v>0</v>
      </c>
      <c r="F90" s="4">
        <v>0</v>
      </c>
      <c r="G90" s="4">
        <v>0</v>
      </c>
      <c r="H90" s="3">
        <f t="shared" si="12"/>
        <v>0</v>
      </c>
      <c r="I90" s="3">
        <f t="shared" si="14"/>
        <v>99</v>
      </c>
      <c r="J90" s="177" t="s">
        <v>110</v>
      </c>
    </row>
    <row r="91" spans="1:10" s="1" customFormat="1" ht="25.5" customHeight="1" x14ac:dyDescent="0.3">
      <c r="A91" s="3">
        <v>79</v>
      </c>
      <c r="B91" s="10" t="s">
        <v>200</v>
      </c>
      <c r="C91" s="4">
        <v>0</v>
      </c>
      <c r="D91" s="4">
        <v>3</v>
      </c>
      <c r="E91" s="4">
        <v>0</v>
      </c>
      <c r="F91" s="4">
        <v>0</v>
      </c>
      <c r="G91" s="4">
        <v>0</v>
      </c>
      <c r="H91" s="3">
        <f t="shared" si="12"/>
        <v>0</v>
      </c>
      <c r="I91" s="3">
        <f t="shared" si="14"/>
        <v>3</v>
      </c>
      <c r="J91" s="154"/>
    </row>
    <row r="92" spans="1:10" s="1" customFormat="1" ht="25.5" customHeight="1" x14ac:dyDescent="0.25">
      <c r="A92" s="18">
        <v>80</v>
      </c>
      <c r="B92" s="10" t="s">
        <v>201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3">
        <f t="shared" si="12"/>
        <v>0</v>
      </c>
      <c r="I92" s="3">
        <f t="shared" si="14"/>
        <v>0</v>
      </c>
      <c r="J92" s="142"/>
    </row>
    <row r="93" spans="1:10" s="1" customFormat="1" ht="25.5" customHeight="1" x14ac:dyDescent="0.25">
      <c r="A93" s="3">
        <v>81</v>
      </c>
      <c r="B93" s="10" t="s">
        <v>202</v>
      </c>
      <c r="C93" s="4">
        <v>8</v>
      </c>
      <c r="D93" s="4">
        <v>0</v>
      </c>
      <c r="E93" s="4">
        <v>0</v>
      </c>
      <c r="F93" s="4">
        <v>0</v>
      </c>
      <c r="G93" s="4">
        <v>0</v>
      </c>
      <c r="H93" s="3">
        <f t="shared" si="12"/>
        <v>0</v>
      </c>
      <c r="I93" s="3">
        <f t="shared" si="14"/>
        <v>0</v>
      </c>
      <c r="J93" s="153"/>
    </row>
    <row r="94" spans="1:10" s="1" customFormat="1" ht="31.5" customHeight="1" x14ac:dyDescent="0.3">
      <c r="A94" s="18">
        <v>82</v>
      </c>
      <c r="B94" s="10" t="s">
        <v>203</v>
      </c>
      <c r="C94" s="4">
        <v>95</v>
      </c>
      <c r="D94" s="4">
        <v>93</v>
      </c>
      <c r="E94" s="4">
        <v>0</v>
      </c>
      <c r="F94" s="4">
        <v>0</v>
      </c>
      <c r="G94" s="4">
        <v>0</v>
      </c>
      <c r="H94" s="3">
        <f t="shared" si="12"/>
        <v>0</v>
      </c>
      <c r="I94" s="3">
        <f t="shared" si="14"/>
        <v>93</v>
      </c>
      <c r="J94" s="178" t="s">
        <v>111</v>
      </c>
    </row>
    <row r="95" spans="1:10" s="1" customFormat="1" ht="27" customHeight="1" x14ac:dyDescent="0.25">
      <c r="A95" s="3">
        <v>83</v>
      </c>
      <c r="B95" s="10" t="s">
        <v>204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3">
        <f t="shared" si="12"/>
        <v>0</v>
      </c>
      <c r="I95" s="3">
        <f t="shared" si="14"/>
        <v>0</v>
      </c>
      <c r="J95" s="142"/>
    </row>
    <row r="96" spans="1:10" s="1" customFormat="1" ht="27" customHeight="1" x14ac:dyDescent="0.25">
      <c r="A96" s="18">
        <v>84</v>
      </c>
      <c r="B96" s="10" t="s">
        <v>205</v>
      </c>
      <c r="C96" s="4">
        <v>1</v>
      </c>
      <c r="D96" s="4">
        <v>4</v>
      </c>
      <c r="E96" s="4">
        <v>0</v>
      </c>
      <c r="F96" s="4">
        <v>0</v>
      </c>
      <c r="G96" s="4">
        <v>0</v>
      </c>
      <c r="H96" s="3">
        <f t="shared" si="12"/>
        <v>0</v>
      </c>
      <c r="I96" s="3">
        <f t="shared" si="14"/>
        <v>4</v>
      </c>
      <c r="J96" s="142"/>
    </row>
    <row r="97" spans="1:31" ht="27" customHeight="1" x14ac:dyDescent="0.3">
      <c r="A97" s="39" t="s">
        <v>68</v>
      </c>
      <c r="C97" s="41">
        <v>0</v>
      </c>
      <c r="D97" s="42">
        <v>0</v>
      </c>
      <c r="E97" s="42"/>
      <c r="F97" s="42"/>
      <c r="G97" s="42"/>
      <c r="J97" s="53"/>
    </row>
    <row r="98" spans="1:31" s="21" customFormat="1" ht="27" customHeight="1" x14ac:dyDescent="0.3">
      <c r="A98" s="3">
        <v>85</v>
      </c>
      <c r="B98" s="10" t="s">
        <v>206</v>
      </c>
      <c r="C98" s="4">
        <v>3</v>
      </c>
      <c r="D98" s="4">
        <v>0</v>
      </c>
      <c r="E98" s="4">
        <v>0</v>
      </c>
      <c r="F98" s="4">
        <v>0</v>
      </c>
      <c r="G98" s="4">
        <v>0</v>
      </c>
      <c r="H98" s="3">
        <f t="shared" si="12"/>
        <v>0</v>
      </c>
      <c r="I98" s="3">
        <f t="shared" ref="I98:I99" si="15">D98-H98</f>
        <v>0</v>
      </c>
      <c r="J98" s="146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</row>
    <row r="99" spans="1:31" s="1" customFormat="1" ht="36" customHeight="1" x14ac:dyDescent="0.25">
      <c r="A99" s="3">
        <v>86</v>
      </c>
      <c r="B99" s="10" t="s">
        <v>207</v>
      </c>
      <c r="C99" s="4">
        <v>24</v>
      </c>
      <c r="D99" s="4">
        <v>11</v>
      </c>
      <c r="E99" s="4">
        <v>0</v>
      </c>
      <c r="F99" s="4">
        <v>0</v>
      </c>
      <c r="G99" s="4">
        <v>0</v>
      </c>
      <c r="H99" s="3">
        <f t="shared" si="12"/>
        <v>0</v>
      </c>
      <c r="I99" s="3">
        <f t="shared" si="15"/>
        <v>11</v>
      </c>
      <c r="J99" s="147"/>
    </row>
    <row r="100" spans="1:31" s="1" customFormat="1" ht="15.6" x14ac:dyDescent="0.3">
      <c r="A100" s="21" t="s">
        <v>69</v>
      </c>
      <c r="B100" s="12"/>
      <c r="C100" s="26">
        <v>0</v>
      </c>
      <c r="D100" s="27">
        <v>0</v>
      </c>
      <c r="E100" s="27"/>
      <c r="F100" s="27"/>
      <c r="G100" s="27"/>
      <c r="H100" s="12"/>
      <c r="I100" s="3"/>
      <c r="J100" s="145"/>
    </row>
    <row r="101" spans="1:31" s="1" customFormat="1" ht="28.5" customHeight="1" x14ac:dyDescent="0.25">
      <c r="A101" s="3">
        <v>87</v>
      </c>
      <c r="B101" s="10" t="s">
        <v>208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3">
        <f t="shared" ref="H101:H138" si="16">E101+F101+G101</f>
        <v>0</v>
      </c>
      <c r="I101" s="3">
        <f t="shared" ref="I101:I104" si="17">D101-H101</f>
        <v>0</v>
      </c>
      <c r="J101" s="142"/>
    </row>
    <row r="102" spans="1:31" s="1" customFormat="1" ht="28.5" customHeight="1" x14ac:dyDescent="0.25">
      <c r="A102" s="3">
        <v>88</v>
      </c>
      <c r="B102" s="10" t="s">
        <v>209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3">
        <f t="shared" si="16"/>
        <v>0</v>
      </c>
      <c r="I102" s="3">
        <f t="shared" si="17"/>
        <v>0</v>
      </c>
      <c r="J102" s="142"/>
    </row>
    <row r="103" spans="1:31" s="1" customFormat="1" ht="30" x14ac:dyDescent="0.3">
      <c r="A103" s="3">
        <v>89</v>
      </c>
      <c r="B103" s="10" t="s">
        <v>210</v>
      </c>
      <c r="C103" s="4">
        <v>6</v>
      </c>
      <c r="D103" s="4">
        <v>19</v>
      </c>
      <c r="E103" s="4">
        <v>1</v>
      </c>
      <c r="F103" s="4">
        <v>0</v>
      </c>
      <c r="G103" s="4">
        <v>0</v>
      </c>
      <c r="H103" s="3">
        <f t="shared" si="16"/>
        <v>1</v>
      </c>
      <c r="I103" s="3">
        <f t="shared" si="17"/>
        <v>18</v>
      </c>
      <c r="J103" s="155" t="s">
        <v>86</v>
      </c>
    </row>
    <row r="104" spans="1:31" s="1" customFormat="1" ht="28.5" customHeight="1" x14ac:dyDescent="0.25">
      <c r="A104" s="3">
        <v>90</v>
      </c>
      <c r="B104" s="10" t="s">
        <v>211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3">
        <f t="shared" si="16"/>
        <v>0</v>
      </c>
      <c r="I104" s="3">
        <f t="shared" si="17"/>
        <v>0</v>
      </c>
      <c r="J104" s="142"/>
    </row>
    <row r="105" spans="1:31" s="1" customFormat="1" ht="28.5" customHeight="1" x14ac:dyDescent="0.25">
      <c r="A105" s="3">
        <v>91</v>
      </c>
      <c r="B105" s="10" t="s">
        <v>212</v>
      </c>
      <c r="C105" s="4">
        <v>16</v>
      </c>
      <c r="D105" s="4">
        <v>4</v>
      </c>
      <c r="E105" s="4">
        <v>0</v>
      </c>
      <c r="F105" s="4">
        <v>0</v>
      </c>
      <c r="G105" s="4">
        <v>0</v>
      </c>
      <c r="H105" s="3">
        <f t="shared" si="16"/>
        <v>0</v>
      </c>
      <c r="I105" s="3">
        <f t="shared" ref="I105:I121" si="18">D105-H105</f>
        <v>4</v>
      </c>
      <c r="J105" s="142"/>
    </row>
    <row r="106" spans="1:31" s="1" customFormat="1" ht="28.5" customHeight="1" x14ac:dyDescent="0.25">
      <c r="A106" s="3">
        <v>92</v>
      </c>
      <c r="B106" s="10" t="s">
        <v>213</v>
      </c>
      <c r="C106" s="4">
        <v>34</v>
      </c>
      <c r="D106" s="4">
        <v>36</v>
      </c>
      <c r="E106" s="4">
        <v>0</v>
      </c>
      <c r="F106" s="4">
        <v>0</v>
      </c>
      <c r="G106" s="4">
        <v>0</v>
      </c>
      <c r="H106" s="3">
        <f t="shared" si="16"/>
        <v>0</v>
      </c>
      <c r="I106" s="3">
        <f t="shared" si="18"/>
        <v>36</v>
      </c>
      <c r="J106" s="142"/>
    </row>
    <row r="107" spans="1:31" s="1" customFormat="1" ht="39.75" customHeight="1" x14ac:dyDescent="0.25">
      <c r="A107" s="3">
        <v>93</v>
      </c>
      <c r="B107" s="10" t="s">
        <v>214</v>
      </c>
      <c r="C107" s="4">
        <v>5</v>
      </c>
      <c r="D107" s="4">
        <v>11</v>
      </c>
      <c r="E107" s="4">
        <v>0</v>
      </c>
      <c r="F107" s="4">
        <v>0</v>
      </c>
      <c r="G107" s="4">
        <v>0</v>
      </c>
      <c r="H107" s="3">
        <f t="shared" si="16"/>
        <v>0</v>
      </c>
      <c r="I107" s="3">
        <f t="shared" si="18"/>
        <v>11</v>
      </c>
      <c r="J107" s="148"/>
    </row>
    <row r="108" spans="1:31" s="1" customFormat="1" ht="28.5" customHeight="1" x14ac:dyDescent="0.25">
      <c r="A108" s="3">
        <v>94</v>
      </c>
      <c r="B108" s="10" t="s">
        <v>215</v>
      </c>
      <c r="C108" s="3">
        <v>0</v>
      </c>
      <c r="D108" s="136">
        <v>0</v>
      </c>
      <c r="E108" s="4">
        <v>0</v>
      </c>
      <c r="F108" s="4">
        <v>0</v>
      </c>
      <c r="G108" s="4">
        <v>0</v>
      </c>
      <c r="H108" s="3">
        <f t="shared" si="16"/>
        <v>0</v>
      </c>
      <c r="I108" s="3">
        <f t="shared" si="18"/>
        <v>0</v>
      </c>
      <c r="J108" s="147"/>
    </row>
    <row r="109" spans="1:31" s="1" customFormat="1" ht="28.5" customHeight="1" x14ac:dyDescent="0.25">
      <c r="A109" s="3">
        <v>95</v>
      </c>
      <c r="B109" s="10" t="s">
        <v>216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3">
        <f t="shared" si="16"/>
        <v>0</v>
      </c>
      <c r="I109" s="3">
        <f t="shared" si="18"/>
        <v>0</v>
      </c>
      <c r="J109" s="142"/>
    </row>
    <row r="110" spans="1:31" s="1" customFormat="1" ht="28.5" customHeight="1" x14ac:dyDescent="0.25">
      <c r="A110" s="3">
        <v>96</v>
      </c>
      <c r="B110" s="10" t="s">
        <v>217</v>
      </c>
      <c r="C110" s="4">
        <v>0</v>
      </c>
      <c r="D110" s="4">
        <v>1</v>
      </c>
      <c r="E110" s="4">
        <v>0</v>
      </c>
      <c r="F110" s="4">
        <v>0</v>
      </c>
      <c r="G110" s="4">
        <v>0</v>
      </c>
      <c r="H110" s="3">
        <f t="shared" si="16"/>
        <v>0</v>
      </c>
      <c r="I110" s="3">
        <f t="shared" si="18"/>
        <v>1</v>
      </c>
      <c r="J110" s="142"/>
    </row>
    <row r="111" spans="1:31" s="1" customFormat="1" ht="28.5" customHeight="1" x14ac:dyDescent="0.25">
      <c r="A111" s="3">
        <v>97</v>
      </c>
      <c r="B111" s="10" t="s">
        <v>218</v>
      </c>
      <c r="C111" s="4">
        <v>3</v>
      </c>
      <c r="D111" s="4">
        <v>1</v>
      </c>
      <c r="E111" s="4">
        <v>0</v>
      </c>
      <c r="F111" s="4">
        <v>0</v>
      </c>
      <c r="G111" s="4">
        <v>0</v>
      </c>
      <c r="H111" s="3">
        <f t="shared" si="16"/>
        <v>0</v>
      </c>
      <c r="I111" s="3">
        <f t="shared" si="18"/>
        <v>1</v>
      </c>
      <c r="J111" s="142"/>
    </row>
    <row r="112" spans="1:31" s="1" customFormat="1" ht="28.5" customHeight="1" x14ac:dyDescent="0.25">
      <c r="A112" s="3">
        <v>98</v>
      </c>
      <c r="B112" s="10" t="s">
        <v>219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3">
        <f t="shared" si="16"/>
        <v>0</v>
      </c>
      <c r="I112" s="3">
        <f t="shared" si="18"/>
        <v>0</v>
      </c>
      <c r="J112" s="141"/>
    </row>
    <row r="113" spans="1:10" s="34" customFormat="1" ht="16.8" x14ac:dyDescent="0.3">
      <c r="A113" s="3">
        <v>99</v>
      </c>
      <c r="B113" s="10" t="s">
        <v>220</v>
      </c>
      <c r="C113" s="4">
        <v>11</v>
      </c>
      <c r="D113" s="4">
        <v>5</v>
      </c>
      <c r="E113" s="4">
        <v>0</v>
      </c>
      <c r="F113" s="4">
        <v>0</v>
      </c>
      <c r="G113" s="4">
        <v>0</v>
      </c>
      <c r="H113" s="3">
        <f t="shared" si="16"/>
        <v>0</v>
      </c>
      <c r="I113" s="3">
        <f t="shared" si="18"/>
        <v>5</v>
      </c>
      <c r="J113" s="150"/>
    </row>
    <row r="114" spans="1:10" s="34" customFormat="1" ht="28.5" customHeight="1" x14ac:dyDescent="0.25">
      <c r="A114" s="3">
        <v>100</v>
      </c>
      <c r="B114" s="10" t="s">
        <v>221</v>
      </c>
      <c r="C114" s="4">
        <v>0</v>
      </c>
      <c r="D114" s="4">
        <v>2</v>
      </c>
      <c r="E114" s="4">
        <v>0</v>
      </c>
      <c r="F114" s="4">
        <v>0</v>
      </c>
      <c r="G114" s="4">
        <v>0</v>
      </c>
      <c r="H114" s="3">
        <f t="shared" si="16"/>
        <v>0</v>
      </c>
      <c r="I114" s="3">
        <f t="shared" si="18"/>
        <v>2</v>
      </c>
      <c r="J114" s="143"/>
    </row>
    <row r="115" spans="1:10" s="34" customFormat="1" ht="39" customHeight="1" x14ac:dyDescent="0.3">
      <c r="A115" s="3">
        <v>101</v>
      </c>
      <c r="B115" s="10" t="s">
        <v>222</v>
      </c>
      <c r="C115" s="4">
        <v>1</v>
      </c>
      <c r="D115" s="4">
        <v>1</v>
      </c>
      <c r="E115" s="4">
        <v>0</v>
      </c>
      <c r="F115" s="4">
        <v>0</v>
      </c>
      <c r="G115" s="4">
        <v>0</v>
      </c>
      <c r="H115" s="3">
        <f t="shared" si="16"/>
        <v>0</v>
      </c>
      <c r="I115" s="3">
        <f t="shared" si="18"/>
        <v>1</v>
      </c>
      <c r="J115" s="156"/>
    </row>
    <row r="116" spans="1:10" s="1" customFormat="1" ht="25.5" customHeight="1" x14ac:dyDescent="0.25">
      <c r="A116" s="3">
        <v>102</v>
      </c>
      <c r="B116" s="10" t="s">
        <v>223</v>
      </c>
      <c r="C116" s="4">
        <v>12</v>
      </c>
      <c r="D116" s="4">
        <v>12</v>
      </c>
      <c r="E116" s="4">
        <v>0</v>
      </c>
      <c r="F116" s="4">
        <v>0</v>
      </c>
      <c r="G116" s="4">
        <v>0</v>
      </c>
      <c r="H116" s="3">
        <f t="shared" si="16"/>
        <v>0</v>
      </c>
      <c r="I116" s="3">
        <f t="shared" si="18"/>
        <v>12</v>
      </c>
      <c r="J116" s="142"/>
    </row>
    <row r="117" spans="1:10" s="1" customFormat="1" ht="25.5" customHeight="1" x14ac:dyDescent="0.25">
      <c r="A117" s="3">
        <v>103</v>
      </c>
      <c r="B117" s="10" t="s">
        <v>224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3">
        <f t="shared" si="16"/>
        <v>0</v>
      </c>
      <c r="I117" s="3">
        <f t="shared" si="18"/>
        <v>0</v>
      </c>
      <c r="J117" s="143"/>
    </row>
    <row r="118" spans="1:10" s="1" customFormat="1" ht="25.5" customHeight="1" x14ac:dyDescent="0.25">
      <c r="A118" s="3">
        <v>104</v>
      </c>
      <c r="B118" s="10" t="s">
        <v>225</v>
      </c>
      <c r="C118" s="4">
        <v>4</v>
      </c>
      <c r="D118" s="4">
        <v>4</v>
      </c>
      <c r="E118" s="4">
        <v>0</v>
      </c>
      <c r="F118" s="4">
        <v>0</v>
      </c>
      <c r="G118" s="4">
        <v>0</v>
      </c>
      <c r="H118" s="3">
        <f t="shared" si="16"/>
        <v>0</v>
      </c>
      <c r="I118" s="3">
        <f t="shared" si="18"/>
        <v>4</v>
      </c>
      <c r="J118" s="142"/>
    </row>
    <row r="119" spans="1:10" s="1" customFormat="1" ht="25.5" customHeight="1" x14ac:dyDescent="0.25">
      <c r="A119" s="3">
        <v>105</v>
      </c>
      <c r="B119" s="10" t="s">
        <v>226</v>
      </c>
      <c r="C119" s="4">
        <v>3</v>
      </c>
      <c r="D119" s="4">
        <v>3</v>
      </c>
      <c r="E119" s="4">
        <v>0</v>
      </c>
      <c r="F119" s="4">
        <v>0</v>
      </c>
      <c r="G119" s="4">
        <v>0</v>
      </c>
      <c r="H119" s="3">
        <f t="shared" si="16"/>
        <v>0</v>
      </c>
      <c r="I119" s="3">
        <f t="shared" si="18"/>
        <v>3</v>
      </c>
      <c r="J119" s="143"/>
    </row>
    <row r="120" spans="1:10" s="1" customFormat="1" ht="25.5" customHeight="1" x14ac:dyDescent="0.25">
      <c r="A120" s="3">
        <v>106</v>
      </c>
      <c r="B120" s="10" t="s">
        <v>227</v>
      </c>
      <c r="C120" s="4">
        <v>0</v>
      </c>
      <c r="D120" s="4">
        <v>1</v>
      </c>
      <c r="E120" s="4">
        <v>0</v>
      </c>
      <c r="F120" s="4">
        <v>0</v>
      </c>
      <c r="G120" s="4">
        <v>0</v>
      </c>
      <c r="H120" s="3">
        <f t="shared" si="16"/>
        <v>0</v>
      </c>
      <c r="I120" s="3">
        <f t="shared" si="18"/>
        <v>1</v>
      </c>
      <c r="J120" s="142"/>
    </row>
    <row r="121" spans="1:10" s="45" customFormat="1" ht="24.9" customHeight="1" x14ac:dyDescent="0.25">
      <c r="A121" s="3">
        <v>107</v>
      </c>
      <c r="B121" s="10" t="s">
        <v>228</v>
      </c>
      <c r="C121" s="4">
        <v>0</v>
      </c>
      <c r="D121" s="4">
        <v>2</v>
      </c>
      <c r="E121" s="4">
        <v>0</v>
      </c>
      <c r="F121" s="4">
        <v>0</v>
      </c>
      <c r="G121" s="4">
        <v>0</v>
      </c>
      <c r="H121" s="3">
        <f t="shared" si="16"/>
        <v>0</v>
      </c>
      <c r="I121" s="3">
        <f t="shared" si="18"/>
        <v>2</v>
      </c>
      <c r="J121" s="157"/>
    </row>
    <row r="122" spans="1:10" s="45" customFormat="1" ht="24.9" customHeight="1" x14ac:dyDescent="0.25">
      <c r="A122" s="4">
        <v>108</v>
      </c>
      <c r="B122" s="10" t="s">
        <v>229</v>
      </c>
      <c r="C122" s="4">
        <v>1</v>
      </c>
      <c r="D122" s="4">
        <v>3</v>
      </c>
      <c r="E122" s="4">
        <v>0</v>
      </c>
      <c r="F122" s="4">
        <v>0</v>
      </c>
      <c r="G122" s="4">
        <v>0</v>
      </c>
      <c r="H122" s="3">
        <f t="shared" si="16"/>
        <v>0</v>
      </c>
      <c r="I122" s="3">
        <f t="shared" ref="I122:I131" si="19">D122-H122</f>
        <v>3</v>
      </c>
      <c r="J122" s="157"/>
    </row>
    <row r="123" spans="1:10" s="45" customFormat="1" ht="24.9" customHeight="1" x14ac:dyDescent="0.25">
      <c r="A123" s="4">
        <v>109</v>
      </c>
      <c r="B123" s="10" t="s">
        <v>230</v>
      </c>
      <c r="C123" s="4">
        <v>3</v>
      </c>
      <c r="D123" s="4">
        <v>0</v>
      </c>
      <c r="E123" s="4">
        <v>0</v>
      </c>
      <c r="F123" s="4">
        <v>0</v>
      </c>
      <c r="G123" s="4">
        <v>0</v>
      </c>
      <c r="H123" s="3">
        <f t="shared" si="16"/>
        <v>0</v>
      </c>
      <c r="I123" s="3">
        <f t="shared" si="19"/>
        <v>0</v>
      </c>
      <c r="J123" s="157"/>
    </row>
    <row r="124" spans="1:10" s="45" customFormat="1" ht="24.9" customHeight="1" x14ac:dyDescent="0.25">
      <c r="A124" s="4">
        <v>110</v>
      </c>
      <c r="B124" s="10" t="s">
        <v>231</v>
      </c>
      <c r="C124" s="4">
        <v>3</v>
      </c>
      <c r="D124" s="4">
        <v>0</v>
      </c>
      <c r="E124" s="4">
        <v>0</v>
      </c>
      <c r="F124" s="4">
        <v>0</v>
      </c>
      <c r="G124" s="4">
        <v>0</v>
      </c>
      <c r="H124" s="3">
        <f t="shared" si="16"/>
        <v>0</v>
      </c>
      <c r="I124" s="3">
        <f t="shared" si="19"/>
        <v>0</v>
      </c>
      <c r="J124" s="157"/>
    </row>
    <row r="125" spans="1:10" s="45" customFormat="1" ht="24.9" customHeight="1" x14ac:dyDescent="0.25">
      <c r="A125" s="4">
        <v>111</v>
      </c>
      <c r="B125" s="10" t="s">
        <v>232</v>
      </c>
      <c r="C125" s="4">
        <v>2</v>
      </c>
      <c r="D125" s="4">
        <v>3</v>
      </c>
      <c r="E125" s="4">
        <v>0</v>
      </c>
      <c r="F125" s="4">
        <v>0</v>
      </c>
      <c r="G125" s="4">
        <v>0</v>
      </c>
      <c r="H125" s="3">
        <f t="shared" si="16"/>
        <v>0</v>
      </c>
      <c r="I125" s="3">
        <f t="shared" si="19"/>
        <v>3</v>
      </c>
      <c r="J125" s="157"/>
    </row>
    <row r="126" spans="1:10" s="45" customFormat="1" ht="24.9" customHeight="1" x14ac:dyDescent="0.25">
      <c r="A126" s="4">
        <v>112</v>
      </c>
      <c r="B126" s="10" t="s">
        <v>233</v>
      </c>
      <c r="C126" s="4">
        <v>3</v>
      </c>
      <c r="D126" s="4">
        <v>0</v>
      </c>
      <c r="E126" s="4">
        <v>0</v>
      </c>
      <c r="F126" s="4">
        <v>0</v>
      </c>
      <c r="G126" s="4">
        <v>0</v>
      </c>
      <c r="H126" s="3">
        <f t="shared" si="16"/>
        <v>0</v>
      </c>
      <c r="I126" s="3">
        <f t="shared" si="19"/>
        <v>0</v>
      </c>
      <c r="J126" s="157"/>
    </row>
    <row r="127" spans="1:10" s="45" customFormat="1" ht="24.9" customHeight="1" x14ac:dyDescent="0.25">
      <c r="A127" s="4">
        <v>113</v>
      </c>
      <c r="B127" s="10" t="s">
        <v>234</v>
      </c>
      <c r="C127" s="4">
        <v>4</v>
      </c>
      <c r="D127" s="4">
        <v>1</v>
      </c>
      <c r="E127" s="4">
        <v>0</v>
      </c>
      <c r="F127" s="4">
        <v>0</v>
      </c>
      <c r="G127" s="4">
        <v>0</v>
      </c>
      <c r="H127" s="3">
        <f t="shared" si="16"/>
        <v>0</v>
      </c>
      <c r="I127" s="3">
        <f t="shared" si="19"/>
        <v>1</v>
      </c>
      <c r="J127" s="157"/>
    </row>
    <row r="128" spans="1:10" s="45" customFormat="1" ht="24.9" customHeight="1" x14ac:dyDescent="0.25">
      <c r="A128" s="4">
        <v>114</v>
      </c>
      <c r="B128" s="10" t="s">
        <v>235</v>
      </c>
      <c r="C128" s="4">
        <v>12</v>
      </c>
      <c r="D128" s="4">
        <v>1</v>
      </c>
      <c r="E128" s="4">
        <v>0</v>
      </c>
      <c r="F128" s="4">
        <v>0</v>
      </c>
      <c r="G128" s="4">
        <v>0</v>
      </c>
      <c r="H128" s="3">
        <f t="shared" si="16"/>
        <v>0</v>
      </c>
      <c r="I128" s="3">
        <f t="shared" si="19"/>
        <v>1</v>
      </c>
      <c r="J128" s="148"/>
    </row>
    <row r="129" spans="1:10" s="45" customFormat="1" ht="24" customHeight="1" x14ac:dyDescent="0.3">
      <c r="A129" s="4">
        <v>115</v>
      </c>
      <c r="B129" s="10" t="s">
        <v>236</v>
      </c>
      <c r="C129" s="4">
        <v>39</v>
      </c>
      <c r="D129" s="4">
        <v>38</v>
      </c>
      <c r="E129" s="4">
        <v>0</v>
      </c>
      <c r="F129" s="4">
        <v>0</v>
      </c>
      <c r="G129" s="4">
        <v>0</v>
      </c>
      <c r="H129" s="3">
        <f t="shared" si="16"/>
        <v>0</v>
      </c>
      <c r="I129" s="3">
        <f t="shared" si="19"/>
        <v>38</v>
      </c>
      <c r="J129" s="155"/>
    </row>
    <row r="130" spans="1:10" s="45" customFormat="1" ht="24.9" customHeight="1" x14ac:dyDescent="0.25">
      <c r="A130" s="4">
        <v>116</v>
      </c>
      <c r="B130" s="10" t="s">
        <v>237</v>
      </c>
      <c r="C130" s="4">
        <v>4</v>
      </c>
      <c r="D130" s="4">
        <v>7</v>
      </c>
      <c r="E130" s="4">
        <v>0</v>
      </c>
      <c r="F130" s="4">
        <v>0</v>
      </c>
      <c r="G130" s="4">
        <v>0</v>
      </c>
      <c r="H130" s="3">
        <f t="shared" si="16"/>
        <v>0</v>
      </c>
      <c r="I130" s="3">
        <f t="shared" si="19"/>
        <v>7</v>
      </c>
      <c r="J130" s="148"/>
    </row>
    <row r="131" spans="1:10" s="45" customFormat="1" ht="24.9" customHeight="1" x14ac:dyDescent="0.25">
      <c r="A131" s="4">
        <v>117</v>
      </c>
      <c r="B131" s="10" t="s">
        <v>238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3">
        <f t="shared" si="16"/>
        <v>0</v>
      </c>
      <c r="I131" s="3">
        <f t="shared" si="19"/>
        <v>0</v>
      </c>
      <c r="J131" s="157"/>
    </row>
    <row r="132" spans="1:10" s="45" customFormat="1" ht="24.9" customHeight="1" x14ac:dyDescent="0.25">
      <c r="A132" s="4">
        <v>118</v>
      </c>
      <c r="B132" s="10" t="s">
        <v>239</v>
      </c>
      <c r="C132" s="4">
        <v>2</v>
      </c>
      <c r="D132" s="4">
        <v>3</v>
      </c>
      <c r="E132" s="4">
        <v>0</v>
      </c>
      <c r="F132" s="4">
        <v>0</v>
      </c>
      <c r="G132" s="4">
        <v>0</v>
      </c>
      <c r="H132" s="3">
        <f t="shared" si="16"/>
        <v>0</v>
      </c>
      <c r="I132" s="3">
        <f t="shared" ref="I132:I133" si="20">D132-H132</f>
        <v>3</v>
      </c>
      <c r="J132" s="157"/>
    </row>
    <row r="133" spans="1:10" s="45" customFormat="1" ht="24.9" customHeight="1" x14ac:dyDescent="0.25">
      <c r="A133" s="4">
        <v>119</v>
      </c>
      <c r="B133" s="10" t="s">
        <v>240</v>
      </c>
      <c r="C133" s="4">
        <v>1</v>
      </c>
      <c r="D133" s="4">
        <v>2</v>
      </c>
      <c r="E133" s="4">
        <v>0</v>
      </c>
      <c r="F133" s="4">
        <v>0</v>
      </c>
      <c r="G133" s="4">
        <v>0</v>
      </c>
      <c r="H133" s="3">
        <f t="shared" si="16"/>
        <v>0</v>
      </c>
      <c r="I133" s="3">
        <f t="shared" si="20"/>
        <v>2</v>
      </c>
      <c r="J133" s="157"/>
    </row>
    <row r="134" spans="1:10" s="45" customFormat="1" ht="24.9" customHeight="1" x14ac:dyDescent="0.25">
      <c r="A134" s="4">
        <v>120</v>
      </c>
      <c r="B134" s="10" t="s">
        <v>241</v>
      </c>
      <c r="C134" s="4">
        <v>0</v>
      </c>
      <c r="D134" s="4">
        <v>14</v>
      </c>
      <c r="E134" s="4">
        <v>0</v>
      </c>
      <c r="F134" s="4">
        <v>0</v>
      </c>
      <c r="G134" s="4">
        <v>0</v>
      </c>
      <c r="H134" s="3">
        <f t="shared" si="16"/>
        <v>0</v>
      </c>
      <c r="I134" s="3">
        <f t="shared" ref="I134:I137" si="21">D134-H134</f>
        <v>14</v>
      </c>
      <c r="J134" s="157"/>
    </row>
    <row r="135" spans="1:10" s="45" customFormat="1" ht="24.9" customHeight="1" x14ac:dyDescent="0.25">
      <c r="A135" s="4">
        <v>121</v>
      </c>
      <c r="B135" s="10" t="s">
        <v>242</v>
      </c>
      <c r="C135" s="4">
        <v>0</v>
      </c>
      <c r="D135" s="4">
        <v>1</v>
      </c>
      <c r="E135" s="4">
        <v>0</v>
      </c>
      <c r="F135" s="4">
        <v>0</v>
      </c>
      <c r="G135" s="4">
        <v>0</v>
      </c>
      <c r="H135" s="3">
        <f t="shared" si="16"/>
        <v>0</v>
      </c>
      <c r="I135" s="3">
        <f t="shared" si="21"/>
        <v>1</v>
      </c>
      <c r="J135" s="157"/>
    </row>
    <row r="136" spans="1:10" s="45" customFormat="1" ht="24.9" customHeight="1" x14ac:dyDescent="0.25">
      <c r="A136" s="4">
        <v>122</v>
      </c>
      <c r="B136" s="10" t="s">
        <v>243</v>
      </c>
      <c r="C136" s="4">
        <v>0</v>
      </c>
      <c r="D136" s="4">
        <v>1</v>
      </c>
      <c r="E136" s="4">
        <v>0</v>
      </c>
      <c r="F136" s="4">
        <v>0</v>
      </c>
      <c r="G136" s="4">
        <v>0</v>
      </c>
      <c r="H136" s="3">
        <f t="shared" si="16"/>
        <v>0</v>
      </c>
      <c r="I136" s="3">
        <f t="shared" si="21"/>
        <v>1</v>
      </c>
      <c r="J136" s="157"/>
    </row>
    <row r="137" spans="1:10" s="45" customFormat="1" ht="37.5" customHeight="1" x14ac:dyDescent="0.25">
      <c r="A137" s="4">
        <v>123</v>
      </c>
      <c r="B137" s="10" t="s">
        <v>244</v>
      </c>
      <c r="C137" s="4">
        <v>0</v>
      </c>
      <c r="D137" s="4">
        <v>1</v>
      </c>
      <c r="E137" s="4">
        <v>0</v>
      </c>
      <c r="F137" s="4">
        <v>0</v>
      </c>
      <c r="G137" s="4">
        <v>0</v>
      </c>
      <c r="H137" s="3">
        <f t="shared" si="16"/>
        <v>0</v>
      </c>
      <c r="I137" s="3">
        <f t="shared" si="21"/>
        <v>1</v>
      </c>
      <c r="J137" s="157"/>
    </row>
    <row r="138" spans="1:10" s="45" customFormat="1" x14ac:dyDescent="0.25">
      <c r="A138" s="4">
        <v>124</v>
      </c>
      <c r="B138" s="10" t="s">
        <v>245</v>
      </c>
      <c r="C138" s="4">
        <v>54</v>
      </c>
      <c r="D138" s="4">
        <v>14</v>
      </c>
      <c r="E138" s="4">
        <v>0</v>
      </c>
      <c r="F138" s="4">
        <v>0</v>
      </c>
      <c r="G138" s="4">
        <v>0</v>
      </c>
      <c r="H138" s="3">
        <f t="shared" si="16"/>
        <v>0</v>
      </c>
      <c r="I138" s="3">
        <f t="shared" ref="I138" si="22">D138-H138</f>
        <v>14</v>
      </c>
      <c r="J138" s="142"/>
    </row>
    <row r="139" spans="1:10" s="45" customFormat="1" ht="42" customHeight="1" x14ac:dyDescent="0.25">
      <c r="A139" s="4">
        <v>125</v>
      </c>
      <c r="B139" s="10" t="s">
        <v>246</v>
      </c>
      <c r="C139" s="4">
        <v>0</v>
      </c>
      <c r="D139" s="4">
        <v>1</v>
      </c>
      <c r="E139" s="4">
        <v>0</v>
      </c>
      <c r="F139" s="4">
        <v>0</v>
      </c>
      <c r="G139" s="4">
        <v>0</v>
      </c>
      <c r="H139" s="3">
        <f t="shared" ref="H139" si="23">E139+F139+G139</f>
        <v>0</v>
      </c>
      <c r="I139" s="3">
        <f t="shared" ref="I139" si="24">D139-H139</f>
        <v>1</v>
      </c>
      <c r="J139" s="157"/>
    </row>
    <row r="140" spans="1:10" s="45" customFormat="1" ht="42" customHeight="1" x14ac:dyDescent="0.3">
      <c r="A140" s="4">
        <v>126</v>
      </c>
      <c r="B140" s="10" t="s">
        <v>247</v>
      </c>
      <c r="C140" s="4">
        <v>0</v>
      </c>
      <c r="D140" s="4">
        <v>4</v>
      </c>
      <c r="E140" s="4">
        <v>0</v>
      </c>
      <c r="F140" s="4">
        <v>0</v>
      </c>
      <c r="G140" s="4">
        <v>0</v>
      </c>
      <c r="H140" s="3">
        <f t="shared" ref="H140" si="25">E140+F140+G140</f>
        <v>0</v>
      </c>
      <c r="I140" s="3">
        <f t="shared" ref="I140" si="26">D140-H140</f>
        <v>4</v>
      </c>
      <c r="J140" s="158"/>
    </row>
    <row r="141" spans="1:10" s="45" customFormat="1" ht="42" customHeight="1" x14ac:dyDescent="0.3">
      <c r="A141" s="4">
        <v>127</v>
      </c>
      <c r="B141" s="10" t="s">
        <v>248</v>
      </c>
      <c r="C141" s="4">
        <v>0</v>
      </c>
      <c r="D141" s="4">
        <v>3</v>
      </c>
      <c r="E141" s="4">
        <v>0</v>
      </c>
      <c r="F141" s="4">
        <v>0</v>
      </c>
      <c r="G141" s="4">
        <v>0</v>
      </c>
      <c r="H141" s="3">
        <f t="shared" ref="H141:H142" si="27">E141+F141+G141</f>
        <v>0</v>
      </c>
      <c r="I141" s="3">
        <f t="shared" ref="I141:I142" si="28">D141-H141</f>
        <v>3</v>
      </c>
      <c r="J141" s="158"/>
    </row>
    <row r="142" spans="1:10" s="45" customFormat="1" ht="22.5" customHeight="1" x14ac:dyDescent="0.3">
      <c r="A142" s="4">
        <v>128</v>
      </c>
      <c r="B142" s="10" t="s">
        <v>249</v>
      </c>
      <c r="C142" s="4">
        <v>0</v>
      </c>
      <c r="D142" s="4">
        <v>9</v>
      </c>
      <c r="E142" s="4">
        <v>0</v>
      </c>
      <c r="F142" s="4">
        <v>0</v>
      </c>
      <c r="G142" s="4">
        <v>0</v>
      </c>
      <c r="H142" s="3">
        <f t="shared" si="27"/>
        <v>0</v>
      </c>
      <c r="I142" s="3">
        <f t="shared" si="28"/>
        <v>9</v>
      </c>
      <c r="J142" s="137"/>
    </row>
    <row r="143" spans="1:10" s="45" customFormat="1" ht="22.5" customHeight="1" x14ac:dyDescent="0.25">
      <c r="A143" s="4">
        <v>129</v>
      </c>
      <c r="B143" s="10" t="s">
        <v>250</v>
      </c>
      <c r="C143" s="4">
        <v>0</v>
      </c>
      <c r="D143" s="4">
        <v>4</v>
      </c>
      <c r="E143" s="4">
        <v>0</v>
      </c>
      <c r="F143" s="4">
        <v>0</v>
      </c>
      <c r="G143" s="4">
        <v>0</v>
      </c>
      <c r="H143" s="3">
        <f t="shared" ref="H143:H144" si="29">E143+F143+G143</f>
        <v>0</v>
      </c>
      <c r="I143" s="3">
        <f t="shared" ref="I143:I144" si="30">D143-H143</f>
        <v>4</v>
      </c>
      <c r="J143" s="148" t="s">
        <v>112</v>
      </c>
    </row>
    <row r="144" spans="1:10" s="45" customFormat="1" ht="22.5" customHeight="1" x14ac:dyDescent="0.25">
      <c r="A144" s="4">
        <v>130</v>
      </c>
      <c r="B144" s="10" t="s">
        <v>251</v>
      </c>
      <c r="C144" s="4">
        <v>0</v>
      </c>
      <c r="D144" s="4">
        <v>6</v>
      </c>
      <c r="E144" s="4">
        <v>0</v>
      </c>
      <c r="F144" s="4">
        <v>0</v>
      </c>
      <c r="G144" s="4">
        <v>0</v>
      </c>
      <c r="H144" s="3">
        <f t="shared" si="29"/>
        <v>0</v>
      </c>
      <c r="I144" s="3">
        <f t="shared" si="30"/>
        <v>6</v>
      </c>
      <c r="J144" s="148" t="s">
        <v>112</v>
      </c>
    </row>
  </sheetData>
  <mergeCells count="9">
    <mergeCell ref="A3:J3"/>
    <mergeCell ref="A1:J2"/>
    <mergeCell ref="E4:H4"/>
    <mergeCell ref="C4:D4"/>
    <mergeCell ref="A75:B75"/>
    <mergeCell ref="B4:B5"/>
    <mergeCell ref="A4:A5"/>
    <mergeCell ref="I4:I5"/>
    <mergeCell ref="J4:J5"/>
  </mergeCells>
  <phoneticPr fontId="14" type="noConversion"/>
  <conditionalFormatting sqref="A1">
    <cfRule type="iconSet" priority="2">
      <iconSet iconSet="4Arrows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  <pageSetup paperSize="9" scale="27" orientation="portrait" r:id="rId1"/>
  <rowBreaks count="1" manualBreakCount="1">
    <brk id="99" max="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W231"/>
  <sheetViews>
    <sheetView view="pageBreakPreview" zoomScale="85" zoomScaleNormal="100" zoomScaleSheetLayoutView="85" workbookViewId="0">
      <pane ySplit="5" topLeftCell="A207" activePane="bottomLeft" state="frozen"/>
      <selection pane="bottomLeft" activeCell="J116" sqref="J116"/>
    </sheetView>
  </sheetViews>
  <sheetFormatPr defaultColWidth="9.109375" defaultRowHeight="15" x14ac:dyDescent="0.25"/>
  <cols>
    <col min="1" max="1" width="7.88671875" style="47" customWidth="1"/>
    <col min="2" max="2" width="53" style="2" customWidth="1"/>
    <col min="3" max="3" width="9.88671875" style="49" customWidth="1"/>
    <col min="4" max="4" width="7.88671875" style="49" customWidth="1"/>
    <col min="5" max="5" width="6.6640625" style="49" customWidth="1"/>
    <col min="6" max="7" width="5" style="49" customWidth="1"/>
    <col min="8" max="8" width="12.33203125" style="49" customWidth="1"/>
    <col min="9" max="9" width="9" style="49" customWidth="1"/>
    <col min="10" max="10" width="88.109375" style="49" customWidth="1"/>
    <col min="11" max="23" width="9.109375" style="49" customWidth="1"/>
    <col min="24" max="16384" width="9.109375" style="49"/>
  </cols>
  <sheetData>
    <row r="1" spans="1:23" ht="48" customHeight="1" x14ac:dyDescent="0.25">
      <c r="A1" s="223" t="s">
        <v>91</v>
      </c>
      <c r="B1" s="224"/>
      <c r="C1" s="224"/>
      <c r="D1" s="224"/>
      <c r="E1" s="224"/>
      <c r="F1" s="224"/>
      <c r="G1" s="224"/>
      <c r="H1" s="224"/>
      <c r="I1" s="224"/>
      <c r="J1" s="224"/>
    </row>
    <row r="2" spans="1:23" ht="24.75" customHeight="1" x14ac:dyDescent="0.25">
      <c r="A2" s="220" t="s">
        <v>80</v>
      </c>
      <c r="B2" s="220"/>
      <c r="C2" s="220"/>
      <c r="D2" s="220"/>
      <c r="E2" s="220"/>
      <c r="F2" s="220"/>
      <c r="G2" s="220"/>
      <c r="H2" s="220"/>
      <c r="I2" s="220"/>
      <c r="J2" s="220"/>
    </row>
    <row r="3" spans="1:23" s="16" customFormat="1" ht="47.25" customHeight="1" x14ac:dyDescent="0.25">
      <c r="A3" s="216" t="s">
        <v>58</v>
      </c>
      <c r="B3" s="216" t="s">
        <v>14</v>
      </c>
      <c r="C3" s="17" t="s">
        <v>17</v>
      </c>
      <c r="D3" s="17"/>
      <c r="E3" s="221"/>
      <c r="F3" s="221"/>
      <c r="G3" s="221"/>
      <c r="H3" s="216" t="s">
        <v>18</v>
      </c>
      <c r="I3" s="218" t="s">
        <v>33</v>
      </c>
      <c r="J3" s="216" t="s">
        <v>81</v>
      </c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</row>
    <row r="4" spans="1:23" s="16" customFormat="1" ht="28.5" customHeight="1" x14ac:dyDescent="0.25">
      <c r="A4" s="217"/>
      <c r="B4" s="217"/>
      <c r="C4" s="125" t="s">
        <v>25</v>
      </c>
      <c r="D4" s="125" t="s">
        <v>26</v>
      </c>
      <c r="E4" s="126" t="s">
        <v>35</v>
      </c>
      <c r="F4" s="126" t="s">
        <v>36</v>
      </c>
      <c r="G4" s="126" t="s">
        <v>39</v>
      </c>
      <c r="H4" s="217"/>
      <c r="I4" s="219"/>
      <c r="J4" s="217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</row>
    <row r="5" spans="1:23" ht="26.25" customHeight="1" x14ac:dyDescent="0.25">
      <c r="A5" s="3" t="s">
        <v>1</v>
      </c>
      <c r="B5" s="18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</row>
    <row r="6" spans="1:23" ht="24" customHeight="1" x14ac:dyDescent="0.25">
      <c r="A6" s="214" t="s">
        <v>70</v>
      </c>
      <c r="B6" s="215"/>
      <c r="C6" s="215"/>
      <c r="D6" s="215"/>
      <c r="E6" s="215"/>
      <c r="F6" s="215"/>
      <c r="G6" s="215"/>
      <c r="H6" s="215"/>
      <c r="I6" s="215"/>
      <c r="J6" s="222"/>
    </row>
    <row r="7" spans="1:23" ht="24" customHeight="1" x14ac:dyDescent="0.25">
      <c r="A7" s="127" t="s">
        <v>71</v>
      </c>
      <c r="B7" s="128"/>
      <c r="C7" s="128"/>
      <c r="D7" s="128"/>
      <c r="E7" s="128"/>
      <c r="F7" s="128"/>
      <c r="G7" s="128"/>
      <c r="H7" s="128"/>
      <c r="I7" s="128"/>
      <c r="J7" s="129"/>
    </row>
    <row r="8" spans="1:23" ht="21" customHeight="1" x14ac:dyDescent="0.25">
      <c r="A8" s="18">
        <v>1</v>
      </c>
      <c r="B8" s="35" t="s">
        <v>257</v>
      </c>
      <c r="C8" s="4">
        <v>27</v>
      </c>
      <c r="D8" s="4">
        <v>7</v>
      </c>
      <c r="E8" s="4">
        <v>0</v>
      </c>
      <c r="F8" s="4">
        <v>0</v>
      </c>
      <c r="G8" s="4">
        <v>0</v>
      </c>
      <c r="H8" s="3">
        <f>E8+F8+G8</f>
        <v>0</v>
      </c>
      <c r="I8" s="3">
        <f>D8-H8</f>
        <v>7</v>
      </c>
      <c r="J8" s="23"/>
    </row>
    <row r="9" spans="1:23" x14ac:dyDescent="0.25">
      <c r="A9" s="3">
        <v>2</v>
      </c>
      <c r="B9" s="35" t="s">
        <v>258</v>
      </c>
      <c r="C9" s="4">
        <v>4</v>
      </c>
      <c r="D9" s="4">
        <v>41</v>
      </c>
      <c r="E9" s="4">
        <v>0</v>
      </c>
      <c r="F9" s="4">
        <v>0</v>
      </c>
      <c r="G9" s="4">
        <v>0</v>
      </c>
      <c r="H9" s="3">
        <f t="shared" ref="H9:H12" si="0">E9+F9+G9</f>
        <v>0</v>
      </c>
      <c r="I9" s="3">
        <f>D9-H9</f>
        <v>41</v>
      </c>
      <c r="J9" s="14"/>
    </row>
    <row r="10" spans="1:23" ht="20.25" customHeight="1" x14ac:dyDescent="0.25">
      <c r="A10" s="18">
        <v>3</v>
      </c>
      <c r="B10" s="35" t="s">
        <v>259</v>
      </c>
      <c r="C10" s="4">
        <v>4</v>
      </c>
      <c r="D10" s="4">
        <v>3</v>
      </c>
      <c r="E10" s="4">
        <v>0</v>
      </c>
      <c r="F10" s="4">
        <v>0</v>
      </c>
      <c r="G10" s="4">
        <v>0</v>
      </c>
      <c r="H10" s="3">
        <f t="shared" si="0"/>
        <v>0</v>
      </c>
      <c r="I10" s="3">
        <f>D10-H10</f>
        <v>3</v>
      </c>
      <c r="J10" s="23"/>
    </row>
    <row r="11" spans="1:23" ht="20.25" customHeight="1" x14ac:dyDescent="0.25">
      <c r="A11" s="3">
        <v>4</v>
      </c>
      <c r="B11" s="35" t="s">
        <v>260</v>
      </c>
      <c r="C11" s="4">
        <v>4</v>
      </c>
      <c r="D11" s="4">
        <v>4</v>
      </c>
      <c r="E11" s="4">
        <v>0</v>
      </c>
      <c r="F11" s="4">
        <v>0</v>
      </c>
      <c r="G11" s="4">
        <v>0</v>
      </c>
      <c r="H11" s="3">
        <f t="shared" si="0"/>
        <v>0</v>
      </c>
      <c r="I11" s="3">
        <f>D11-H11</f>
        <v>4</v>
      </c>
      <c r="J11" s="5"/>
    </row>
    <row r="12" spans="1:23" ht="26.25" customHeight="1" x14ac:dyDescent="0.25">
      <c r="A12" s="3">
        <v>5</v>
      </c>
      <c r="B12" s="35" t="s">
        <v>261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3">
        <f t="shared" si="0"/>
        <v>0</v>
      </c>
      <c r="I12" s="3">
        <f>D12-H12</f>
        <v>0</v>
      </c>
      <c r="J12" s="4"/>
    </row>
    <row r="13" spans="1:23" ht="26.25" customHeight="1" x14ac:dyDescent="0.25">
      <c r="A13" s="21" t="s">
        <v>60</v>
      </c>
      <c r="B13" s="12"/>
      <c r="C13" s="27"/>
      <c r="D13" s="27"/>
      <c r="E13" s="27"/>
      <c r="F13" s="27"/>
      <c r="G13" s="27"/>
      <c r="H13" s="12"/>
      <c r="I13" s="12"/>
      <c r="J13" s="28"/>
    </row>
    <row r="14" spans="1:23" ht="23.25" customHeight="1" x14ac:dyDescent="0.25">
      <c r="A14" s="18">
        <v>6</v>
      </c>
      <c r="B14" s="35" t="s">
        <v>262</v>
      </c>
      <c r="C14" s="4">
        <v>6</v>
      </c>
      <c r="D14" s="4">
        <v>3</v>
      </c>
      <c r="E14" s="4">
        <v>0</v>
      </c>
      <c r="F14" s="4">
        <v>0</v>
      </c>
      <c r="G14" s="4">
        <v>0</v>
      </c>
      <c r="H14" s="3">
        <f>E14+F14+G14</f>
        <v>0</v>
      </c>
      <c r="I14" s="3">
        <f>D14-H14</f>
        <v>3</v>
      </c>
      <c r="J14" s="5"/>
    </row>
    <row r="15" spans="1:23" ht="23.25" customHeight="1" x14ac:dyDescent="0.25">
      <c r="A15" s="18">
        <v>7</v>
      </c>
      <c r="B15" s="35" t="s">
        <v>263</v>
      </c>
      <c r="C15" s="4">
        <v>4</v>
      </c>
      <c r="D15" s="4">
        <v>1</v>
      </c>
      <c r="E15" s="4">
        <v>0</v>
      </c>
      <c r="F15" s="4">
        <v>0</v>
      </c>
      <c r="G15" s="4">
        <v>0</v>
      </c>
      <c r="H15" s="3">
        <f>E15+F15+G15</f>
        <v>0</v>
      </c>
      <c r="I15" s="3">
        <f>D15-H15</f>
        <v>1</v>
      </c>
      <c r="J15" s="30"/>
    </row>
    <row r="16" spans="1:23" ht="26.25" customHeight="1" x14ac:dyDescent="0.25">
      <c r="A16" s="21" t="s">
        <v>59</v>
      </c>
      <c r="B16" s="12"/>
      <c r="C16" s="27"/>
      <c r="D16" s="27"/>
      <c r="E16" s="27"/>
      <c r="F16" s="27"/>
      <c r="G16" s="27"/>
      <c r="H16" s="12"/>
      <c r="I16" s="12"/>
      <c r="J16" s="28"/>
    </row>
    <row r="17" spans="1:10" s="47" customFormat="1" ht="26.25" customHeight="1" x14ac:dyDescent="0.3">
      <c r="A17" s="3">
        <v>8</v>
      </c>
      <c r="B17" s="35" t="s">
        <v>264</v>
      </c>
      <c r="C17" s="4">
        <v>28</v>
      </c>
      <c r="D17" s="4">
        <v>5</v>
      </c>
      <c r="E17" s="4">
        <v>0</v>
      </c>
      <c r="F17" s="4">
        <v>0</v>
      </c>
      <c r="G17" s="4">
        <v>0</v>
      </c>
      <c r="H17" s="3">
        <f t="shared" ref="H17" si="1">E17+F17+G17</f>
        <v>0</v>
      </c>
      <c r="I17" s="3">
        <f t="shared" ref="I17:I25" si="2">D17-H17</f>
        <v>5</v>
      </c>
      <c r="J17" s="15"/>
    </row>
    <row r="18" spans="1:10" x14ac:dyDescent="0.25">
      <c r="A18" s="3">
        <v>9</v>
      </c>
      <c r="B18" s="35" t="s">
        <v>265</v>
      </c>
      <c r="C18" s="4">
        <v>36</v>
      </c>
      <c r="D18" s="4">
        <v>28</v>
      </c>
      <c r="E18" s="4">
        <v>0</v>
      </c>
      <c r="F18" s="4">
        <v>0</v>
      </c>
      <c r="G18" s="4">
        <v>0</v>
      </c>
      <c r="H18" s="3">
        <f t="shared" ref="H18:H25" si="3">E18+F18+G18</f>
        <v>0</v>
      </c>
      <c r="I18" s="3">
        <f t="shared" si="2"/>
        <v>28</v>
      </c>
      <c r="J18" s="55"/>
    </row>
    <row r="19" spans="1:10" ht="26.25" customHeight="1" x14ac:dyDescent="0.25">
      <c r="A19" s="3">
        <v>10</v>
      </c>
      <c r="B19" s="35" t="s">
        <v>266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3">
        <f t="shared" si="3"/>
        <v>0</v>
      </c>
      <c r="I19" s="3">
        <f t="shared" si="2"/>
        <v>0</v>
      </c>
      <c r="J19" s="4"/>
    </row>
    <row r="20" spans="1:10" ht="34.5" customHeight="1" x14ac:dyDescent="0.25">
      <c r="A20" s="3">
        <v>11</v>
      </c>
      <c r="B20" s="35" t="s">
        <v>267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3">
        <f t="shared" si="3"/>
        <v>0</v>
      </c>
      <c r="I20" s="3">
        <f t="shared" si="2"/>
        <v>0</v>
      </c>
      <c r="J20" s="5"/>
    </row>
    <row r="21" spans="1:10" x14ac:dyDescent="0.25">
      <c r="A21" s="3">
        <v>12</v>
      </c>
      <c r="B21" s="35" t="s">
        <v>268</v>
      </c>
      <c r="C21" s="4">
        <v>0</v>
      </c>
      <c r="D21" s="4">
        <v>2</v>
      </c>
      <c r="E21" s="4">
        <v>0</v>
      </c>
      <c r="F21" s="4">
        <v>0</v>
      </c>
      <c r="G21" s="4">
        <v>0</v>
      </c>
      <c r="H21" s="3">
        <f t="shared" si="3"/>
        <v>0</v>
      </c>
      <c r="I21" s="3">
        <f t="shared" si="2"/>
        <v>2</v>
      </c>
      <c r="J21" s="14"/>
    </row>
    <row r="22" spans="1:10" ht="23.25" customHeight="1" x14ac:dyDescent="0.25">
      <c r="A22" s="3">
        <v>13</v>
      </c>
      <c r="B22" s="35" t="s">
        <v>269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3">
        <f t="shared" si="3"/>
        <v>0</v>
      </c>
      <c r="I22" s="3">
        <f t="shared" si="2"/>
        <v>0</v>
      </c>
      <c r="J22" s="54"/>
    </row>
    <row r="23" spans="1:10" s="25" customFormat="1" ht="37.5" customHeight="1" x14ac:dyDescent="0.3">
      <c r="A23" s="3">
        <v>14</v>
      </c>
      <c r="B23" s="35" t="s">
        <v>270</v>
      </c>
      <c r="C23" s="4">
        <v>18</v>
      </c>
      <c r="D23" s="4">
        <v>16</v>
      </c>
      <c r="E23" s="4">
        <v>0</v>
      </c>
      <c r="F23" s="4">
        <v>0</v>
      </c>
      <c r="G23" s="4">
        <v>0</v>
      </c>
      <c r="H23" s="3">
        <f t="shared" si="3"/>
        <v>0</v>
      </c>
      <c r="I23" s="3">
        <f t="shared" si="2"/>
        <v>16</v>
      </c>
      <c r="J23" s="10"/>
    </row>
    <row r="24" spans="1:10" s="25" customFormat="1" ht="25.5" customHeight="1" x14ac:dyDescent="0.3">
      <c r="A24" s="3">
        <v>15</v>
      </c>
      <c r="B24" s="35" t="s">
        <v>271</v>
      </c>
      <c r="C24" s="4">
        <v>1</v>
      </c>
      <c r="D24" s="4">
        <v>1</v>
      </c>
      <c r="E24" s="4">
        <v>0</v>
      </c>
      <c r="F24" s="4">
        <v>0</v>
      </c>
      <c r="G24" s="4">
        <v>0</v>
      </c>
      <c r="H24" s="3">
        <f t="shared" si="3"/>
        <v>0</v>
      </c>
      <c r="I24" s="3">
        <f t="shared" si="2"/>
        <v>1</v>
      </c>
      <c r="J24" s="5"/>
    </row>
    <row r="25" spans="1:10" ht="25.5" customHeight="1" x14ac:dyDescent="0.25">
      <c r="A25" s="3">
        <v>16</v>
      </c>
      <c r="B25" s="35" t="s">
        <v>272</v>
      </c>
      <c r="C25" s="4">
        <v>3</v>
      </c>
      <c r="D25" s="4">
        <v>5</v>
      </c>
      <c r="E25" s="4">
        <v>0</v>
      </c>
      <c r="F25" s="4">
        <v>0</v>
      </c>
      <c r="G25" s="4">
        <v>0</v>
      </c>
      <c r="H25" s="3">
        <f t="shared" si="3"/>
        <v>0</v>
      </c>
      <c r="I25" s="3">
        <f t="shared" si="2"/>
        <v>5</v>
      </c>
      <c r="J25" s="56"/>
    </row>
    <row r="26" spans="1:10" ht="15.75" customHeight="1" x14ac:dyDescent="0.25">
      <c r="A26" s="21" t="s">
        <v>72</v>
      </c>
      <c r="B26" s="12"/>
      <c r="C26" s="27"/>
      <c r="D26" s="27"/>
      <c r="E26" s="27"/>
      <c r="F26" s="27"/>
      <c r="G26" s="27"/>
      <c r="H26" s="12"/>
      <c r="I26" s="12"/>
      <c r="J26" s="28"/>
    </row>
    <row r="27" spans="1:10" ht="21.75" customHeight="1" x14ac:dyDescent="0.25">
      <c r="A27" s="18">
        <v>17</v>
      </c>
      <c r="B27" s="10" t="s">
        <v>273</v>
      </c>
      <c r="C27" s="4">
        <v>3</v>
      </c>
      <c r="D27" s="4">
        <v>3</v>
      </c>
      <c r="E27" s="4">
        <v>0</v>
      </c>
      <c r="F27" s="4">
        <v>0</v>
      </c>
      <c r="G27" s="4">
        <v>0</v>
      </c>
      <c r="H27" s="3">
        <f t="shared" ref="H27" si="4">E27+F27+G27</f>
        <v>0</v>
      </c>
      <c r="I27" s="3">
        <f t="shared" ref="I27:I35" si="5">D27-H27</f>
        <v>3</v>
      </c>
      <c r="J27" s="55"/>
    </row>
    <row r="28" spans="1:10" x14ac:dyDescent="0.25">
      <c r="A28" s="3">
        <v>18</v>
      </c>
      <c r="B28" s="10" t="s">
        <v>274</v>
      </c>
      <c r="C28" s="4">
        <v>16</v>
      </c>
      <c r="D28" s="4">
        <v>17</v>
      </c>
      <c r="E28" s="4">
        <v>0</v>
      </c>
      <c r="F28" s="4">
        <v>0</v>
      </c>
      <c r="G28" s="4">
        <v>0</v>
      </c>
      <c r="H28" s="3">
        <f t="shared" ref="H28:H35" si="6">E28+F28+G28</f>
        <v>0</v>
      </c>
      <c r="I28" s="3">
        <f t="shared" si="5"/>
        <v>17</v>
      </c>
      <c r="J28" s="5"/>
    </row>
    <row r="29" spans="1:10" s="1" customFormat="1" x14ac:dyDescent="0.3">
      <c r="A29" s="3">
        <v>19</v>
      </c>
      <c r="B29" s="10" t="s">
        <v>275</v>
      </c>
      <c r="C29" s="4">
        <v>27</v>
      </c>
      <c r="D29" s="4">
        <v>21</v>
      </c>
      <c r="E29" s="4">
        <v>0</v>
      </c>
      <c r="F29" s="4">
        <v>0</v>
      </c>
      <c r="G29" s="4">
        <v>0</v>
      </c>
      <c r="H29" s="3">
        <f t="shared" si="6"/>
        <v>0</v>
      </c>
      <c r="I29" s="3">
        <f t="shared" si="5"/>
        <v>21</v>
      </c>
      <c r="J29" s="123"/>
    </row>
    <row r="30" spans="1:10" x14ac:dyDescent="0.25">
      <c r="A30" s="3">
        <v>20</v>
      </c>
      <c r="B30" s="10" t="s">
        <v>276</v>
      </c>
      <c r="C30" s="4">
        <v>47</v>
      </c>
      <c r="D30" s="4">
        <v>19</v>
      </c>
      <c r="E30" s="4">
        <v>0</v>
      </c>
      <c r="F30" s="4">
        <v>0</v>
      </c>
      <c r="G30" s="4">
        <v>0</v>
      </c>
      <c r="H30" s="3">
        <f t="shared" si="6"/>
        <v>0</v>
      </c>
      <c r="I30" s="3">
        <f t="shared" si="5"/>
        <v>19</v>
      </c>
      <c r="J30" s="57"/>
    </row>
    <row r="31" spans="1:10" ht="21" customHeight="1" x14ac:dyDescent="0.25">
      <c r="A31" s="3">
        <v>21</v>
      </c>
      <c r="B31" s="10" t="s">
        <v>277</v>
      </c>
      <c r="C31" s="4">
        <v>4</v>
      </c>
      <c r="D31" s="4">
        <v>3</v>
      </c>
      <c r="E31" s="4">
        <v>0</v>
      </c>
      <c r="F31" s="4">
        <v>0</v>
      </c>
      <c r="G31" s="4">
        <v>0</v>
      </c>
      <c r="H31" s="3">
        <f t="shared" si="6"/>
        <v>0</v>
      </c>
      <c r="I31" s="3">
        <f t="shared" si="5"/>
        <v>3</v>
      </c>
      <c r="J31" s="30"/>
    </row>
    <row r="32" spans="1:10" ht="21" customHeight="1" x14ac:dyDescent="0.25">
      <c r="A32" s="3">
        <v>22</v>
      </c>
      <c r="B32" s="10" t="s">
        <v>278</v>
      </c>
      <c r="C32" s="4">
        <v>0</v>
      </c>
      <c r="D32" s="4">
        <v>1</v>
      </c>
      <c r="E32" s="4">
        <v>0</v>
      </c>
      <c r="F32" s="4">
        <v>0</v>
      </c>
      <c r="G32" s="4">
        <v>0</v>
      </c>
      <c r="H32" s="3">
        <f t="shared" si="6"/>
        <v>0</v>
      </c>
      <c r="I32" s="3">
        <f t="shared" si="5"/>
        <v>1</v>
      </c>
      <c r="J32" s="30"/>
    </row>
    <row r="33" spans="1:10" ht="21" customHeight="1" x14ac:dyDescent="0.25">
      <c r="A33" s="3">
        <v>23</v>
      </c>
      <c r="B33" s="10" t="s">
        <v>279</v>
      </c>
      <c r="C33" s="4">
        <v>6</v>
      </c>
      <c r="D33" s="4">
        <v>6</v>
      </c>
      <c r="E33" s="4">
        <v>0</v>
      </c>
      <c r="F33" s="4">
        <v>0</v>
      </c>
      <c r="G33" s="4">
        <v>0</v>
      </c>
      <c r="H33" s="3">
        <f t="shared" si="6"/>
        <v>0</v>
      </c>
      <c r="I33" s="3">
        <f t="shared" si="5"/>
        <v>6</v>
      </c>
      <c r="J33" s="15"/>
    </row>
    <row r="34" spans="1:10" s="25" customFormat="1" x14ac:dyDescent="0.3">
      <c r="A34" s="3">
        <v>24</v>
      </c>
      <c r="B34" s="10" t="s">
        <v>280</v>
      </c>
      <c r="C34" s="4">
        <v>39</v>
      </c>
      <c r="D34" s="4">
        <v>10</v>
      </c>
      <c r="E34" s="4">
        <v>0</v>
      </c>
      <c r="F34" s="4">
        <v>0</v>
      </c>
      <c r="G34" s="4">
        <v>0</v>
      </c>
      <c r="H34" s="3">
        <f t="shared" si="6"/>
        <v>0</v>
      </c>
      <c r="I34" s="3">
        <f t="shared" si="5"/>
        <v>10</v>
      </c>
      <c r="J34" s="14"/>
    </row>
    <row r="35" spans="1:10" ht="37.5" customHeight="1" x14ac:dyDescent="0.25">
      <c r="A35" s="3">
        <v>25</v>
      </c>
      <c r="B35" s="10" t="s">
        <v>281</v>
      </c>
      <c r="C35" s="4">
        <v>14</v>
      </c>
      <c r="D35" s="4">
        <v>28</v>
      </c>
      <c r="E35" s="4">
        <v>0</v>
      </c>
      <c r="F35" s="4">
        <v>0</v>
      </c>
      <c r="G35" s="4">
        <v>0</v>
      </c>
      <c r="H35" s="3">
        <f t="shared" si="6"/>
        <v>0</v>
      </c>
      <c r="I35" s="3">
        <f t="shared" si="5"/>
        <v>28</v>
      </c>
      <c r="J35" s="32"/>
    </row>
    <row r="36" spans="1:10" ht="15.75" customHeight="1" x14ac:dyDescent="0.25">
      <c r="A36" s="21" t="s">
        <v>61</v>
      </c>
      <c r="B36" s="12"/>
      <c r="C36" s="27"/>
      <c r="D36" s="27"/>
      <c r="E36" s="27"/>
      <c r="F36" s="27"/>
      <c r="G36" s="27"/>
      <c r="H36" s="12"/>
      <c r="I36" s="12"/>
      <c r="J36" s="28"/>
    </row>
    <row r="37" spans="1:10" x14ac:dyDescent="0.25">
      <c r="A37" s="18">
        <v>26</v>
      </c>
      <c r="B37" s="35" t="s">
        <v>282</v>
      </c>
      <c r="C37" s="4">
        <v>8</v>
      </c>
      <c r="D37" s="4">
        <v>4</v>
      </c>
      <c r="E37" s="4">
        <v>0</v>
      </c>
      <c r="F37" s="4">
        <v>0</v>
      </c>
      <c r="G37" s="4">
        <v>0</v>
      </c>
      <c r="H37" s="3">
        <f>E37+F37+G37</f>
        <v>0</v>
      </c>
      <c r="I37" s="3">
        <f>D37-H37</f>
        <v>4</v>
      </c>
      <c r="J37" s="5"/>
    </row>
    <row r="38" spans="1:10" ht="15.6" x14ac:dyDescent="0.25">
      <c r="A38" s="18">
        <v>27</v>
      </c>
      <c r="B38" s="35" t="s">
        <v>283</v>
      </c>
      <c r="C38" s="4">
        <v>3</v>
      </c>
      <c r="D38" s="4">
        <v>11</v>
      </c>
      <c r="E38" s="4">
        <v>0</v>
      </c>
      <c r="F38" s="4">
        <v>0</v>
      </c>
      <c r="G38" s="4">
        <v>0</v>
      </c>
      <c r="H38" s="3">
        <f>E38+F38+G38</f>
        <v>0</v>
      </c>
      <c r="I38" s="3">
        <f>D38-H38</f>
        <v>11</v>
      </c>
      <c r="J38" s="54"/>
    </row>
    <row r="39" spans="1:10" ht="24.75" customHeight="1" x14ac:dyDescent="0.25">
      <c r="A39" s="3">
        <v>28</v>
      </c>
      <c r="B39" s="35" t="s">
        <v>284</v>
      </c>
      <c r="C39" s="4">
        <v>1</v>
      </c>
      <c r="D39" s="4">
        <v>2</v>
      </c>
      <c r="E39" s="4">
        <v>0</v>
      </c>
      <c r="F39" s="4">
        <v>0</v>
      </c>
      <c r="G39" s="4">
        <v>0</v>
      </c>
      <c r="H39" s="3">
        <f>E39+F39+G39</f>
        <v>0</v>
      </c>
      <c r="I39" s="3">
        <f>D39-H39</f>
        <v>2</v>
      </c>
      <c r="J39" s="4"/>
    </row>
    <row r="40" spans="1:10" ht="15.6" x14ac:dyDescent="0.25">
      <c r="A40" s="21" t="s">
        <v>73</v>
      </c>
      <c r="B40" s="12"/>
      <c r="C40" s="27"/>
      <c r="D40" s="27"/>
      <c r="E40" s="27"/>
      <c r="F40" s="27"/>
      <c r="G40" s="27"/>
      <c r="H40" s="12"/>
      <c r="I40" s="12"/>
      <c r="J40" s="28"/>
    </row>
    <row r="41" spans="1:10" x14ac:dyDescent="0.25">
      <c r="A41" s="3">
        <v>29</v>
      </c>
      <c r="B41" s="35" t="s">
        <v>285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3">
        <f t="shared" ref="H41" si="7">E41+F41+G41</f>
        <v>0</v>
      </c>
      <c r="I41" s="3">
        <f t="shared" ref="I41:I50" si="8">D41-H41</f>
        <v>0</v>
      </c>
      <c r="J41" s="4"/>
    </row>
    <row r="42" spans="1:10" ht="15.6" x14ac:dyDescent="0.25">
      <c r="A42" s="3">
        <v>30</v>
      </c>
      <c r="B42" s="35" t="s">
        <v>286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3">
        <f t="shared" ref="H42:H50" si="9">E42+F42+G42</f>
        <v>0</v>
      </c>
      <c r="I42" s="3">
        <f t="shared" si="8"/>
        <v>0</v>
      </c>
      <c r="J42" s="54"/>
    </row>
    <row r="43" spans="1:10" ht="15.6" x14ac:dyDescent="0.25">
      <c r="A43" s="3">
        <v>31</v>
      </c>
      <c r="B43" s="35" t="s">
        <v>287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3">
        <f t="shared" si="9"/>
        <v>0</v>
      </c>
      <c r="I43" s="3">
        <f t="shared" si="8"/>
        <v>0</v>
      </c>
      <c r="J43" s="54"/>
    </row>
    <row r="44" spans="1:10" x14ac:dyDescent="0.25">
      <c r="A44" s="3">
        <v>32</v>
      </c>
      <c r="B44" s="35" t="s">
        <v>288</v>
      </c>
      <c r="C44" s="4">
        <v>49</v>
      </c>
      <c r="D44" s="4">
        <v>45</v>
      </c>
      <c r="E44" s="4">
        <v>0</v>
      </c>
      <c r="F44" s="4">
        <v>0</v>
      </c>
      <c r="G44" s="4">
        <v>0</v>
      </c>
      <c r="H44" s="3">
        <f t="shared" si="9"/>
        <v>0</v>
      </c>
      <c r="I44" s="3">
        <f t="shared" si="8"/>
        <v>45</v>
      </c>
      <c r="J44" s="32"/>
    </row>
    <row r="45" spans="1:10" ht="20.25" customHeight="1" x14ac:dyDescent="0.25">
      <c r="A45" s="3">
        <v>33</v>
      </c>
      <c r="B45" s="35" t="s">
        <v>289</v>
      </c>
      <c r="C45" s="4">
        <v>16</v>
      </c>
      <c r="D45" s="4">
        <v>25</v>
      </c>
      <c r="E45" s="4">
        <v>0</v>
      </c>
      <c r="F45" s="4">
        <v>0</v>
      </c>
      <c r="G45" s="4">
        <v>0</v>
      </c>
      <c r="H45" s="3">
        <f t="shared" si="9"/>
        <v>0</v>
      </c>
      <c r="I45" s="3">
        <f t="shared" si="8"/>
        <v>25</v>
      </c>
      <c r="J45" s="10"/>
    </row>
    <row r="46" spans="1:10" ht="15.6" x14ac:dyDescent="0.25">
      <c r="A46" s="3">
        <v>34</v>
      </c>
      <c r="B46" s="35" t="s">
        <v>290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3">
        <f t="shared" si="9"/>
        <v>0</v>
      </c>
      <c r="I46" s="3">
        <f t="shared" si="8"/>
        <v>0</v>
      </c>
      <c r="J46" s="54"/>
    </row>
    <row r="47" spans="1:10" x14ac:dyDescent="0.25">
      <c r="A47" s="18">
        <v>35</v>
      </c>
      <c r="B47" s="35" t="s">
        <v>291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3">
        <f t="shared" si="9"/>
        <v>0</v>
      </c>
      <c r="I47" s="3">
        <f t="shared" si="8"/>
        <v>0</v>
      </c>
      <c r="J47" s="4"/>
    </row>
    <row r="48" spans="1:10" x14ac:dyDescent="0.25">
      <c r="A48" s="3">
        <v>36</v>
      </c>
      <c r="B48" s="35" t="s">
        <v>292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3">
        <f t="shared" si="9"/>
        <v>0</v>
      </c>
      <c r="I48" s="3">
        <f t="shared" si="8"/>
        <v>0</v>
      </c>
      <c r="J48" s="4"/>
    </row>
    <row r="49" spans="1:10" x14ac:dyDescent="0.25">
      <c r="A49" s="18">
        <v>37</v>
      </c>
      <c r="B49" s="35" t="s">
        <v>293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3">
        <f t="shared" si="9"/>
        <v>0</v>
      </c>
      <c r="I49" s="3">
        <f t="shared" si="8"/>
        <v>0</v>
      </c>
      <c r="J49" s="4"/>
    </row>
    <row r="50" spans="1:10" ht="15.6" x14ac:dyDescent="0.25">
      <c r="A50" s="3">
        <v>38</v>
      </c>
      <c r="B50" s="35" t="s">
        <v>294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3">
        <f t="shared" si="9"/>
        <v>0</v>
      </c>
      <c r="I50" s="3">
        <f t="shared" si="8"/>
        <v>0</v>
      </c>
      <c r="J50" s="54"/>
    </row>
    <row r="51" spans="1:10" ht="15.6" x14ac:dyDescent="0.25">
      <c r="A51" s="12" t="s">
        <v>74</v>
      </c>
      <c r="B51" s="12"/>
      <c r="C51" s="27"/>
      <c r="D51" s="27"/>
      <c r="E51" s="27"/>
      <c r="F51" s="27"/>
      <c r="G51" s="27"/>
      <c r="H51" s="12"/>
      <c r="I51" s="12"/>
      <c r="J51" s="27"/>
    </row>
    <row r="52" spans="1:10" x14ac:dyDescent="0.25">
      <c r="A52" s="3">
        <v>39</v>
      </c>
      <c r="B52" s="35" t="s">
        <v>295</v>
      </c>
      <c r="C52" s="4">
        <v>7</v>
      </c>
      <c r="D52" s="4">
        <v>0</v>
      </c>
      <c r="E52" s="4">
        <v>0</v>
      </c>
      <c r="F52" s="4">
        <v>0</v>
      </c>
      <c r="G52" s="4">
        <v>0</v>
      </c>
      <c r="H52" s="3">
        <f>E52+F52+G52</f>
        <v>0</v>
      </c>
      <c r="I52" s="3">
        <f>D52-H52</f>
        <v>0</v>
      </c>
      <c r="J52" s="5"/>
    </row>
    <row r="53" spans="1:10" x14ac:dyDescent="0.25">
      <c r="A53" s="3">
        <v>40</v>
      </c>
      <c r="B53" s="35" t="s">
        <v>296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3">
        <f>E53+F53+G53</f>
        <v>0</v>
      </c>
      <c r="I53" s="3">
        <f>D53-H53</f>
        <v>0</v>
      </c>
      <c r="J53" s="4"/>
    </row>
    <row r="54" spans="1:10" ht="15.6" x14ac:dyDescent="0.25">
      <c r="A54" s="12" t="s">
        <v>75</v>
      </c>
      <c r="B54" s="12"/>
      <c r="C54" s="27"/>
      <c r="D54" s="27"/>
      <c r="E54" s="27"/>
      <c r="F54" s="27"/>
      <c r="G54" s="27"/>
      <c r="H54" s="12"/>
      <c r="I54" s="12"/>
      <c r="J54" s="27"/>
    </row>
    <row r="55" spans="1:10" ht="15.6" x14ac:dyDescent="0.25">
      <c r="A55" s="3">
        <v>41</v>
      </c>
      <c r="B55" s="58" t="s">
        <v>297</v>
      </c>
      <c r="C55" s="4">
        <v>2</v>
      </c>
      <c r="D55" s="4">
        <v>2</v>
      </c>
      <c r="E55" s="4">
        <v>0</v>
      </c>
      <c r="F55" s="4">
        <v>0</v>
      </c>
      <c r="G55" s="4">
        <v>0</v>
      </c>
      <c r="H55" s="3">
        <f t="shared" ref="H55" si="10">E55+F55+G55</f>
        <v>0</v>
      </c>
      <c r="I55" s="3">
        <f t="shared" ref="I55:I64" si="11">D55-H55</f>
        <v>2</v>
      </c>
      <c r="J55" s="43"/>
    </row>
    <row r="56" spans="1:10" x14ac:dyDescent="0.25">
      <c r="A56" s="3">
        <v>42</v>
      </c>
      <c r="B56" s="58" t="s">
        <v>298</v>
      </c>
      <c r="C56" s="4">
        <v>3</v>
      </c>
      <c r="D56" s="4">
        <v>3</v>
      </c>
      <c r="E56" s="4">
        <v>0</v>
      </c>
      <c r="F56" s="4">
        <v>0</v>
      </c>
      <c r="G56" s="4">
        <v>0</v>
      </c>
      <c r="H56" s="3">
        <f t="shared" ref="H56:H64" si="12">E56+F56+G56</f>
        <v>0</v>
      </c>
      <c r="I56" s="3">
        <f t="shared" si="11"/>
        <v>3</v>
      </c>
      <c r="J56" s="5"/>
    </row>
    <row r="57" spans="1:10" ht="15.6" x14ac:dyDescent="0.25">
      <c r="A57" s="3">
        <v>43</v>
      </c>
      <c r="B57" s="58" t="s">
        <v>299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3">
        <f t="shared" si="12"/>
        <v>0</v>
      </c>
      <c r="I57" s="3">
        <f t="shared" si="11"/>
        <v>0</v>
      </c>
      <c r="J57" s="54"/>
    </row>
    <row r="58" spans="1:10" x14ac:dyDescent="0.25">
      <c r="A58" s="3">
        <v>44</v>
      </c>
      <c r="B58" s="58" t="s">
        <v>300</v>
      </c>
      <c r="C58" s="4">
        <v>15</v>
      </c>
      <c r="D58" s="4">
        <v>9</v>
      </c>
      <c r="E58" s="4">
        <v>0</v>
      </c>
      <c r="F58" s="4">
        <v>0</v>
      </c>
      <c r="G58" s="4">
        <v>0</v>
      </c>
      <c r="H58" s="3">
        <f t="shared" si="12"/>
        <v>0</v>
      </c>
      <c r="I58" s="3">
        <f t="shared" si="11"/>
        <v>9</v>
      </c>
      <c r="J58" s="30"/>
    </row>
    <row r="59" spans="1:10" ht="15.6" x14ac:dyDescent="0.25">
      <c r="A59" s="3">
        <v>45</v>
      </c>
      <c r="B59" s="58" t="s">
        <v>301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3">
        <f t="shared" si="12"/>
        <v>0</v>
      </c>
      <c r="I59" s="3">
        <f t="shared" si="11"/>
        <v>0</v>
      </c>
      <c r="J59" s="54"/>
    </row>
    <row r="60" spans="1:10" ht="15.6" x14ac:dyDescent="0.25">
      <c r="A60" s="3">
        <v>46</v>
      </c>
      <c r="B60" s="58" t="s">
        <v>302</v>
      </c>
      <c r="C60" s="4">
        <v>2</v>
      </c>
      <c r="D60" s="4">
        <v>2</v>
      </c>
      <c r="E60" s="4">
        <v>0</v>
      </c>
      <c r="F60" s="4">
        <v>0</v>
      </c>
      <c r="G60" s="4">
        <v>0</v>
      </c>
      <c r="H60" s="3">
        <f t="shared" si="12"/>
        <v>0</v>
      </c>
      <c r="I60" s="3">
        <f t="shared" si="11"/>
        <v>2</v>
      </c>
      <c r="J60" s="54"/>
    </row>
    <row r="61" spans="1:10" x14ac:dyDescent="0.25">
      <c r="A61" s="3">
        <v>47</v>
      </c>
      <c r="B61" s="58" t="s">
        <v>303</v>
      </c>
      <c r="C61" s="4">
        <v>3</v>
      </c>
      <c r="D61" s="4">
        <v>1</v>
      </c>
      <c r="E61" s="4">
        <v>0</v>
      </c>
      <c r="F61" s="4">
        <v>0</v>
      </c>
      <c r="G61" s="4">
        <v>0</v>
      </c>
      <c r="H61" s="3">
        <f t="shared" si="12"/>
        <v>0</v>
      </c>
      <c r="I61" s="3">
        <f t="shared" si="11"/>
        <v>1</v>
      </c>
      <c r="J61" s="4"/>
    </row>
    <row r="62" spans="1:10" ht="18" customHeight="1" x14ac:dyDescent="0.25">
      <c r="A62" s="3">
        <v>48</v>
      </c>
      <c r="B62" s="58" t="s">
        <v>304</v>
      </c>
      <c r="C62" s="4">
        <v>6</v>
      </c>
      <c r="D62" s="4">
        <v>3</v>
      </c>
      <c r="E62" s="4">
        <v>0</v>
      </c>
      <c r="F62" s="4">
        <v>0</v>
      </c>
      <c r="G62" s="4">
        <v>0</v>
      </c>
      <c r="H62" s="3">
        <f t="shared" si="12"/>
        <v>0</v>
      </c>
      <c r="I62" s="3">
        <f t="shared" si="11"/>
        <v>3</v>
      </c>
      <c r="J62" s="4"/>
    </row>
    <row r="63" spans="1:10" ht="15.6" x14ac:dyDescent="0.25">
      <c r="A63" s="3">
        <v>49</v>
      </c>
      <c r="B63" s="58" t="s">
        <v>305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3">
        <f t="shared" si="12"/>
        <v>0</v>
      </c>
      <c r="I63" s="3">
        <f t="shared" si="11"/>
        <v>0</v>
      </c>
      <c r="J63" s="54"/>
    </row>
    <row r="64" spans="1:10" x14ac:dyDescent="0.25">
      <c r="A64" s="3">
        <v>50</v>
      </c>
      <c r="B64" s="58" t="s">
        <v>306</v>
      </c>
      <c r="C64" s="4">
        <v>40</v>
      </c>
      <c r="D64" s="4">
        <v>16</v>
      </c>
      <c r="E64" s="4">
        <v>0</v>
      </c>
      <c r="F64" s="4">
        <v>0</v>
      </c>
      <c r="G64" s="4">
        <v>0</v>
      </c>
      <c r="H64" s="3">
        <f t="shared" si="12"/>
        <v>0</v>
      </c>
      <c r="I64" s="3">
        <f t="shared" si="11"/>
        <v>16</v>
      </c>
      <c r="J64" s="30"/>
    </row>
    <row r="65" spans="1:10" ht="15.75" customHeight="1" x14ac:dyDescent="0.25">
      <c r="A65" s="21" t="s">
        <v>76</v>
      </c>
      <c r="B65" s="12"/>
      <c r="C65" s="27"/>
      <c r="D65" s="27"/>
      <c r="E65" s="27"/>
      <c r="F65" s="27"/>
      <c r="G65" s="27"/>
      <c r="H65" s="12"/>
      <c r="I65" s="12"/>
      <c r="J65" s="28"/>
    </row>
    <row r="66" spans="1:10" ht="15.75" customHeight="1" x14ac:dyDescent="0.25">
      <c r="A66" s="21" t="s">
        <v>77</v>
      </c>
      <c r="B66" s="12"/>
      <c r="C66" s="27"/>
      <c r="D66" s="27"/>
      <c r="E66" s="27"/>
      <c r="F66" s="27"/>
      <c r="G66" s="27"/>
      <c r="H66" s="12"/>
      <c r="I66" s="12"/>
      <c r="J66" s="28"/>
    </row>
    <row r="67" spans="1:10" x14ac:dyDescent="0.25">
      <c r="A67" s="3">
        <v>51</v>
      </c>
      <c r="B67" s="35" t="s">
        <v>307</v>
      </c>
      <c r="C67" s="4">
        <v>3</v>
      </c>
      <c r="D67" s="4">
        <v>3</v>
      </c>
      <c r="E67" s="4">
        <v>0</v>
      </c>
      <c r="F67" s="4">
        <v>0</v>
      </c>
      <c r="G67" s="4">
        <v>0</v>
      </c>
      <c r="H67" s="3">
        <f>E67+F67+G67</f>
        <v>0</v>
      </c>
      <c r="I67" s="3">
        <f>D67-H67</f>
        <v>3</v>
      </c>
      <c r="J67" s="5"/>
    </row>
    <row r="68" spans="1:10" x14ac:dyDescent="0.25">
      <c r="A68" s="3">
        <v>52</v>
      </c>
      <c r="B68" s="35" t="s">
        <v>308</v>
      </c>
      <c r="C68" s="4">
        <v>2</v>
      </c>
      <c r="D68" s="4">
        <v>4</v>
      </c>
      <c r="E68" s="4">
        <v>0</v>
      </c>
      <c r="F68" s="4">
        <v>0</v>
      </c>
      <c r="G68" s="4">
        <v>0</v>
      </c>
      <c r="H68" s="3">
        <f>E68+F68+G68</f>
        <v>0</v>
      </c>
      <c r="I68" s="3">
        <f>D68-H68</f>
        <v>4</v>
      </c>
      <c r="J68" s="5"/>
    </row>
    <row r="69" spans="1:10" ht="15.6" x14ac:dyDescent="0.25">
      <c r="A69" s="21" t="s">
        <v>78</v>
      </c>
      <c r="B69" s="12"/>
      <c r="C69" s="27"/>
      <c r="D69" s="27"/>
      <c r="E69" s="27"/>
      <c r="F69" s="27"/>
      <c r="G69" s="27"/>
      <c r="H69" s="12"/>
      <c r="I69" s="12"/>
      <c r="J69" s="28"/>
    </row>
    <row r="70" spans="1:10" x14ac:dyDescent="0.25">
      <c r="A70" s="3">
        <v>53</v>
      </c>
      <c r="B70" s="35" t="s">
        <v>309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3">
        <f t="shared" ref="H70:H77" si="13">E70+F70+G70</f>
        <v>0</v>
      </c>
      <c r="I70" s="3">
        <f t="shared" ref="I70:I77" si="14">D70-H70</f>
        <v>0</v>
      </c>
      <c r="J70" s="5"/>
    </row>
    <row r="71" spans="1:10" x14ac:dyDescent="0.25">
      <c r="A71" s="3">
        <v>54</v>
      </c>
      <c r="B71" s="35" t="s">
        <v>310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3">
        <f t="shared" si="13"/>
        <v>0</v>
      </c>
      <c r="I71" s="3">
        <f t="shared" si="14"/>
        <v>0</v>
      </c>
      <c r="J71" s="5"/>
    </row>
    <row r="72" spans="1:10" x14ac:dyDescent="0.25">
      <c r="A72" s="3">
        <v>55</v>
      </c>
      <c r="B72" s="35" t="s">
        <v>311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3">
        <f t="shared" si="13"/>
        <v>0</v>
      </c>
      <c r="I72" s="3">
        <f t="shared" si="14"/>
        <v>0</v>
      </c>
      <c r="J72" s="4"/>
    </row>
    <row r="73" spans="1:10" x14ac:dyDescent="0.25">
      <c r="A73" s="3">
        <v>56</v>
      </c>
      <c r="B73" s="35" t="s">
        <v>312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3">
        <f t="shared" si="13"/>
        <v>0</v>
      </c>
      <c r="I73" s="3">
        <f t="shared" si="14"/>
        <v>0</v>
      </c>
      <c r="J73" s="4"/>
    </row>
    <row r="74" spans="1:10" x14ac:dyDescent="0.25">
      <c r="A74" s="3">
        <v>57</v>
      </c>
      <c r="B74" s="35" t="s">
        <v>313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3">
        <f t="shared" si="13"/>
        <v>0</v>
      </c>
      <c r="I74" s="3">
        <f t="shared" si="14"/>
        <v>0</v>
      </c>
      <c r="J74" s="4"/>
    </row>
    <row r="75" spans="1:10" x14ac:dyDescent="0.25">
      <c r="A75" s="3">
        <v>58</v>
      </c>
      <c r="B75" s="35" t="s">
        <v>314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3">
        <f t="shared" si="13"/>
        <v>0</v>
      </c>
      <c r="I75" s="3">
        <f t="shared" si="14"/>
        <v>0</v>
      </c>
      <c r="J75" s="4"/>
    </row>
    <row r="76" spans="1:10" x14ac:dyDescent="0.25">
      <c r="A76" s="3">
        <v>59</v>
      </c>
      <c r="B76" s="35" t="s">
        <v>315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3">
        <f t="shared" si="13"/>
        <v>0</v>
      </c>
      <c r="I76" s="3">
        <f t="shared" si="14"/>
        <v>0</v>
      </c>
      <c r="J76" s="4"/>
    </row>
    <row r="77" spans="1:10" x14ac:dyDescent="0.25">
      <c r="A77" s="3">
        <v>60</v>
      </c>
      <c r="B77" s="35" t="s">
        <v>316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3">
        <f t="shared" si="13"/>
        <v>0</v>
      </c>
      <c r="I77" s="3">
        <f t="shared" si="14"/>
        <v>0</v>
      </c>
      <c r="J77" s="4"/>
    </row>
    <row r="78" spans="1:10" ht="15.6" x14ac:dyDescent="0.25">
      <c r="A78" s="21" t="s">
        <v>79</v>
      </c>
      <c r="B78" s="12"/>
      <c r="C78" s="27"/>
      <c r="D78" s="27"/>
      <c r="E78" s="27"/>
      <c r="F78" s="27"/>
      <c r="G78" s="27"/>
      <c r="H78" s="12"/>
      <c r="I78" s="12"/>
      <c r="J78" s="28"/>
    </row>
    <row r="79" spans="1:10" x14ac:dyDescent="0.25">
      <c r="A79" s="3">
        <v>61</v>
      </c>
      <c r="B79" s="35" t="s">
        <v>307</v>
      </c>
      <c r="C79" s="4">
        <v>2</v>
      </c>
      <c r="D79" s="4">
        <v>2</v>
      </c>
      <c r="E79" s="4">
        <v>0</v>
      </c>
      <c r="F79" s="4">
        <v>0</v>
      </c>
      <c r="G79" s="4">
        <v>0</v>
      </c>
      <c r="H79" s="3">
        <f t="shared" ref="H79:H125" si="15">E79+F79+G79</f>
        <v>0</v>
      </c>
      <c r="I79" s="3">
        <f t="shared" ref="I79:I125" si="16">D79-H79</f>
        <v>2</v>
      </c>
      <c r="J79" s="4"/>
    </row>
    <row r="80" spans="1:10" x14ac:dyDescent="0.25">
      <c r="A80" s="3">
        <v>62</v>
      </c>
      <c r="B80" s="35" t="s">
        <v>308</v>
      </c>
      <c r="C80" s="4">
        <v>39</v>
      </c>
      <c r="D80" s="4">
        <v>39</v>
      </c>
      <c r="E80" s="4">
        <v>0</v>
      </c>
      <c r="F80" s="4">
        <v>0</v>
      </c>
      <c r="G80" s="4">
        <v>0</v>
      </c>
      <c r="H80" s="3">
        <f t="shared" si="15"/>
        <v>0</v>
      </c>
      <c r="I80" s="3">
        <f t="shared" si="16"/>
        <v>39</v>
      </c>
      <c r="J80" s="133"/>
    </row>
    <row r="81" spans="1:10" x14ac:dyDescent="0.25">
      <c r="A81" s="3">
        <v>63</v>
      </c>
      <c r="B81" s="35" t="s">
        <v>309</v>
      </c>
      <c r="C81" s="4">
        <v>4</v>
      </c>
      <c r="D81" s="4">
        <v>0</v>
      </c>
      <c r="E81" s="4">
        <v>0</v>
      </c>
      <c r="F81" s="4">
        <v>0</v>
      </c>
      <c r="G81" s="4">
        <v>0</v>
      </c>
      <c r="H81" s="3">
        <f t="shared" si="15"/>
        <v>0</v>
      </c>
      <c r="I81" s="3">
        <f t="shared" si="16"/>
        <v>0</v>
      </c>
      <c r="J81" s="15"/>
    </row>
    <row r="82" spans="1:10" ht="30.75" customHeight="1" x14ac:dyDescent="0.25">
      <c r="A82" s="3">
        <v>64</v>
      </c>
      <c r="B82" s="35" t="s">
        <v>310</v>
      </c>
      <c r="C82" s="4">
        <v>33</v>
      </c>
      <c r="D82" s="4">
        <v>31</v>
      </c>
      <c r="E82" s="4">
        <v>0</v>
      </c>
      <c r="F82" s="4">
        <v>0</v>
      </c>
      <c r="G82" s="4">
        <v>0</v>
      </c>
      <c r="H82" s="3">
        <f t="shared" si="15"/>
        <v>0</v>
      </c>
      <c r="I82" s="3">
        <f t="shared" si="16"/>
        <v>31</v>
      </c>
      <c r="J82" s="5"/>
    </row>
    <row r="83" spans="1:10" ht="26.25" customHeight="1" x14ac:dyDescent="0.25">
      <c r="A83" s="3">
        <v>65</v>
      </c>
      <c r="B83" s="35" t="s">
        <v>311</v>
      </c>
      <c r="C83" s="4">
        <v>11</v>
      </c>
      <c r="D83" s="4">
        <v>11</v>
      </c>
      <c r="E83" s="4">
        <v>0</v>
      </c>
      <c r="F83" s="4">
        <v>0</v>
      </c>
      <c r="G83" s="4">
        <v>0</v>
      </c>
      <c r="H83" s="3">
        <f t="shared" si="15"/>
        <v>0</v>
      </c>
      <c r="I83" s="3">
        <f t="shared" si="16"/>
        <v>11</v>
      </c>
      <c r="J83" s="10"/>
    </row>
    <row r="84" spans="1:10" x14ac:dyDescent="0.25">
      <c r="A84" s="3">
        <v>66</v>
      </c>
      <c r="B84" s="35" t="s">
        <v>312</v>
      </c>
      <c r="C84" s="4">
        <v>19</v>
      </c>
      <c r="D84" s="4">
        <v>12</v>
      </c>
      <c r="E84" s="4">
        <v>0</v>
      </c>
      <c r="F84" s="4">
        <v>0</v>
      </c>
      <c r="G84" s="4">
        <v>0</v>
      </c>
      <c r="H84" s="3">
        <f t="shared" si="15"/>
        <v>0</v>
      </c>
      <c r="I84" s="3">
        <f t="shared" si="16"/>
        <v>12</v>
      </c>
      <c r="J84" s="124"/>
    </row>
    <row r="85" spans="1:10" x14ac:dyDescent="0.25">
      <c r="A85" s="3">
        <v>67</v>
      </c>
      <c r="B85" s="35" t="s">
        <v>313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3">
        <f t="shared" si="15"/>
        <v>0</v>
      </c>
      <c r="I85" s="3">
        <f t="shared" si="16"/>
        <v>0</v>
      </c>
      <c r="J85" s="4"/>
    </row>
    <row r="86" spans="1:10" x14ac:dyDescent="0.25">
      <c r="A86" s="3">
        <v>68</v>
      </c>
      <c r="B86" s="35" t="s">
        <v>314</v>
      </c>
      <c r="C86" s="4">
        <v>28</v>
      </c>
      <c r="D86" s="4">
        <v>30</v>
      </c>
      <c r="E86" s="4">
        <v>2</v>
      </c>
      <c r="F86" s="4">
        <v>0</v>
      </c>
      <c r="G86" s="4">
        <v>0</v>
      </c>
      <c r="H86" s="3">
        <f t="shared" si="15"/>
        <v>2</v>
      </c>
      <c r="I86" s="3">
        <f t="shared" si="16"/>
        <v>28</v>
      </c>
      <c r="J86" s="5" t="s">
        <v>121</v>
      </c>
    </row>
    <row r="87" spans="1:10" x14ac:dyDescent="0.25">
      <c r="A87" s="3">
        <v>69</v>
      </c>
      <c r="B87" s="35" t="s">
        <v>315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3">
        <f t="shared" si="15"/>
        <v>0</v>
      </c>
      <c r="I87" s="3">
        <f t="shared" si="16"/>
        <v>0</v>
      </c>
      <c r="J87" s="4"/>
    </row>
    <row r="88" spans="1:10" x14ac:dyDescent="0.25">
      <c r="A88" s="3">
        <v>70</v>
      </c>
      <c r="B88" s="35" t="s">
        <v>316</v>
      </c>
      <c r="C88" s="4">
        <v>5</v>
      </c>
      <c r="D88" s="4">
        <v>13</v>
      </c>
      <c r="E88" s="4">
        <v>0</v>
      </c>
      <c r="F88" s="4">
        <v>0</v>
      </c>
      <c r="G88" s="4">
        <v>0</v>
      </c>
      <c r="H88" s="3">
        <f t="shared" si="15"/>
        <v>0</v>
      </c>
      <c r="I88" s="3">
        <f t="shared" si="16"/>
        <v>13</v>
      </c>
      <c r="J88" s="161"/>
    </row>
    <row r="89" spans="1:10" x14ac:dyDescent="0.25">
      <c r="A89" s="3">
        <v>71</v>
      </c>
      <c r="B89" s="35" t="s">
        <v>317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3">
        <f t="shared" si="15"/>
        <v>0</v>
      </c>
      <c r="I89" s="3">
        <f t="shared" si="16"/>
        <v>0</v>
      </c>
      <c r="J89" s="4"/>
    </row>
    <row r="90" spans="1:10" x14ac:dyDescent="0.25">
      <c r="A90" s="3">
        <v>72</v>
      </c>
      <c r="B90" s="35" t="s">
        <v>318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3">
        <f t="shared" si="15"/>
        <v>0</v>
      </c>
      <c r="I90" s="3">
        <f t="shared" si="16"/>
        <v>0</v>
      </c>
      <c r="J90" s="4"/>
    </row>
    <row r="91" spans="1:10" x14ac:dyDescent="0.25">
      <c r="A91" s="3">
        <v>73</v>
      </c>
      <c r="B91" s="35" t="s">
        <v>319</v>
      </c>
      <c r="C91" s="4">
        <v>1</v>
      </c>
      <c r="D91" s="4">
        <v>2</v>
      </c>
      <c r="E91" s="4">
        <v>0</v>
      </c>
      <c r="F91" s="4">
        <v>0</v>
      </c>
      <c r="G91" s="4">
        <v>0</v>
      </c>
      <c r="H91" s="3">
        <f t="shared" si="15"/>
        <v>0</v>
      </c>
      <c r="I91" s="3">
        <f t="shared" si="16"/>
        <v>2</v>
      </c>
      <c r="J91" s="4"/>
    </row>
    <row r="92" spans="1:10" x14ac:dyDescent="0.25">
      <c r="A92" s="3">
        <v>74</v>
      </c>
      <c r="B92" s="35" t="s">
        <v>320</v>
      </c>
      <c r="C92" s="4">
        <v>5</v>
      </c>
      <c r="D92" s="4">
        <v>14</v>
      </c>
      <c r="E92" s="4">
        <v>0</v>
      </c>
      <c r="F92" s="4">
        <v>0</v>
      </c>
      <c r="G92" s="4">
        <v>0</v>
      </c>
      <c r="H92" s="3">
        <f t="shared" si="15"/>
        <v>0</v>
      </c>
      <c r="I92" s="3">
        <f t="shared" si="16"/>
        <v>14</v>
      </c>
      <c r="J92" s="30"/>
    </row>
    <row r="93" spans="1:10" x14ac:dyDescent="0.25">
      <c r="A93" s="3">
        <v>75</v>
      </c>
      <c r="B93" s="35" t="s">
        <v>321</v>
      </c>
      <c r="C93" s="4">
        <v>1</v>
      </c>
      <c r="D93" s="4">
        <v>13</v>
      </c>
      <c r="E93" s="4">
        <v>0</v>
      </c>
      <c r="F93" s="4">
        <v>0</v>
      </c>
      <c r="G93" s="4">
        <v>0</v>
      </c>
      <c r="H93" s="3">
        <f t="shared" si="15"/>
        <v>0</v>
      </c>
      <c r="I93" s="3">
        <f t="shared" si="16"/>
        <v>13</v>
      </c>
      <c r="J93" s="30"/>
    </row>
    <row r="94" spans="1:10" ht="24.75" customHeight="1" x14ac:dyDescent="0.25">
      <c r="A94" s="3">
        <v>76</v>
      </c>
      <c r="B94" s="35" t="s">
        <v>322</v>
      </c>
      <c r="C94" s="4">
        <v>60</v>
      </c>
      <c r="D94" s="4">
        <v>50</v>
      </c>
      <c r="E94" s="4">
        <v>0</v>
      </c>
      <c r="F94" s="4">
        <v>0</v>
      </c>
      <c r="G94" s="4">
        <v>0</v>
      </c>
      <c r="H94" s="3">
        <f t="shared" si="15"/>
        <v>0</v>
      </c>
      <c r="I94" s="3">
        <f t="shared" si="16"/>
        <v>50</v>
      </c>
      <c r="J94" s="10"/>
    </row>
    <row r="95" spans="1:10" ht="23.25" customHeight="1" x14ac:dyDescent="0.25">
      <c r="A95" s="3">
        <v>77</v>
      </c>
      <c r="B95" s="35" t="s">
        <v>323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3">
        <f t="shared" si="15"/>
        <v>0</v>
      </c>
      <c r="I95" s="3">
        <f t="shared" si="16"/>
        <v>0</v>
      </c>
      <c r="J95" s="4"/>
    </row>
    <row r="96" spans="1:10" ht="37.5" customHeight="1" x14ac:dyDescent="0.25">
      <c r="A96" s="3">
        <v>78</v>
      </c>
      <c r="B96" s="35" t="s">
        <v>324</v>
      </c>
      <c r="C96" s="4">
        <v>16</v>
      </c>
      <c r="D96" s="4">
        <v>14</v>
      </c>
      <c r="E96" s="4">
        <v>0</v>
      </c>
      <c r="F96" s="4">
        <v>0</v>
      </c>
      <c r="G96" s="4">
        <v>0</v>
      </c>
      <c r="H96" s="3">
        <f t="shared" si="15"/>
        <v>0</v>
      </c>
      <c r="I96" s="3">
        <f t="shared" si="16"/>
        <v>14</v>
      </c>
      <c r="J96" s="124"/>
    </row>
    <row r="97" spans="1:10" x14ac:dyDescent="0.25">
      <c r="A97" s="3">
        <v>79</v>
      </c>
      <c r="B97" s="35" t="s">
        <v>325</v>
      </c>
      <c r="C97" s="4">
        <v>19</v>
      </c>
      <c r="D97" s="4">
        <v>21</v>
      </c>
      <c r="E97" s="4">
        <v>0</v>
      </c>
      <c r="F97" s="4">
        <v>0</v>
      </c>
      <c r="G97" s="4">
        <v>0</v>
      </c>
      <c r="H97" s="3">
        <f t="shared" si="15"/>
        <v>0</v>
      </c>
      <c r="I97" s="3">
        <f t="shared" si="16"/>
        <v>21</v>
      </c>
      <c r="J97" s="30"/>
    </row>
    <row r="98" spans="1:10" x14ac:dyDescent="0.25">
      <c r="A98" s="3">
        <v>80</v>
      </c>
      <c r="B98" s="35" t="s">
        <v>326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3">
        <f t="shared" si="15"/>
        <v>0</v>
      </c>
      <c r="I98" s="3">
        <f t="shared" si="16"/>
        <v>0</v>
      </c>
      <c r="J98" s="30"/>
    </row>
    <row r="99" spans="1:10" x14ac:dyDescent="0.25">
      <c r="A99" s="3">
        <v>81</v>
      </c>
      <c r="B99" s="35" t="s">
        <v>327</v>
      </c>
      <c r="C99" s="4">
        <v>8</v>
      </c>
      <c r="D99" s="4">
        <v>0</v>
      </c>
      <c r="E99" s="4">
        <v>0</v>
      </c>
      <c r="F99" s="4">
        <v>0</v>
      </c>
      <c r="G99" s="4">
        <v>0</v>
      </c>
      <c r="H99" s="3">
        <f t="shared" si="15"/>
        <v>0</v>
      </c>
      <c r="I99" s="3">
        <f t="shared" si="16"/>
        <v>0</v>
      </c>
      <c r="J99" s="15"/>
    </row>
    <row r="100" spans="1:10" x14ac:dyDescent="0.25">
      <c r="A100" s="3">
        <v>82</v>
      </c>
      <c r="B100" s="35" t="s">
        <v>328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3">
        <f t="shared" si="15"/>
        <v>0</v>
      </c>
      <c r="I100" s="3">
        <f t="shared" si="16"/>
        <v>0</v>
      </c>
      <c r="J100" s="4"/>
    </row>
    <row r="101" spans="1:10" x14ac:dyDescent="0.25">
      <c r="A101" s="3">
        <v>83</v>
      </c>
      <c r="B101" s="35" t="s">
        <v>329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3">
        <f t="shared" si="15"/>
        <v>0</v>
      </c>
      <c r="I101" s="3">
        <f t="shared" si="16"/>
        <v>0</v>
      </c>
      <c r="J101" s="4"/>
    </row>
    <row r="102" spans="1:10" x14ac:dyDescent="0.25">
      <c r="A102" s="3">
        <v>84</v>
      </c>
      <c r="B102" s="35" t="s">
        <v>330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3">
        <f t="shared" si="15"/>
        <v>0</v>
      </c>
      <c r="I102" s="3">
        <f t="shared" si="16"/>
        <v>0</v>
      </c>
      <c r="J102" s="4"/>
    </row>
    <row r="103" spans="1:10" ht="28.5" customHeight="1" x14ac:dyDescent="0.25">
      <c r="A103" s="3">
        <v>85</v>
      </c>
      <c r="B103" s="35" t="s">
        <v>331</v>
      </c>
      <c r="C103" s="4">
        <v>63</v>
      </c>
      <c r="D103" s="4">
        <v>94</v>
      </c>
      <c r="E103" s="4">
        <v>0</v>
      </c>
      <c r="F103" s="4">
        <v>0</v>
      </c>
      <c r="G103" s="4">
        <v>0</v>
      </c>
      <c r="H103" s="3">
        <f t="shared" si="15"/>
        <v>0</v>
      </c>
      <c r="I103" s="3">
        <f t="shared" si="16"/>
        <v>94</v>
      </c>
      <c r="J103" s="123"/>
    </row>
    <row r="104" spans="1:10" ht="38.25" customHeight="1" x14ac:dyDescent="0.25">
      <c r="A104" s="3">
        <v>86</v>
      </c>
      <c r="B104" s="35" t="s">
        <v>332</v>
      </c>
      <c r="C104" s="4">
        <v>1</v>
      </c>
      <c r="D104" s="4">
        <v>0</v>
      </c>
      <c r="E104" s="4">
        <v>0</v>
      </c>
      <c r="F104" s="4">
        <v>0</v>
      </c>
      <c r="G104" s="4">
        <v>0</v>
      </c>
      <c r="H104" s="3">
        <f t="shared" si="15"/>
        <v>0</v>
      </c>
      <c r="I104" s="3">
        <f t="shared" si="16"/>
        <v>0</v>
      </c>
      <c r="J104" s="30"/>
    </row>
    <row r="105" spans="1:10" ht="59.25" customHeight="1" x14ac:dyDescent="0.25">
      <c r="A105" s="3">
        <v>87</v>
      </c>
      <c r="B105" s="35" t="s">
        <v>333</v>
      </c>
      <c r="C105" s="4">
        <v>36</v>
      </c>
      <c r="D105" s="4">
        <v>35</v>
      </c>
      <c r="E105" s="4">
        <v>5</v>
      </c>
      <c r="F105" s="4">
        <v>0</v>
      </c>
      <c r="G105" s="4">
        <v>0</v>
      </c>
      <c r="H105" s="3">
        <f t="shared" si="15"/>
        <v>5</v>
      </c>
      <c r="I105" s="3">
        <f t="shared" si="16"/>
        <v>30</v>
      </c>
      <c r="J105" s="23" t="s">
        <v>460</v>
      </c>
    </row>
    <row r="106" spans="1:10" x14ac:dyDescent="0.25">
      <c r="A106" s="3">
        <v>88</v>
      </c>
      <c r="B106" s="35" t="s">
        <v>334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3">
        <f t="shared" si="15"/>
        <v>0</v>
      </c>
      <c r="I106" s="3">
        <f t="shared" si="16"/>
        <v>0</v>
      </c>
      <c r="J106" s="4"/>
    </row>
    <row r="107" spans="1:10" ht="28.5" customHeight="1" x14ac:dyDescent="0.25">
      <c r="A107" s="3">
        <v>89</v>
      </c>
      <c r="B107" s="35" t="s">
        <v>335</v>
      </c>
      <c r="C107" s="4">
        <v>4</v>
      </c>
      <c r="D107" s="4">
        <v>7</v>
      </c>
      <c r="E107" s="4">
        <v>0</v>
      </c>
      <c r="F107" s="4">
        <v>0</v>
      </c>
      <c r="G107" s="4">
        <v>0</v>
      </c>
      <c r="H107" s="3">
        <f t="shared" si="15"/>
        <v>0</v>
      </c>
      <c r="I107" s="3">
        <f t="shared" si="16"/>
        <v>7</v>
      </c>
      <c r="J107" s="30"/>
    </row>
    <row r="108" spans="1:10" ht="32.25" customHeight="1" x14ac:dyDescent="0.25">
      <c r="A108" s="3">
        <v>90</v>
      </c>
      <c r="B108" s="35" t="s">
        <v>336</v>
      </c>
      <c r="C108" s="4">
        <v>6</v>
      </c>
      <c r="D108" s="4">
        <v>6</v>
      </c>
      <c r="E108" s="4">
        <v>0</v>
      </c>
      <c r="F108" s="4">
        <v>0</v>
      </c>
      <c r="G108" s="4">
        <v>0</v>
      </c>
      <c r="H108" s="3">
        <f t="shared" si="15"/>
        <v>0</v>
      </c>
      <c r="I108" s="3">
        <f t="shared" si="16"/>
        <v>6</v>
      </c>
      <c r="J108" s="55"/>
    </row>
    <row r="109" spans="1:10" x14ac:dyDescent="0.25">
      <c r="A109" s="3">
        <v>91</v>
      </c>
      <c r="B109" s="35" t="s">
        <v>337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3">
        <f t="shared" si="15"/>
        <v>0</v>
      </c>
      <c r="I109" s="3">
        <f t="shared" si="16"/>
        <v>0</v>
      </c>
      <c r="J109" s="4"/>
    </row>
    <row r="110" spans="1:10" x14ac:dyDescent="0.25">
      <c r="A110" s="3">
        <v>92</v>
      </c>
      <c r="B110" s="35" t="s">
        <v>338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3">
        <f t="shared" si="15"/>
        <v>0</v>
      </c>
      <c r="I110" s="3">
        <f t="shared" si="16"/>
        <v>0</v>
      </c>
      <c r="J110" s="4"/>
    </row>
    <row r="111" spans="1:10" ht="36" customHeight="1" x14ac:dyDescent="0.25">
      <c r="A111" s="3">
        <v>93</v>
      </c>
      <c r="B111" s="35" t="s">
        <v>339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3">
        <f t="shared" si="15"/>
        <v>0</v>
      </c>
      <c r="I111" s="3">
        <f t="shared" si="16"/>
        <v>0</v>
      </c>
      <c r="J111" s="4"/>
    </row>
    <row r="112" spans="1:10" x14ac:dyDescent="0.25">
      <c r="A112" s="3">
        <v>94</v>
      </c>
      <c r="B112" s="35" t="s">
        <v>340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3">
        <f t="shared" si="15"/>
        <v>0</v>
      </c>
      <c r="I112" s="3">
        <f t="shared" si="16"/>
        <v>0</v>
      </c>
      <c r="J112" s="4"/>
    </row>
    <row r="113" spans="1:10" x14ac:dyDescent="0.25">
      <c r="A113" s="3">
        <v>95</v>
      </c>
      <c r="B113" s="35" t="s">
        <v>341</v>
      </c>
      <c r="C113" s="4">
        <v>2</v>
      </c>
      <c r="D113" s="4">
        <v>2</v>
      </c>
      <c r="E113" s="4">
        <v>0</v>
      </c>
      <c r="F113" s="4">
        <v>0</v>
      </c>
      <c r="G113" s="4">
        <v>0</v>
      </c>
      <c r="H113" s="3">
        <f t="shared" si="15"/>
        <v>0</v>
      </c>
      <c r="I113" s="3">
        <f t="shared" si="16"/>
        <v>2</v>
      </c>
      <c r="J113" s="30"/>
    </row>
    <row r="114" spans="1:10" x14ac:dyDescent="0.25">
      <c r="A114" s="3">
        <v>96</v>
      </c>
      <c r="B114" s="35" t="s">
        <v>342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3">
        <f t="shared" si="15"/>
        <v>0</v>
      </c>
      <c r="I114" s="3">
        <f t="shared" si="16"/>
        <v>0</v>
      </c>
      <c r="J114" s="4"/>
    </row>
    <row r="115" spans="1:10" x14ac:dyDescent="0.25">
      <c r="A115" s="3">
        <v>97</v>
      </c>
      <c r="B115" s="35" t="s">
        <v>343</v>
      </c>
      <c r="C115" s="4">
        <v>9</v>
      </c>
      <c r="D115" s="4">
        <v>14</v>
      </c>
      <c r="E115" s="4">
        <v>0</v>
      </c>
      <c r="F115" s="4">
        <v>0</v>
      </c>
      <c r="G115" s="4">
        <v>0</v>
      </c>
      <c r="H115" s="3">
        <f t="shared" si="15"/>
        <v>0</v>
      </c>
      <c r="I115" s="3">
        <f t="shared" si="16"/>
        <v>14</v>
      </c>
      <c r="J115" s="30"/>
    </row>
    <row r="116" spans="1:10" ht="40.5" customHeight="1" x14ac:dyDescent="0.25">
      <c r="A116" s="3">
        <v>98</v>
      </c>
      <c r="B116" s="35" t="s">
        <v>344</v>
      </c>
      <c r="C116" s="4">
        <v>87</v>
      </c>
      <c r="D116" s="4">
        <v>82</v>
      </c>
      <c r="E116" s="4">
        <v>3</v>
      </c>
      <c r="F116" s="4">
        <v>0</v>
      </c>
      <c r="G116" s="4">
        <v>0</v>
      </c>
      <c r="H116" s="3">
        <f t="shared" si="15"/>
        <v>3</v>
      </c>
      <c r="I116" s="3">
        <f t="shared" si="16"/>
        <v>79</v>
      </c>
      <c r="J116" s="23" t="s">
        <v>459</v>
      </c>
    </row>
    <row r="117" spans="1:10" x14ac:dyDescent="0.25">
      <c r="A117" s="3">
        <v>99</v>
      </c>
      <c r="B117" s="35" t="s">
        <v>345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3">
        <f t="shared" si="15"/>
        <v>0</v>
      </c>
      <c r="I117" s="3">
        <f t="shared" si="16"/>
        <v>0</v>
      </c>
      <c r="J117" s="4"/>
    </row>
    <row r="118" spans="1:10" x14ac:dyDescent="0.25">
      <c r="A118" s="3">
        <v>100</v>
      </c>
      <c r="B118" s="35" t="s">
        <v>346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3">
        <f t="shared" si="15"/>
        <v>0</v>
      </c>
      <c r="I118" s="3">
        <f t="shared" si="16"/>
        <v>0</v>
      </c>
      <c r="J118" s="4"/>
    </row>
    <row r="119" spans="1:10" x14ac:dyDescent="0.25">
      <c r="A119" s="3">
        <v>101</v>
      </c>
      <c r="B119" s="35" t="s">
        <v>347</v>
      </c>
      <c r="C119" s="4">
        <v>0</v>
      </c>
      <c r="D119" s="4">
        <v>1</v>
      </c>
      <c r="E119" s="4">
        <v>0</v>
      </c>
      <c r="F119" s="4">
        <v>0</v>
      </c>
      <c r="G119" s="4">
        <v>0</v>
      </c>
      <c r="H119" s="3">
        <f t="shared" si="15"/>
        <v>0</v>
      </c>
      <c r="I119" s="3">
        <f t="shared" si="16"/>
        <v>1</v>
      </c>
      <c r="J119" s="161"/>
    </row>
    <row r="120" spans="1:10" ht="28.5" customHeight="1" x14ac:dyDescent="0.25">
      <c r="A120" s="3">
        <v>102</v>
      </c>
      <c r="B120" s="35" t="s">
        <v>348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3">
        <f t="shared" si="15"/>
        <v>0</v>
      </c>
      <c r="I120" s="3">
        <f t="shared" si="16"/>
        <v>0</v>
      </c>
      <c r="J120" s="4"/>
    </row>
    <row r="121" spans="1:10" x14ac:dyDescent="0.25">
      <c r="A121" s="3">
        <v>103</v>
      </c>
      <c r="B121" s="35" t="s">
        <v>349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3">
        <f t="shared" si="15"/>
        <v>0</v>
      </c>
      <c r="I121" s="3">
        <f t="shared" si="16"/>
        <v>0</v>
      </c>
      <c r="J121" s="4"/>
    </row>
    <row r="122" spans="1:10" x14ac:dyDescent="0.25">
      <c r="A122" s="3">
        <v>104</v>
      </c>
      <c r="B122" s="35" t="s">
        <v>350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3">
        <f t="shared" si="15"/>
        <v>0</v>
      </c>
      <c r="I122" s="3">
        <f t="shared" si="16"/>
        <v>0</v>
      </c>
    </row>
    <row r="123" spans="1:10" x14ac:dyDescent="0.25">
      <c r="A123" s="3">
        <v>105</v>
      </c>
      <c r="B123" s="35" t="s">
        <v>351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3">
        <f t="shared" si="15"/>
        <v>0</v>
      </c>
      <c r="I123" s="3">
        <f t="shared" si="16"/>
        <v>0</v>
      </c>
      <c r="J123" s="4"/>
    </row>
    <row r="124" spans="1:10" x14ac:dyDescent="0.25">
      <c r="A124" s="3">
        <v>106</v>
      </c>
      <c r="B124" s="35" t="s">
        <v>352</v>
      </c>
      <c r="C124" s="4">
        <v>8</v>
      </c>
      <c r="D124" s="4">
        <v>8</v>
      </c>
      <c r="E124" s="4">
        <v>0</v>
      </c>
      <c r="F124" s="4">
        <v>0</v>
      </c>
      <c r="G124" s="4">
        <v>0</v>
      </c>
      <c r="H124" s="3">
        <f t="shared" si="15"/>
        <v>0</v>
      </c>
      <c r="I124" s="3">
        <f t="shared" si="16"/>
        <v>8</v>
      </c>
      <c r="J124" s="4"/>
    </row>
    <row r="125" spans="1:10" x14ac:dyDescent="0.25">
      <c r="A125" s="3">
        <v>107</v>
      </c>
      <c r="B125" s="35" t="s">
        <v>353</v>
      </c>
      <c r="C125" s="4">
        <v>0</v>
      </c>
      <c r="D125" s="4">
        <v>1</v>
      </c>
      <c r="E125" s="4">
        <v>0</v>
      </c>
      <c r="F125" s="4">
        <v>0</v>
      </c>
      <c r="G125" s="4">
        <v>0</v>
      </c>
      <c r="H125" s="3">
        <f t="shared" si="15"/>
        <v>0</v>
      </c>
      <c r="I125" s="3">
        <f t="shared" si="16"/>
        <v>1</v>
      </c>
      <c r="J125" s="30"/>
    </row>
    <row r="126" spans="1:10" ht="15.6" x14ac:dyDescent="0.25">
      <c r="A126" s="21" t="s">
        <v>82</v>
      </c>
      <c r="B126" s="12"/>
      <c r="C126" s="12"/>
      <c r="D126" s="12"/>
      <c r="E126" s="12"/>
      <c r="F126" s="12"/>
      <c r="G126" s="12"/>
      <c r="H126" s="12"/>
      <c r="I126" s="12"/>
      <c r="J126" s="13"/>
    </row>
    <row r="127" spans="1:10" s="1" customFormat="1" ht="22.5" customHeight="1" x14ac:dyDescent="0.3">
      <c r="A127" s="18">
        <v>108</v>
      </c>
      <c r="B127" s="10" t="s">
        <v>354</v>
      </c>
      <c r="C127" s="4">
        <v>3</v>
      </c>
      <c r="D127" s="4">
        <v>2</v>
      </c>
      <c r="E127" s="4">
        <v>0</v>
      </c>
      <c r="F127" s="4">
        <v>0</v>
      </c>
      <c r="G127" s="4">
        <v>0</v>
      </c>
      <c r="H127" s="3">
        <f t="shared" ref="H127" si="17">E127+F127+G127</f>
        <v>0</v>
      </c>
      <c r="I127" s="3">
        <f t="shared" ref="I127:I158" si="18">D127-H127</f>
        <v>2</v>
      </c>
      <c r="J127" s="15"/>
    </row>
    <row r="128" spans="1:10" s="1" customFormat="1" ht="33" customHeight="1" x14ac:dyDescent="0.3">
      <c r="A128" s="18">
        <v>109</v>
      </c>
      <c r="B128" s="10" t="s">
        <v>355</v>
      </c>
      <c r="C128" s="4">
        <v>1</v>
      </c>
      <c r="D128" s="4">
        <v>1</v>
      </c>
      <c r="E128" s="4">
        <v>0</v>
      </c>
      <c r="F128" s="4">
        <v>0</v>
      </c>
      <c r="G128" s="4">
        <v>0</v>
      </c>
      <c r="H128" s="3">
        <f t="shared" ref="H128:H180" si="19">E128+F128+G128</f>
        <v>0</v>
      </c>
      <c r="I128" s="3">
        <f t="shared" si="18"/>
        <v>1</v>
      </c>
      <c r="J128" s="30"/>
    </row>
    <row r="129" spans="1:10" x14ac:dyDescent="0.25">
      <c r="A129" s="18">
        <v>110</v>
      </c>
      <c r="B129" s="10" t="s">
        <v>356</v>
      </c>
      <c r="C129" s="4">
        <v>6</v>
      </c>
      <c r="D129" s="4">
        <v>6</v>
      </c>
      <c r="E129" s="4">
        <v>0</v>
      </c>
      <c r="F129" s="4">
        <v>0</v>
      </c>
      <c r="G129" s="4">
        <v>0</v>
      </c>
      <c r="H129" s="3">
        <f t="shared" si="19"/>
        <v>0</v>
      </c>
      <c r="I129" s="3">
        <f t="shared" si="18"/>
        <v>6</v>
      </c>
      <c r="J129" s="30"/>
    </row>
    <row r="130" spans="1:10" ht="25.5" customHeight="1" x14ac:dyDescent="0.25">
      <c r="A130" s="18">
        <v>111</v>
      </c>
      <c r="B130" s="10" t="s">
        <v>357</v>
      </c>
      <c r="C130" s="4">
        <v>8</v>
      </c>
      <c r="D130" s="4">
        <v>6</v>
      </c>
      <c r="E130" s="4">
        <v>0</v>
      </c>
      <c r="F130" s="4">
        <v>0</v>
      </c>
      <c r="G130" s="4">
        <v>0</v>
      </c>
      <c r="H130" s="3">
        <f t="shared" si="19"/>
        <v>0</v>
      </c>
      <c r="I130" s="3">
        <f t="shared" si="18"/>
        <v>6</v>
      </c>
      <c r="J130" s="31"/>
    </row>
    <row r="131" spans="1:10" s="33" customFormat="1" x14ac:dyDescent="0.3">
      <c r="A131" s="18">
        <v>112</v>
      </c>
      <c r="B131" s="10" t="s">
        <v>358</v>
      </c>
      <c r="C131" s="4">
        <v>10</v>
      </c>
      <c r="D131" s="4">
        <v>14</v>
      </c>
      <c r="E131" s="4">
        <v>0</v>
      </c>
      <c r="F131" s="4">
        <v>0</v>
      </c>
      <c r="G131" s="4">
        <v>0</v>
      </c>
      <c r="H131" s="3">
        <f t="shared" si="19"/>
        <v>0</v>
      </c>
      <c r="I131" s="3">
        <f t="shared" si="18"/>
        <v>14</v>
      </c>
      <c r="J131" s="10"/>
    </row>
    <row r="132" spans="1:10" x14ac:dyDescent="0.25">
      <c r="A132" s="18">
        <v>113</v>
      </c>
      <c r="B132" s="10" t="s">
        <v>359</v>
      </c>
      <c r="C132" s="4">
        <v>18</v>
      </c>
      <c r="D132" s="4">
        <v>23</v>
      </c>
      <c r="E132" s="4">
        <v>0</v>
      </c>
      <c r="F132" s="4">
        <v>0</v>
      </c>
      <c r="G132" s="4">
        <v>0</v>
      </c>
      <c r="H132" s="3">
        <f t="shared" si="19"/>
        <v>0</v>
      </c>
      <c r="I132" s="3">
        <f t="shared" si="18"/>
        <v>23</v>
      </c>
    </row>
    <row r="133" spans="1:10" x14ac:dyDescent="0.25">
      <c r="A133" s="18">
        <v>114</v>
      </c>
      <c r="B133" s="10" t="s">
        <v>360</v>
      </c>
      <c r="C133" s="4">
        <v>24</v>
      </c>
      <c r="D133" s="4">
        <v>15</v>
      </c>
      <c r="E133" s="4">
        <v>0</v>
      </c>
      <c r="F133" s="4">
        <v>0</v>
      </c>
      <c r="G133" s="4">
        <v>0</v>
      </c>
      <c r="H133" s="3">
        <f t="shared" si="19"/>
        <v>0</v>
      </c>
      <c r="I133" s="3">
        <f t="shared" si="18"/>
        <v>15</v>
      </c>
      <c r="J133" s="10"/>
    </row>
    <row r="134" spans="1:10" s="25" customFormat="1" ht="22.5" customHeight="1" x14ac:dyDescent="0.3">
      <c r="A134" s="18">
        <v>115</v>
      </c>
      <c r="B134" s="10" t="s">
        <v>361</v>
      </c>
      <c r="C134" s="4">
        <v>54</v>
      </c>
      <c r="D134" s="4">
        <v>35</v>
      </c>
      <c r="E134" s="4">
        <v>0</v>
      </c>
      <c r="F134" s="4">
        <v>0</v>
      </c>
      <c r="G134" s="4">
        <v>0</v>
      </c>
      <c r="H134" s="3">
        <f t="shared" si="19"/>
        <v>0</v>
      </c>
      <c r="I134" s="3">
        <f t="shared" si="18"/>
        <v>35</v>
      </c>
      <c r="J134" s="10"/>
    </row>
    <row r="135" spans="1:10" x14ac:dyDescent="0.25">
      <c r="A135" s="18">
        <v>116</v>
      </c>
      <c r="B135" s="10" t="s">
        <v>362</v>
      </c>
      <c r="C135" s="4">
        <v>4</v>
      </c>
      <c r="D135" s="4">
        <v>4</v>
      </c>
      <c r="E135" s="4">
        <v>0</v>
      </c>
      <c r="F135" s="4">
        <v>0</v>
      </c>
      <c r="G135" s="4">
        <v>0</v>
      </c>
      <c r="H135" s="3">
        <f t="shared" si="19"/>
        <v>0</v>
      </c>
      <c r="I135" s="3">
        <f t="shared" si="18"/>
        <v>4</v>
      </c>
      <c r="J135" s="4"/>
    </row>
    <row r="136" spans="1:10" x14ac:dyDescent="0.25">
      <c r="A136" s="18">
        <v>117</v>
      </c>
      <c r="B136" s="10" t="s">
        <v>363</v>
      </c>
      <c r="C136" s="4">
        <v>72</v>
      </c>
      <c r="D136" s="4">
        <v>106</v>
      </c>
      <c r="E136" s="4">
        <v>0</v>
      </c>
      <c r="F136" s="4">
        <v>0</v>
      </c>
      <c r="G136" s="4">
        <v>0</v>
      </c>
      <c r="H136" s="3">
        <f t="shared" si="19"/>
        <v>0</v>
      </c>
      <c r="I136" s="3">
        <f t="shared" si="18"/>
        <v>106</v>
      </c>
      <c r="J136" s="14"/>
    </row>
    <row r="137" spans="1:10" x14ac:dyDescent="0.25">
      <c r="A137" s="18">
        <v>118</v>
      </c>
      <c r="B137" s="10" t="s">
        <v>364</v>
      </c>
      <c r="C137" s="4">
        <v>8</v>
      </c>
      <c r="D137" s="4">
        <v>13</v>
      </c>
      <c r="E137" s="4">
        <v>0</v>
      </c>
      <c r="F137" s="4">
        <v>0</v>
      </c>
      <c r="G137" s="4">
        <v>0</v>
      </c>
      <c r="H137" s="3">
        <f t="shared" si="19"/>
        <v>0</v>
      </c>
      <c r="I137" s="3">
        <f t="shared" si="18"/>
        <v>13</v>
      </c>
      <c r="J137" s="55"/>
    </row>
    <row r="138" spans="1:10" ht="20.25" customHeight="1" x14ac:dyDescent="0.25">
      <c r="A138" s="18">
        <v>119</v>
      </c>
      <c r="B138" s="10" t="s">
        <v>365</v>
      </c>
      <c r="C138" s="4">
        <v>116</v>
      </c>
      <c r="D138" s="4">
        <v>79</v>
      </c>
      <c r="E138" s="4">
        <v>0</v>
      </c>
      <c r="F138" s="4">
        <v>0</v>
      </c>
      <c r="G138" s="4">
        <v>0</v>
      </c>
      <c r="H138" s="3">
        <f t="shared" si="19"/>
        <v>0</v>
      </c>
      <c r="I138" s="3">
        <f t="shared" si="18"/>
        <v>79</v>
      </c>
      <c r="J138" s="15"/>
    </row>
    <row r="139" spans="1:10" ht="33" customHeight="1" x14ac:dyDescent="0.25">
      <c r="A139" s="18">
        <v>120</v>
      </c>
      <c r="B139" s="10" t="s">
        <v>366</v>
      </c>
      <c r="C139" s="4">
        <v>77</v>
      </c>
      <c r="D139" s="4">
        <v>26</v>
      </c>
      <c r="E139" s="4">
        <v>0</v>
      </c>
      <c r="F139" s="4">
        <v>0</v>
      </c>
      <c r="G139" s="4">
        <v>0</v>
      </c>
      <c r="H139" s="3">
        <f t="shared" si="19"/>
        <v>0</v>
      </c>
      <c r="I139" s="3">
        <f t="shared" si="18"/>
        <v>26</v>
      </c>
      <c r="J139" s="14"/>
    </row>
    <row r="140" spans="1:10" x14ac:dyDescent="0.25">
      <c r="A140" s="18">
        <v>121</v>
      </c>
      <c r="B140" s="10" t="s">
        <v>367</v>
      </c>
      <c r="C140" s="4">
        <v>1</v>
      </c>
      <c r="D140" s="4">
        <v>3</v>
      </c>
      <c r="E140" s="4">
        <v>0</v>
      </c>
      <c r="F140" s="4">
        <v>0</v>
      </c>
      <c r="G140" s="4">
        <v>0</v>
      </c>
      <c r="H140" s="3">
        <f t="shared" si="19"/>
        <v>0</v>
      </c>
      <c r="I140" s="3">
        <f t="shared" si="18"/>
        <v>3</v>
      </c>
      <c r="J140" s="59"/>
    </row>
    <row r="141" spans="1:10" x14ac:dyDescent="0.25">
      <c r="A141" s="18">
        <v>122</v>
      </c>
      <c r="B141" s="10" t="s">
        <v>368</v>
      </c>
      <c r="C141" s="4">
        <v>22</v>
      </c>
      <c r="D141" s="4">
        <v>26</v>
      </c>
      <c r="E141" s="4">
        <v>0</v>
      </c>
      <c r="F141" s="4">
        <v>0</v>
      </c>
      <c r="G141" s="4">
        <v>0</v>
      </c>
      <c r="H141" s="3">
        <f t="shared" si="19"/>
        <v>0</v>
      </c>
      <c r="I141" s="3">
        <f t="shared" si="18"/>
        <v>26</v>
      </c>
      <c r="J141" s="161"/>
    </row>
    <row r="142" spans="1:10" ht="19.5" customHeight="1" x14ac:dyDescent="0.25">
      <c r="A142" s="18">
        <v>123</v>
      </c>
      <c r="B142" s="10" t="s">
        <v>369</v>
      </c>
      <c r="C142" s="4">
        <v>24</v>
      </c>
      <c r="D142" s="4">
        <v>14</v>
      </c>
      <c r="E142" s="4">
        <v>0</v>
      </c>
      <c r="F142" s="4">
        <v>0</v>
      </c>
      <c r="G142" s="4">
        <v>0</v>
      </c>
      <c r="H142" s="3">
        <f t="shared" si="19"/>
        <v>0</v>
      </c>
      <c r="I142" s="3">
        <f t="shared" si="18"/>
        <v>14</v>
      </c>
      <c r="J142" s="23"/>
    </row>
    <row r="143" spans="1:10" s="61" customFormat="1" ht="24" customHeight="1" x14ac:dyDescent="0.25">
      <c r="A143" s="18">
        <v>124</v>
      </c>
      <c r="B143" s="10" t="s">
        <v>370</v>
      </c>
      <c r="C143" s="4">
        <v>1</v>
      </c>
      <c r="D143" s="4">
        <v>4</v>
      </c>
      <c r="E143" s="4">
        <v>0</v>
      </c>
      <c r="F143" s="4">
        <v>0</v>
      </c>
      <c r="G143" s="4">
        <v>0</v>
      </c>
      <c r="H143" s="3">
        <f t="shared" si="19"/>
        <v>0</v>
      </c>
      <c r="I143" s="3">
        <f t="shared" si="18"/>
        <v>4</v>
      </c>
      <c r="J143" s="60"/>
    </row>
    <row r="144" spans="1:10" x14ac:dyDescent="0.25">
      <c r="A144" s="18">
        <v>125</v>
      </c>
      <c r="B144" s="10" t="s">
        <v>371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3">
        <f t="shared" si="19"/>
        <v>0</v>
      </c>
      <c r="I144" s="3">
        <f t="shared" si="18"/>
        <v>0</v>
      </c>
      <c r="J144" s="5"/>
    </row>
    <row r="145" spans="1:10" x14ac:dyDescent="0.25">
      <c r="A145" s="18">
        <v>126</v>
      </c>
      <c r="B145" s="10" t="s">
        <v>372</v>
      </c>
      <c r="C145" s="4">
        <v>18</v>
      </c>
      <c r="D145" s="4">
        <v>9</v>
      </c>
      <c r="E145" s="4">
        <v>0</v>
      </c>
      <c r="F145" s="4">
        <v>0</v>
      </c>
      <c r="G145" s="4">
        <v>0</v>
      </c>
      <c r="H145" s="3">
        <f t="shared" si="19"/>
        <v>0</v>
      </c>
      <c r="I145" s="3">
        <f t="shared" si="18"/>
        <v>9</v>
      </c>
      <c r="J145" s="38"/>
    </row>
    <row r="146" spans="1:10" s="25" customFormat="1" x14ac:dyDescent="0.3">
      <c r="A146" s="18">
        <v>127</v>
      </c>
      <c r="B146" s="10" t="s">
        <v>373</v>
      </c>
      <c r="C146" s="4">
        <v>4</v>
      </c>
      <c r="D146" s="4">
        <v>6</v>
      </c>
      <c r="E146" s="4">
        <v>0</v>
      </c>
      <c r="F146" s="4">
        <v>0</v>
      </c>
      <c r="G146" s="4">
        <v>0</v>
      </c>
      <c r="H146" s="3">
        <f t="shared" si="19"/>
        <v>0</v>
      </c>
      <c r="I146" s="3">
        <f t="shared" si="18"/>
        <v>6</v>
      </c>
      <c r="J146" s="38"/>
    </row>
    <row r="147" spans="1:10" ht="15.6" x14ac:dyDescent="0.25">
      <c r="A147" s="18">
        <v>128</v>
      </c>
      <c r="B147" s="10" t="s">
        <v>374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3">
        <f t="shared" si="19"/>
        <v>0</v>
      </c>
      <c r="I147" s="3">
        <f t="shared" si="18"/>
        <v>0</v>
      </c>
      <c r="J147" s="7"/>
    </row>
    <row r="148" spans="1:10" ht="24.9" customHeight="1" x14ac:dyDescent="0.25">
      <c r="A148" s="18">
        <v>129</v>
      </c>
      <c r="B148" s="10" t="s">
        <v>375</v>
      </c>
      <c r="C148" s="4">
        <v>10</v>
      </c>
      <c r="D148" s="4">
        <v>13</v>
      </c>
      <c r="E148" s="4">
        <v>0</v>
      </c>
      <c r="F148" s="4">
        <v>0</v>
      </c>
      <c r="G148" s="4">
        <v>0</v>
      </c>
      <c r="H148" s="3">
        <f t="shared" si="19"/>
        <v>0</v>
      </c>
      <c r="I148" s="3">
        <f t="shared" si="18"/>
        <v>13</v>
      </c>
      <c r="J148" s="30"/>
    </row>
    <row r="149" spans="1:10" ht="25.5" customHeight="1" x14ac:dyDescent="0.25">
      <c r="A149" s="18">
        <v>130</v>
      </c>
      <c r="B149" s="10" t="s">
        <v>376</v>
      </c>
      <c r="C149" s="4">
        <v>32</v>
      </c>
      <c r="D149" s="4">
        <v>1</v>
      </c>
      <c r="E149" s="4">
        <v>0</v>
      </c>
      <c r="F149" s="4">
        <v>0</v>
      </c>
      <c r="G149" s="4">
        <v>0</v>
      </c>
      <c r="H149" s="3">
        <f t="shared" si="19"/>
        <v>0</v>
      </c>
      <c r="I149" s="3">
        <f t="shared" si="18"/>
        <v>1</v>
      </c>
      <c r="J149" s="5"/>
    </row>
    <row r="150" spans="1:10" x14ac:dyDescent="0.25">
      <c r="A150" s="18">
        <v>131</v>
      </c>
      <c r="B150" s="10" t="s">
        <v>377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3">
        <f t="shared" si="19"/>
        <v>0</v>
      </c>
      <c r="I150" s="3">
        <f t="shared" si="18"/>
        <v>0</v>
      </c>
      <c r="J150" s="5"/>
    </row>
    <row r="151" spans="1:10" ht="15.6" x14ac:dyDescent="0.3">
      <c r="A151" s="18">
        <v>132</v>
      </c>
      <c r="B151" s="10" t="s">
        <v>378</v>
      </c>
      <c r="C151" s="4">
        <v>2</v>
      </c>
      <c r="D151" s="4">
        <v>2</v>
      </c>
      <c r="E151" s="4">
        <v>0</v>
      </c>
      <c r="F151" s="4">
        <v>0</v>
      </c>
      <c r="G151" s="4">
        <v>0</v>
      </c>
      <c r="H151" s="3">
        <f t="shared" si="19"/>
        <v>0</v>
      </c>
      <c r="I151" s="3">
        <f t="shared" si="18"/>
        <v>2</v>
      </c>
      <c r="J151" s="52"/>
    </row>
    <row r="152" spans="1:10" x14ac:dyDescent="0.25">
      <c r="A152" s="18">
        <v>133</v>
      </c>
      <c r="B152" s="10" t="s">
        <v>379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3">
        <f t="shared" si="19"/>
        <v>0</v>
      </c>
      <c r="I152" s="3">
        <f t="shared" si="18"/>
        <v>0</v>
      </c>
      <c r="J152" s="4"/>
    </row>
    <row r="153" spans="1:10" x14ac:dyDescent="0.25">
      <c r="A153" s="18">
        <v>134</v>
      </c>
      <c r="B153" s="10" t="s">
        <v>380</v>
      </c>
      <c r="C153" s="4">
        <v>2</v>
      </c>
      <c r="D153" s="4">
        <v>2</v>
      </c>
      <c r="E153" s="4">
        <v>0</v>
      </c>
      <c r="F153" s="4">
        <v>0</v>
      </c>
      <c r="G153" s="4">
        <v>0</v>
      </c>
      <c r="H153" s="3">
        <f t="shared" si="19"/>
        <v>0</v>
      </c>
      <c r="I153" s="3">
        <f t="shared" si="18"/>
        <v>2</v>
      </c>
      <c r="J153" s="4"/>
    </row>
    <row r="154" spans="1:10" ht="15.6" x14ac:dyDescent="0.25">
      <c r="A154" s="18">
        <v>135</v>
      </c>
      <c r="B154" s="10" t="s">
        <v>381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3">
        <f t="shared" si="19"/>
        <v>0</v>
      </c>
      <c r="I154" s="3">
        <f t="shared" si="18"/>
        <v>0</v>
      </c>
      <c r="J154" s="43"/>
    </row>
    <row r="155" spans="1:10" ht="20.25" customHeight="1" x14ac:dyDescent="0.25">
      <c r="A155" s="18">
        <v>136</v>
      </c>
      <c r="B155" s="10" t="s">
        <v>382</v>
      </c>
      <c r="C155" s="4">
        <v>13</v>
      </c>
      <c r="D155" s="4">
        <v>15</v>
      </c>
      <c r="E155" s="4">
        <v>1</v>
      </c>
      <c r="F155" s="4">
        <v>0</v>
      </c>
      <c r="G155" s="4">
        <v>0</v>
      </c>
      <c r="H155" s="3">
        <f t="shared" si="19"/>
        <v>1</v>
      </c>
      <c r="I155" s="3">
        <f t="shared" si="18"/>
        <v>14</v>
      </c>
      <c r="J155" s="14" t="s">
        <v>113</v>
      </c>
    </row>
    <row r="156" spans="1:10" ht="15.6" x14ac:dyDescent="0.25">
      <c r="A156" s="18">
        <v>137</v>
      </c>
      <c r="B156" s="10" t="s">
        <v>383</v>
      </c>
      <c r="C156" s="4">
        <v>9</v>
      </c>
      <c r="D156" s="4">
        <v>3</v>
      </c>
      <c r="E156" s="4">
        <v>0</v>
      </c>
      <c r="F156" s="4">
        <v>0</v>
      </c>
      <c r="G156" s="4">
        <v>0</v>
      </c>
      <c r="H156" s="3">
        <f t="shared" si="19"/>
        <v>0</v>
      </c>
      <c r="I156" s="3">
        <f t="shared" si="18"/>
        <v>3</v>
      </c>
      <c r="J156" s="54"/>
    </row>
    <row r="157" spans="1:10" x14ac:dyDescent="0.25">
      <c r="A157" s="18">
        <v>138</v>
      </c>
      <c r="B157" s="10" t="s">
        <v>384</v>
      </c>
      <c r="C157" s="4">
        <v>8</v>
      </c>
      <c r="D157" s="4">
        <v>12</v>
      </c>
      <c r="E157" s="4">
        <v>0</v>
      </c>
      <c r="F157" s="4">
        <v>0</v>
      </c>
      <c r="G157" s="4">
        <v>0</v>
      </c>
      <c r="H157" s="3">
        <f t="shared" si="19"/>
        <v>0</v>
      </c>
      <c r="I157" s="3">
        <f t="shared" si="18"/>
        <v>12</v>
      </c>
      <c r="J157" s="15"/>
    </row>
    <row r="158" spans="1:10" x14ac:dyDescent="0.25">
      <c r="A158" s="18">
        <v>139</v>
      </c>
      <c r="B158" s="10" t="s">
        <v>385</v>
      </c>
      <c r="C158" s="4">
        <v>0</v>
      </c>
      <c r="D158" s="4">
        <v>2</v>
      </c>
      <c r="E158" s="4">
        <v>0</v>
      </c>
      <c r="F158" s="4">
        <v>0</v>
      </c>
      <c r="G158" s="4">
        <v>0</v>
      </c>
      <c r="H158" s="3">
        <f t="shared" si="19"/>
        <v>0</v>
      </c>
      <c r="I158" s="3">
        <f t="shared" si="18"/>
        <v>2</v>
      </c>
      <c r="J158" s="5"/>
    </row>
    <row r="159" spans="1:10" s="25" customFormat="1" ht="15.6" x14ac:dyDescent="0.3">
      <c r="A159" s="18">
        <v>140</v>
      </c>
      <c r="B159" s="10" t="s">
        <v>386</v>
      </c>
      <c r="C159" s="4">
        <v>12</v>
      </c>
      <c r="D159" s="4">
        <v>16</v>
      </c>
      <c r="E159" s="4">
        <v>0</v>
      </c>
      <c r="F159" s="4">
        <v>0</v>
      </c>
      <c r="G159" s="4">
        <v>0</v>
      </c>
      <c r="H159" s="3">
        <f t="shared" si="19"/>
        <v>0</v>
      </c>
      <c r="I159" s="3">
        <f t="shared" ref="I159:I190" si="20">D159-H159</f>
        <v>16</v>
      </c>
      <c r="J159" s="62"/>
    </row>
    <row r="160" spans="1:10" x14ac:dyDescent="0.25">
      <c r="A160" s="18">
        <v>141</v>
      </c>
      <c r="B160" s="10" t="s">
        <v>387</v>
      </c>
      <c r="C160" s="4">
        <v>17</v>
      </c>
      <c r="D160" s="4">
        <v>12</v>
      </c>
      <c r="E160" s="4">
        <v>0</v>
      </c>
      <c r="F160" s="4">
        <v>0</v>
      </c>
      <c r="G160" s="4">
        <v>0</v>
      </c>
      <c r="H160" s="3">
        <f t="shared" si="19"/>
        <v>0</v>
      </c>
      <c r="I160" s="3">
        <f t="shared" si="20"/>
        <v>12</v>
      </c>
      <c r="J160" s="15"/>
    </row>
    <row r="161" spans="1:10" x14ac:dyDescent="0.25">
      <c r="A161" s="18">
        <v>142</v>
      </c>
      <c r="B161" s="10" t="s">
        <v>388</v>
      </c>
      <c r="C161" s="4">
        <v>0</v>
      </c>
      <c r="D161" s="4">
        <v>2</v>
      </c>
      <c r="E161" s="4">
        <v>0</v>
      </c>
      <c r="F161" s="4">
        <v>0</v>
      </c>
      <c r="G161" s="4">
        <v>0</v>
      </c>
      <c r="H161" s="3">
        <f t="shared" si="19"/>
        <v>0</v>
      </c>
      <c r="I161" s="3">
        <f t="shared" si="20"/>
        <v>2</v>
      </c>
      <c r="J161" s="5"/>
    </row>
    <row r="162" spans="1:10" x14ac:dyDescent="0.25">
      <c r="A162" s="18">
        <v>143</v>
      </c>
      <c r="B162" s="10" t="s">
        <v>389</v>
      </c>
      <c r="C162" s="4">
        <v>9</v>
      </c>
      <c r="D162" s="4">
        <v>5</v>
      </c>
      <c r="E162" s="4">
        <v>0</v>
      </c>
      <c r="F162" s="4">
        <v>0</v>
      </c>
      <c r="G162" s="4">
        <v>0</v>
      </c>
      <c r="H162" s="3">
        <f t="shared" si="19"/>
        <v>0</v>
      </c>
      <c r="I162" s="3">
        <f t="shared" si="20"/>
        <v>5</v>
      </c>
      <c r="J162" s="30"/>
    </row>
    <row r="163" spans="1:10" ht="15.6" x14ac:dyDescent="0.25">
      <c r="A163" s="18">
        <v>144</v>
      </c>
      <c r="B163" s="10" t="s">
        <v>390</v>
      </c>
      <c r="C163" s="4">
        <v>5</v>
      </c>
      <c r="D163" s="4">
        <v>5</v>
      </c>
      <c r="E163" s="4">
        <v>0</v>
      </c>
      <c r="F163" s="4">
        <v>0</v>
      </c>
      <c r="G163" s="4">
        <v>0</v>
      </c>
      <c r="H163" s="3">
        <f t="shared" si="19"/>
        <v>0</v>
      </c>
      <c r="I163" s="3">
        <f t="shared" si="20"/>
        <v>5</v>
      </c>
      <c r="J163" s="54"/>
    </row>
    <row r="164" spans="1:10" x14ac:dyDescent="0.25">
      <c r="A164" s="18">
        <v>145</v>
      </c>
      <c r="B164" s="10" t="s">
        <v>391</v>
      </c>
      <c r="C164" s="4">
        <v>1</v>
      </c>
      <c r="D164" s="4">
        <v>1</v>
      </c>
      <c r="E164" s="4">
        <v>0</v>
      </c>
      <c r="F164" s="4">
        <v>0</v>
      </c>
      <c r="G164" s="4">
        <v>0</v>
      </c>
      <c r="H164" s="3">
        <f t="shared" si="19"/>
        <v>0</v>
      </c>
      <c r="I164" s="3">
        <f t="shared" si="20"/>
        <v>1</v>
      </c>
      <c r="J164" s="4"/>
    </row>
    <row r="165" spans="1:10" x14ac:dyDescent="0.25">
      <c r="A165" s="18">
        <v>146</v>
      </c>
      <c r="B165" s="10" t="s">
        <v>392</v>
      </c>
      <c r="C165" s="4">
        <v>1</v>
      </c>
      <c r="D165" s="4">
        <v>1</v>
      </c>
      <c r="E165" s="4">
        <v>0</v>
      </c>
      <c r="F165" s="4">
        <v>0</v>
      </c>
      <c r="G165" s="4">
        <v>0</v>
      </c>
      <c r="H165" s="3">
        <f t="shared" si="19"/>
        <v>0</v>
      </c>
      <c r="I165" s="3">
        <f t="shared" si="20"/>
        <v>1</v>
      </c>
      <c r="J165" s="4"/>
    </row>
    <row r="166" spans="1:10" x14ac:dyDescent="0.25">
      <c r="A166" s="18">
        <v>147</v>
      </c>
      <c r="B166" s="10" t="s">
        <v>393</v>
      </c>
      <c r="C166" s="4">
        <v>2</v>
      </c>
      <c r="D166" s="4">
        <v>5</v>
      </c>
      <c r="E166" s="4">
        <v>0</v>
      </c>
      <c r="F166" s="4">
        <v>0</v>
      </c>
      <c r="G166" s="4">
        <v>0</v>
      </c>
      <c r="H166" s="3">
        <f t="shared" si="19"/>
        <v>0</v>
      </c>
      <c r="I166" s="3">
        <f t="shared" si="20"/>
        <v>5</v>
      </c>
      <c r="J166" s="15"/>
    </row>
    <row r="167" spans="1:10" s="25" customFormat="1" ht="15.6" x14ac:dyDescent="0.3">
      <c r="A167" s="18">
        <v>148</v>
      </c>
      <c r="B167" s="10" t="s">
        <v>394</v>
      </c>
      <c r="C167" s="4">
        <v>9</v>
      </c>
      <c r="D167" s="4">
        <v>5</v>
      </c>
      <c r="E167" s="4">
        <v>0</v>
      </c>
      <c r="F167" s="4">
        <v>0</v>
      </c>
      <c r="G167" s="4">
        <v>0</v>
      </c>
      <c r="H167" s="3">
        <f t="shared" si="19"/>
        <v>0</v>
      </c>
      <c r="I167" s="3">
        <f t="shared" si="20"/>
        <v>5</v>
      </c>
      <c r="J167" s="62"/>
    </row>
    <row r="168" spans="1:10" x14ac:dyDescent="0.25">
      <c r="A168" s="18">
        <v>149</v>
      </c>
      <c r="B168" s="10" t="s">
        <v>395</v>
      </c>
      <c r="C168" s="4">
        <v>35</v>
      </c>
      <c r="D168" s="4">
        <v>81</v>
      </c>
      <c r="E168" s="4">
        <v>0</v>
      </c>
      <c r="F168" s="4">
        <v>0</v>
      </c>
      <c r="G168" s="4">
        <v>0</v>
      </c>
      <c r="H168" s="3">
        <f t="shared" si="19"/>
        <v>0</v>
      </c>
      <c r="I168" s="3">
        <f t="shared" si="20"/>
        <v>81</v>
      </c>
      <c r="J168" s="14"/>
    </row>
    <row r="169" spans="1:10" x14ac:dyDescent="0.25">
      <c r="A169" s="18">
        <v>150</v>
      </c>
      <c r="B169" s="10" t="s">
        <v>396</v>
      </c>
      <c r="C169" s="4">
        <v>7</v>
      </c>
      <c r="D169" s="4">
        <v>6</v>
      </c>
      <c r="E169" s="4">
        <v>0</v>
      </c>
      <c r="F169" s="4">
        <v>0</v>
      </c>
      <c r="G169" s="4">
        <v>0</v>
      </c>
      <c r="H169" s="3">
        <f t="shared" si="19"/>
        <v>0</v>
      </c>
      <c r="I169" s="3">
        <f t="shared" si="20"/>
        <v>6</v>
      </c>
      <c r="J169" s="5"/>
    </row>
    <row r="170" spans="1:10" s="40" customFormat="1" ht="22.5" customHeight="1" x14ac:dyDescent="0.25">
      <c r="A170" s="18">
        <v>151</v>
      </c>
      <c r="B170" s="10" t="s">
        <v>397</v>
      </c>
      <c r="C170" s="4">
        <v>15</v>
      </c>
      <c r="D170" s="4">
        <v>9</v>
      </c>
      <c r="E170" s="4">
        <v>0</v>
      </c>
      <c r="F170" s="4">
        <v>0</v>
      </c>
      <c r="G170" s="4">
        <v>0</v>
      </c>
      <c r="H170" s="3">
        <f t="shared" si="19"/>
        <v>0</v>
      </c>
      <c r="I170" s="3">
        <f t="shared" si="20"/>
        <v>9</v>
      </c>
      <c r="J170" s="54"/>
    </row>
    <row r="171" spans="1:10" x14ac:dyDescent="0.25">
      <c r="A171" s="18">
        <v>152</v>
      </c>
      <c r="B171" s="10" t="s">
        <v>398</v>
      </c>
      <c r="C171" s="4">
        <v>15</v>
      </c>
      <c r="D171" s="4">
        <v>9</v>
      </c>
      <c r="E171" s="4">
        <v>0</v>
      </c>
      <c r="F171" s="4">
        <v>0</v>
      </c>
      <c r="G171" s="4">
        <v>0</v>
      </c>
      <c r="H171" s="3">
        <f t="shared" si="19"/>
        <v>0</v>
      </c>
      <c r="I171" s="3">
        <f t="shared" si="20"/>
        <v>9</v>
      </c>
      <c r="J171" s="4"/>
    </row>
    <row r="172" spans="1:10" s="63" customFormat="1" ht="15.6" x14ac:dyDescent="0.3">
      <c r="A172" s="18">
        <v>153</v>
      </c>
      <c r="B172" s="10" t="s">
        <v>399</v>
      </c>
      <c r="C172" s="4">
        <v>40</v>
      </c>
      <c r="D172" s="4">
        <v>12</v>
      </c>
      <c r="E172" s="4">
        <v>0</v>
      </c>
      <c r="F172" s="4">
        <v>0</v>
      </c>
      <c r="G172" s="4">
        <v>0</v>
      </c>
      <c r="H172" s="3">
        <f t="shared" si="19"/>
        <v>0</v>
      </c>
      <c r="I172" s="3">
        <f t="shared" si="20"/>
        <v>12</v>
      </c>
      <c r="J172" s="30"/>
    </row>
    <row r="173" spans="1:10" s="25" customFormat="1" ht="15.6" x14ac:dyDescent="0.3">
      <c r="A173" s="18">
        <v>154</v>
      </c>
      <c r="B173" s="10" t="s">
        <v>400</v>
      </c>
      <c r="C173" s="4">
        <v>40</v>
      </c>
      <c r="D173" s="4">
        <v>25</v>
      </c>
      <c r="E173" s="4">
        <v>0</v>
      </c>
      <c r="F173" s="4">
        <v>0</v>
      </c>
      <c r="G173" s="4">
        <v>0</v>
      </c>
      <c r="H173" s="3">
        <f t="shared" si="19"/>
        <v>0</v>
      </c>
      <c r="I173" s="3">
        <f t="shared" si="20"/>
        <v>25</v>
      </c>
      <c r="J173" s="51"/>
    </row>
    <row r="174" spans="1:10" s="25" customFormat="1" ht="15.6" x14ac:dyDescent="0.3">
      <c r="A174" s="18">
        <v>155</v>
      </c>
      <c r="B174" s="10" t="s">
        <v>401</v>
      </c>
      <c r="C174" s="4">
        <v>40</v>
      </c>
      <c r="D174" s="4">
        <v>17</v>
      </c>
      <c r="E174" s="4">
        <v>0</v>
      </c>
      <c r="F174" s="4">
        <v>0</v>
      </c>
      <c r="G174" s="4">
        <v>0</v>
      </c>
      <c r="H174" s="3">
        <f t="shared" si="19"/>
        <v>0</v>
      </c>
      <c r="I174" s="3">
        <f t="shared" si="20"/>
        <v>17</v>
      </c>
      <c r="J174" s="62"/>
    </row>
    <row r="175" spans="1:10" x14ac:dyDescent="0.25">
      <c r="A175" s="18">
        <v>156</v>
      </c>
      <c r="B175" s="10" t="s">
        <v>402</v>
      </c>
      <c r="C175" s="4">
        <v>40</v>
      </c>
      <c r="D175" s="4">
        <v>13</v>
      </c>
      <c r="E175" s="4">
        <v>0</v>
      </c>
      <c r="F175" s="4">
        <v>0</v>
      </c>
      <c r="G175" s="4">
        <v>0</v>
      </c>
      <c r="H175" s="3">
        <f t="shared" si="19"/>
        <v>0</v>
      </c>
      <c r="I175" s="3">
        <f t="shared" si="20"/>
        <v>13</v>
      </c>
      <c r="J175" s="30"/>
    </row>
    <row r="176" spans="1:10" x14ac:dyDescent="0.25">
      <c r="A176" s="18">
        <v>157</v>
      </c>
      <c r="B176" s="10" t="s">
        <v>403</v>
      </c>
      <c r="C176" s="4">
        <v>40</v>
      </c>
      <c r="D176" s="4">
        <v>6</v>
      </c>
      <c r="E176" s="4">
        <v>0</v>
      </c>
      <c r="F176" s="4">
        <v>0</v>
      </c>
      <c r="G176" s="4">
        <v>0</v>
      </c>
      <c r="H176" s="3">
        <f t="shared" si="19"/>
        <v>0</v>
      </c>
      <c r="I176" s="3">
        <f t="shared" si="20"/>
        <v>6</v>
      </c>
      <c r="J176" s="4"/>
    </row>
    <row r="177" spans="1:10" x14ac:dyDescent="0.25">
      <c r="A177" s="18">
        <v>158</v>
      </c>
      <c r="B177" s="10" t="s">
        <v>404</v>
      </c>
      <c r="C177" s="4">
        <v>45</v>
      </c>
      <c r="D177" s="4">
        <v>9</v>
      </c>
      <c r="E177" s="4">
        <v>0</v>
      </c>
      <c r="F177" s="4">
        <v>0</v>
      </c>
      <c r="G177" s="4">
        <v>0</v>
      </c>
      <c r="H177" s="3">
        <f t="shared" si="19"/>
        <v>0</v>
      </c>
      <c r="I177" s="3">
        <f t="shared" si="20"/>
        <v>9</v>
      </c>
      <c r="J177" s="30"/>
    </row>
    <row r="178" spans="1:10" x14ac:dyDescent="0.25">
      <c r="A178" s="18">
        <v>159</v>
      </c>
      <c r="B178" s="10" t="s">
        <v>405</v>
      </c>
      <c r="C178" s="4">
        <v>120</v>
      </c>
      <c r="D178" s="4">
        <v>91</v>
      </c>
      <c r="E178" s="4">
        <v>0</v>
      </c>
      <c r="F178" s="4">
        <v>0</v>
      </c>
      <c r="G178" s="4">
        <v>0</v>
      </c>
      <c r="H178" s="3">
        <f t="shared" si="19"/>
        <v>0</v>
      </c>
      <c r="I178" s="3">
        <f t="shared" si="20"/>
        <v>91</v>
      </c>
      <c r="J178" s="4"/>
    </row>
    <row r="179" spans="1:10" s="25" customFormat="1" ht="15.6" x14ac:dyDescent="0.3">
      <c r="A179" s="18">
        <v>160</v>
      </c>
      <c r="B179" s="10" t="s">
        <v>406</v>
      </c>
      <c r="C179" s="4">
        <v>0</v>
      </c>
      <c r="D179" s="4">
        <v>1</v>
      </c>
      <c r="E179" s="4">
        <v>0</v>
      </c>
      <c r="F179" s="4">
        <v>0</v>
      </c>
      <c r="G179" s="4">
        <v>0</v>
      </c>
      <c r="H179" s="3">
        <f t="shared" si="19"/>
        <v>0</v>
      </c>
      <c r="I179" s="3">
        <f t="shared" si="20"/>
        <v>1</v>
      </c>
      <c r="J179" s="62"/>
    </row>
    <row r="180" spans="1:10" s="25" customFormat="1" ht="30.75" customHeight="1" x14ac:dyDescent="0.3">
      <c r="A180" s="18">
        <v>161</v>
      </c>
      <c r="B180" s="10" t="s">
        <v>407</v>
      </c>
      <c r="C180" s="4">
        <v>6</v>
      </c>
      <c r="D180" s="4">
        <v>8</v>
      </c>
      <c r="E180" s="4">
        <v>0</v>
      </c>
      <c r="F180" s="4">
        <v>0</v>
      </c>
      <c r="G180" s="4">
        <v>0</v>
      </c>
      <c r="H180" s="3">
        <f t="shared" si="19"/>
        <v>0</v>
      </c>
      <c r="I180" s="3">
        <f t="shared" si="20"/>
        <v>8</v>
      </c>
      <c r="J180" s="10"/>
    </row>
    <row r="181" spans="1:10" s="25" customFormat="1" ht="15.6" x14ac:dyDescent="0.3">
      <c r="A181" s="18">
        <v>162</v>
      </c>
      <c r="B181" s="10" t="s">
        <v>408</v>
      </c>
      <c r="C181" s="4">
        <v>12</v>
      </c>
      <c r="D181" s="4">
        <v>17</v>
      </c>
      <c r="E181" s="4">
        <v>0</v>
      </c>
      <c r="F181" s="4">
        <v>0</v>
      </c>
      <c r="G181" s="4">
        <v>0</v>
      </c>
      <c r="H181" s="3">
        <f t="shared" ref="H181:H186" si="21">E181+F181+G181</f>
        <v>0</v>
      </c>
      <c r="I181" s="3">
        <f t="shared" si="20"/>
        <v>17</v>
      </c>
      <c r="J181" s="51"/>
    </row>
    <row r="182" spans="1:10" s="25" customFormat="1" ht="15.6" x14ac:dyDescent="0.3">
      <c r="A182" s="18">
        <v>163</v>
      </c>
      <c r="B182" s="10" t="s">
        <v>409</v>
      </c>
      <c r="C182" s="4">
        <v>2</v>
      </c>
      <c r="D182" s="4">
        <v>2</v>
      </c>
      <c r="E182" s="4">
        <v>0</v>
      </c>
      <c r="F182" s="4">
        <v>0</v>
      </c>
      <c r="G182" s="4">
        <v>0</v>
      </c>
      <c r="H182" s="3">
        <f t="shared" si="21"/>
        <v>0</v>
      </c>
      <c r="I182" s="3">
        <f t="shared" si="20"/>
        <v>2</v>
      </c>
      <c r="J182" s="62"/>
    </row>
    <row r="183" spans="1:10" s="25" customFormat="1" ht="15.6" x14ac:dyDescent="0.3">
      <c r="A183" s="18">
        <v>164</v>
      </c>
      <c r="B183" s="10" t="s">
        <v>410</v>
      </c>
      <c r="C183" s="4">
        <v>3</v>
      </c>
      <c r="D183" s="4">
        <v>3</v>
      </c>
      <c r="E183" s="4">
        <v>0</v>
      </c>
      <c r="F183" s="4">
        <v>0</v>
      </c>
      <c r="G183" s="4">
        <v>0</v>
      </c>
      <c r="H183" s="3">
        <f t="shared" si="21"/>
        <v>0</v>
      </c>
      <c r="I183" s="3">
        <f t="shared" si="20"/>
        <v>3</v>
      </c>
      <c r="J183" s="51"/>
    </row>
    <row r="184" spans="1:10" s="25" customFormat="1" ht="15.6" x14ac:dyDescent="0.3">
      <c r="A184" s="18">
        <v>165</v>
      </c>
      <c r="B184" s="10" t="s">
        <v>411</v>
      </c>
      <c r="C184" s="4">
        <v>11</v>
      </c>
      <c r="D184" s="4">
        <v>11</v>
      </c>
      <c r="E184" s="4">
        <v>0</v>
      </c>
      <c r="F184" s="4">
        <v>0</v>
      </c>
      <c r="G184" s="4">
        <v>0</v>
      </c>
      <c r="H184" s="3">
        <f t="shared" si="21"/>
        <v>0</v>
      </c>
      <c r="I184" s="3">
        <f t="shared" si="20"/>
        <v>11</v>
      </c>
      <c r="J184" s="62"/>
    </row>
    <row r="185" spans="1:10" s="25" customFormat="1" ht="15.6" x14ac:dyDescent="0.3">
      <c r="A185" s="18">
        <v>166</v>
      </c>
      <c r="B185" s="10" t="s">
        <v>412</v>
      </c>
      <c r="C185" s="4">
        <v>12</v>
      </c>
      <c r="D185" s="4">
        <v>12</v>
      </c>
      <c r="E185" s="4">
        <v>0</v>
      </c>
      <c r="F185" s="4">
        <v>0</v>
      </c>
      <c r="G185" s="4">
        <v>0</v>
      </c>
      <c r="H185" s="3">
        <f t="shared" si="21"/>
        <v>0</v>
      </c>
      <c r="I185" s="3">
        <f t="shared" si="20"/>
        <v>12</v>
      </c>
      <c r="J185" s="62"/>
    </row>
    <row r="186" spans="1:10" s="25" customFormat="1" x14ac:dyDescent="0.3">
      <c r="A186" s="18">
        <v>167</v>
      </c>
      <c r="B186" s="10" t="s">
        <v>413</v>
      </c>
      <c r="C186" s="4">
        <v>57</v>
      </c>
      <c r="D186" s="4">
        <v>96</v>
      </c>
      <c r="E186" s="4">
        <v>0</v>
      </c>
      <c r="F186" s="4">
        <v>0</v>
      </c>
      <c r="G186" s="4">
        <v>0</v>
      </c>
      <c r="H186" s="3">
        <f t="shared" si="21"/>
        <v>0</v>
      </c>
      <c r="I186" s="3">
        <f t="shared" si="20"/>
        <v>96</v>
      </c>
      <c r="J186" s="14"/>
    </row>
    <row r="187" spans="1:10" s="25" customFormat="1" ht="15.6" x14ac:dyDescent="0.3">
      <c r="A187" s="18">
        <v>168</v>
      </c>
      <c r="B187" s="10" t="s">
        <v>414</v>
      </c>
      <c r="C187" s="4">
        <v>0</v>
      </c>
      <c r="D187" s="4">
        <v>3</v>
      </c>
      <c r="E187" s="4">
        <v>0</v>
      </c>
      <c r="F187" s="4">
        <v>0</v>
      </c>
      <c r="G187" s="4">
        <v>0</v>
      </c>
      <c r="H187" s="3">
        <f t="shared" ref="H187:H201" si="22">E187+F187+G187</f>
        <v>0</v>
      </c>
      <c r="I187" s="3">
        <f t="shared" si="20"/>
        <v>3</v>
      </c>
      <c r="J187" s="62"/>
    </row>
    <row r="188" spans="1:10" s="25" customFormat="1" ht="15.6" x14ac:dyDescent="0.3">
      <c r="A188" s="18">
        <v>169</v>
      </c>
      <c r="B188" s="10" t="s">
        <v>415</v>
      </c>
      <c r="C188" s="4">
        <v>0</v>
      </c>
      <c r="D188" s="4">
        <v>2</v>
      </c>
      <c r="E188" s="4">
        <v>0</v>
      </c>
      <c r="F188" s="4">
        <v>0</v>
      </c>
      <c r="G188" s="4">
        <v>0</v>
      </c>
      <c r="H188" s="3">
        <f t="shared" si="22"/>
        <v>0</v>
      </c>
      <c r="I188" s="3">
        <f t="shared" si="20"/>
        <v>2</v>
      </c>
      <c r="J188" s="62"/>
    </row>
    <row r="189" spans="1:10" s="25" customFormat="1" ht="15.6" x14ac:dyDescent="0.3">
      <c r="A189" s="18">
        <v>170</v>
      </c>
      <c r="B189" s="10" t="s">
        <v>416</v>
      </c>
      <c r="C189" s="4">
        <v>0</v>
      </c>
      <c r="D189" s="4">
        <v>3</v>
      </c>
      <c r="E189" s="4">
        <v>0</v>
      </c>
      <c r="F189" s="4">
        <v>0</v>
      </c>
      <c r="G189" s="4">
        <v>0</v>
      </c>
      <c r="H189" s="3">
        <f t="shared" si="22"/>
        <v>0</v>
      </c>
      <c r="I189" s="3">
        <f t="shared" si="20"/>
        <v>3</v>
      </c>
      <c r="J189" s="62"/>
    </row>
    <row r="190" spans="1:10" s="25" customFormat="1" ht="15.6" x14ac:dyDescent="0.3">
      <c r="A190" s="18">
        <v>171</v>
      </c>
      <c r="B190" s="10" t="s">
        <v>417</v>
      </c>
      <c r="C190" s="4">
        <v>9</v>
      </c>
      <c r="D190" s="4">
        <v>13</v>
      </c>
      <c r="E190" s="4">
        <v>0</v>
      </c>
      <c r="F190" s="4">
        <v>0</v>
      </c>
      <c r="G190" s="4">
        <v>0</v>
      </c>
      <c r="H190" s="3">
        <f t="shared" si="22"/>
        <v>0</v>
      </c>
      <c r="I190" s="3">
        <f t="shared" si="20"/>
        <v>13</v>
      </c>
      <c r="J190" s="51"/>
    </row>
    <row r="191" spans="1:10" s="25" customFormat="1" ht="15.6" x14ac:dyDescent="0.3">
      <c r="A191" s="18">
        <v>172</v>
      </c>
      <c r="B191" s="10" t="s">
        <v>418</v>
      </c>
      <c r="C191" s="4">
        <v>0</v>
      </c>
      <c r="D191" s="4">
        <v>1</v>
      </c>
      <c r="E191" s="4">
        <v>0</v>
      </c>
      <c r="F191" s="4">
        <v>0</v>
      </c>
      <c r="G191" s="4">
        <v>0</v>
      </c>
      <c r="H191" s="3">
        <f t="shared" si="22"/>
        <v>0</v>
      </c>
      <c r="I191" s="3">
        <f t="shared" ref="I191:I222" si="23">D191-H191</f>
        <v>1</v>
      </c>
      <c r="J191" s="62"/>
    </row>
    <row r="192" spans="1:10" s="25" customFormat="1" ht="15.6" x14ac:dyDescent="0.3">
      <c r="A192" s="18">
        <v>173</v>
      </c>
      <c r="B192" s="10" t="s">
        <v>419</v>
      </c>
      <c r="C192" s="4">
        <v>1</v>
      </c>
      <c r="D192" s="4">
        <v>4</v>
      </c>
      <c r="E192" s="4">
        <v>0</v>
      </c>
      <c r="F192" s="4">
        <v>0</v>
      </c>
      <c r="G192" s="4">
        <v>0</v>
      </c>
      <c r="H192" s="3">
        <f t="shared" si="22"/>
        <v>0</v>
      </c>
      <c r="I192" s="3">
        <f t="shared" si="23"/>
        <v>4</v>
      </c>
      <c r="J192" s="84"/>
    </row>
    <row r="193" spans="1:10" s="25" customFormat="1" ht="15.6" x14ac:dyDescent="0.3">
      <c r="A193" s="18">
        <v>174</v>
      </c>
      <c r="B193" s="10" t="s">
        <v>420</v>
      </c>
      <c r="C193" s="4">
        <v>0</v>
      </c>
      <c r="D193" s="4">
        <v>2</v>
      </c>
      <c r="E193" s="4">
        <v>0</v>
      </c>
      <c r="F193" s="4">
        <v>0</v>
      </c>
      <c r="G193" s="4">
        <v>0</v>
      </c>
      <c r="H193" s="3">
        <f t="shared" si="22"/>
        <v>0</v>
      </c>
      <c r="I193" s="3">
        <f t="shared" si="23"/>
        <v>2</v>
      </c>
      <c r="J193" s="62"/>
    </row>
    <row r="194" spans="1:10" s="25" customFormat="1" ht="15.6" x14ac:dyDescent="0.3">
      <c r="A194" s="18">
        <v>175</v>
      </c>
      <c r="B194" s="10" t="s">
        <v>421</v>
      </c>
      <c r="C194" s="4">
        <v>0</v>
      </c>
      <c r="D194" s="4">
        <v>1</v>
      </c>
      <c r="E194" s="4">
        <v>0</v>
      </c>
      <c r="F194" s="4">
        <v>0</v>
      </c>
      <c r="G194" s="4">
        <v>0</v>
      </c>
      <c r="H194" s="3">
        <f t="shared" si="22"/>
        <v>0</v>
      </c>
      <c r="I194" s="3">
        <f t="shared" si="23"/>
        <v>1</v>
      </c>
      <c r="J194" s="62"/>
    </row>
    <row r="195" spans="1:10" s="25" customFormat="1" ht="15.6" x14ac:dyDescent="0.3">
      <c r="A195" s="18">
        <v>176</v>
      </c>
      <c r="B195" s="10" t="s">
        <v>422</v>
      </c>
      <c r="C195" s="4">
        <v>24</v>
      </c>
      <c r="D195" s="4">
        <v>36</v>
      </c>
      <c r="E195" s="4">
        <v>0</v>
      </c>
      <c r="F195" s="4">
        <v>0</v>
      </c>
      <c r="G195" s="4">
        <v>0</v>
      </c>
      <c r="H195" s="3">
        <f t="shared" si="22"/>
        <v>0</v>
      </c>
      <c r="I195" s="3">
        <f t="shared" si="23"/>
        <v>36</v>
      </c>
      <c r="J195" s="84"/>
    </row>
    <row r="196" spans="1:10" s="25" customFormat="1" ht="15.6" x14ac:dyDescent="0.3">
      <c r="A196" s="18">
        <v>177</v>
      </c>
      <c r="B196" s="10" t="s">
        <v>423</v>
      </c>
      <c r="C196" s="4">
        <v>4</v>
      </c>
      <c r="D196" s="4">
        <v>5</v>
      </c>
      <c r="E196" s="4">
        <v>0</v>
      </c>
      <c r="F196" s="4">
        <v>0</v>
      </c>
      <c r="G196" s="4">
        <v>0</v>
      </c>
      <c r="H196" s="3">
        <f t="shared" ref="H196" si="24">E196+F196+G196</f>
        <v>0</v>
      </c>
      <c r="I196" s="3">
        <f t="shared" si="23"/>
        <v>5</v>
      </c>
      <c r="J196" s="51"/>
    </row>
    <row r="197" spans="1:10" s="25" customFormat="1" ht="15.6" x14ac:dyDescent="0.3">
      <c r="A197" s="18">
        <v>178</v>
      </c>
      <c r="B197" s="10" t="s">
        <v>424</v>
      </c>
      <c r="C197" s="4">
        <v>7</v>
      </c>
      <c r="D197" s="4">
        <v>7</v>
      </c>
      <c r="E197" s="4">
        <v>0</v>
      </c>
      <c r="F197" s="4">
        <v>0</v>
      </c>
      <c r="G197" s="4">
        <v>0</v>
      </c>
      <c r="H197" s="3">
        <f t="shared" ref="H197:H200" si="25">E197+F197+G197</f>
        <v>0</v>
      </c>
      <c r="I197" s="3">
        <f t="shared" si="23"/>
        <v>7</v>
      </c>
      <c r="J197" s="51"/>
    </row>
    <row r="198" spans="1:10" s="25" customFormat="1" ht="15.6" x14ac:dyDescent="0.3">
      <c r="A198" s="18">
        <v>179</v>
      </c>
      <c r="B198" s="10" t="s">
        <v>425</v>
      </c>
      <c r="C198" s="4">
        <v>0</v>
      </c>
      <c r="D198" s="4">
        <v>3</v>
      </c>
      <c r="E198" s="4">
        <v>0</v>
      </c>
      <c r="F198" s="4">
        <v>0</v>
      </c>
      <c r="G198" s="4">
        <v>0</v>
      </c>
      <c r="H198" s="3">
        <f t="shared" si="25"/>
        <v>0</v>
      </c>
      <c r="I198" s="3">
        <f t="shared" si="23"/>
        <v>3</v>
      </c>
      <c r="J198" s="51"/>
    </row>
    <row r="199" spans="1:10" s="25" customFormat="1" ht="15.6" x14ac:dyDescent="0.3">
      <c r="A199" s="18">
        <v>180</v>
      </c>
      <c r="B199" s="10" t="s">
        <v>426</v>
      </c>
      <c r="C199" s="4">
        <v>0</v>
      </c>
      <c r="D199" s="4">
        <v>0</v>
      </c>
      <c r="E199" s="4">
        <v>0</v>
      </c>
      <c r="F199" s="4">
        <v>0</v>
      </c>
      <c r="G199" s="4">
        <v>0</v>
      </c>
      <c r="H199" s="3">
        <f t="shared" si="25"/>
        <v>0</v>
      </c>
      <c r="I199" s="3">
        <f t="shared" si="23"/>
        <v>0</v>
      </c>
      <c r="J199" s="51"/>
    </row>
    <row r="200" spans="1:10" s="25" customFormat="1" ht="15.6" x14ac:dyDescent="0.3">
      <c r="A200" s="18">
        <v>181</v>
      </c>
      <c r="B200" s="10" t="s">
        <v>427</v>
      </c>
      <c r="C200" s="4">
        <v>6</v>
      </c>
      <c r="D200" s="4">
        <v>6</v>
      </c>
      <c r="E200" s="4">
        <v>0</v>
      </c>
      <c r="F200" s="4">
        <v>0</v>
      </c>
      <c r="G200" s="4">
        <v>0</v>
      </c>
      <c r="H200" s="3">
        <f t="shared" si="25"/>
        <v>0</v>
      </c>
      <c r="I200" s="3">
        <f t="shared" si="23"/>
        <v>6</v>
      </c>
      <c r="J200" s="51"/>
    </row>
    <row r="201" spans="1:10" s="25" customFormat="1" x14ac:dyDescent="0.3">
      <c r="A201" s="18">
        <v>182</v>
      </c>
      <c r="B201" s="10" t="s">
        <v>428</v>
      </c>
      <c r="C201" s="4">
        <v>10</v>
      </c>
      <c r="D201" s="4">
        <v>2</v>
      </c>
      <c r="E201" s="4">
        <v>0</v>
      </c>
      <c r="F201" s="4">
        <v>0</v>
      </c>
      <c r="G201" s="4">
        <v>0</v>
      </c>
      <c r="H201" s="3">
        <f t="shared" si="22"/>
        <v>0</v>
      </c>
      <c r="I201" s="3">
        <f t="shared" si="23"/>
        <v>2</v>
      </c>
      <c r="J201" s="15"/>
    </row>
    <row r="202" spans="1:10" s="25" customFormat="1" ht="15.6" x14ac:dyDescent="0.3">
      <c r="A202" s="18">
        <v>183</v>
      </c>
      <c r="B202" s="10" t="s">
        <v>429</v>
      </c>
      <c r="C202" s="4">
        <v>1</v>
      </c>
      <c r="D202" s="4">
        <v>1</v>
      </c>
      <c r="E202" s="4">
        <v>0</v>
      </c>
      <c r="F202" s="4">
        <v>0</v>
      </c>
      <c r="G202" s="4">
        <v>0</v>
      </c>
      <c r="H202" s="3">
        <f t="shared" ref="H202:H208" si="26">E202+F202+G202</f>
        <v>0</v>
      </c>
      <c r="I202" s="3">
        <f t="shared" si="23"/>
        <v>1</v>
      </c>
      <c r="J202" s="51"/>
    </row>
    <row r="203" spans="1:10" s="25" customFormat="1" x14ac:dyDescent="0.3">
      <c r="A203" s="18">
        <v>184</v>
      </c>
      <c r="B203" s="10" t="s">
        <v>430</v>
      </c>
      <c r="C203" s="4">
        <v>1</v>
      </c>
      <c r="D203" s="4">
        <v>1</v>
      </c>
      <c r="E203" s="4">
        <v>0</v>
      </c>
      <c r="F203" s="4">
        <v>0</v>
      </c>
      <c r="G203" s="4">
        <v>0</v>
      </c>
      <c r="H203" s="3">
        <f t="shared" si="26"/>
        <v>0</v>
      </c>
      <c r="I203" s="3">
        <f t="shared" si="23"/>
        <v>1</v>
      </c>
      <c r="J203" s="14"/>
    </row>
    <row r="204" spans="1:10" s="25" customFormat="1" ht="15.6" x14ac:dyDescent="0.3">
      <c r="A204" s="18">
        <v>185</v>
      </c>
      <c r="B204" s="10" t="s">
        <v>431</v>
      </c>
      <c r="C204" s="4">
        <v>6</v>
      </c>
      <c r="D204" s="4">
        <v>0</v>
      </c>
      <c r="E204" s="4">
        <v>0</v>
      </c>
      <c r="F204" s="4">
        <v>0</v>
      </c>
      <c r="G204" s="4">
        <v>0</v>
      </c>
      <c r="H204" s="3">
        <f t="shared" si="26"/>
        <v>0</v>
      </c>
      <c r="I204" s="3">
        <f t="shared" si="23"/>
        <v>0</v>
      </c>
      <c r="J204" s="62"/>
    </row>
    <row r="205" spans="1:10" s="25" customFormat="1" ht="15.6" x14ac:dyDescent="0.3">
      <c r="A205" s="18">
        <v>186</v>
      </c>
      <c r="B205" s="10" t="s">
        <v>432</v>
      </c>
      <c r="C205" s="4">
        <v>3</v>
      </c>
      <c r="D205" s="4">
        <v>0</v>
      </c>
      <c r="E205" s="4">
        <v>0</v>
      </c>
      <c r="F205" s="4">
        <v>0</v>
      </c>
      <c r="G205" s="4">
        <v>0</v>
      </c>
      <c r="H205" s="3">
        <f t="shared" si="26"/>
        <v>0</v>
      </c>
      <c r="I205" s="3">
        <f t="shared" si="23"/>
        <v>0</v>
      </c>
      <c r="J205" s="62"/>
    </row>
    <row r="206" spans="1:10" s="25" customFormat="1" ht="15.6" x14ac:dyDescent="0.3">
      <c r="A206" s="18">
        <v>187</v>
      </c>
      <c r="B206" s="10" t="s">
        <v>433</v>
      </c>
      <c r="C206" s="4">
        <v>12</v>
      </c>
      <c r="D206" s="4">
        <v>0</v>
      </c>
      <c r="E206" s="4">
        <v>0</v>
      </c>
      <c r="F206" s="4">
        <v>0</v>
      </c>
      <c r="G206" s="4">
        <v>0</v>
      </c>
      <c r="H206" s="3">
        <f t="shared" si="26"/>
        <v>0</v>
      </c>
      <c r="I206" s="3">
        <f t="shared" si="23"/>
        <v>0</v>
      </c>
      <c r="J206" s="62"/>
    </row>
    <row r="207" spans="1:10" s="25" customFormat="1" ht="15.6" x14ac:dyDescent="0.3">
      <c r="A207" s="18">
        <v>188</v>
      </c>
      <c r="B207" s="10" t="s">
        <v>434</v>
      </c>
      <c r="C207" s="4">
        <v>3</v>
      </c>
      <c r="D207" s="4">
        <v>4</v>
      </c>
      <c r="E207" s="4">
        <v>0</v>
      </c>
      <c r="F207" s="4">
        <v>0</v>
      </c>
      <c r="G207" s="4">
        <v>0</v>
      </c>
      <c r="H207" s="3">
        <f t="shared" si="26"/>
        <v>0</v>
      </c>
      <c r="I207" s="3">
        <f t="shared" si="23"/>
        <v>4</v>
      </c>
      <c r="J207" s="51"/>
    </row>
    <row r="208" spans="1:10" s="25" customFormat="1" x14ac:dyDescent="0.3">
      <c r="A208" s="18">
        <v>189</v>
      </c>
      <c r="B208" s="10" t="s">
        <v>435</v>
      </c>
      <c r="C208" s="4">
        <v>0</v>
      </c>
      <c r="D208" s="4">
        <v>1</v>
      </c>
      <c r="E208" s="4">
        <v>0</v>
      </c>
      <c r="F208" s="4">
        <v>0</v>
      </c>
      <c r="G208" s="4">
        <v>0</v>
      </c>
      <c r="H208" s="3">
        <f t="shared" si="26"/>
        <v>0</v>
      </c>
      <c r="I208" s="3">
        <f t="shared" si="23"/>
        <v>1</v>
      </c>
      <c r="J208" s="5"/>
    </row>
    <row r="209" spans="1:10" s="25" customFormat="1" x14ac:dyDescent="0.3">
      <c r="A209" s="18">
        <v>190</v>
      </c>
      <c r="B209" s="10" t="s">
        <v>436</v>
      </c>
      <c r="C209" s="4">
        <v>1</v>
      </c>
      <c r="D209" s="4">
        <v>5</v>
      </c>
      <c r="E209" s="4">
        <v>0</v>
      </c>
      <c r="F209" s="4">
        <v>0</v>
      </c>
      <c r="G209" s="4">
        <v>0</v>
      </c>
      <c r="H209" s="3">
        <f t="shared" ref="H209" si="27">E209+F209+G209</f>
        <v>0</v>
      </c>
      <c r="I209" s="3">
        <f t="shared" si="23"/>
        <v>5</v>
      </c>
      <c r="J209" s="15"/>
    </row>
    <row r="210" spans="1:10" s="25" customFormat="1" ht="15.6" x14ac:dyDescent="0.3">
      <c r="A210" s="18">
        <v>191</v>
      </c>
      <c r="B210" s="10" t="s">
        <v>437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3">
        <f t="shared" ref="H210:H220" si="28">E210+F210+G210</f>
        <v>0</v>
      </c>
      <c r="I210" s="3">
        <f t="shared" si="23"/>
        <v>0</v>
      </c>
      <c r="J210" s="62"/>
    </row>
    <row r="211" spans="1:10" s="25" customFormat="1" ht="15.6" x14ac:dyDescent="0.3">
      <c r="A211" s="18">
        <v>192</v>
      </c>
      <c r="B211" s="10" t="s">
        <v>438</v>
      </c>
      <c r="C211" s="4">
        <v>0</v>
      </c>
      <c r="D211" s="4">
        <v>0</v>
      </c>
      <c r="E211" s="4">
        <v>0</v>
      </c>
      <c r="F211" s="4">
        <v>0</v>
      </c>
      <c r="G211" s="4">
        <v>0</v>
      </c>
      <c r="H211" s="3">
        <f t="shared" si="28"/>
        <v>0</v>
      </c>
      <c r="I211" s="3">
        <f t="shared" si="23"/>
        <v>0</v>
      </c>
      <c r="J211" s="62"/>
    </row>
    <row r="212" spans="1:10" s="25" customFormat="1" ht="15.6" x14ac:dyDescent="0.3">
      <c r="A212" s="18">
        <v>193</v>
      </c>
      <c r="B212" s="10" t="s">
        <v>439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3">
        <f t="shared" si="28"/>
        <v>0</v>
      </c>
      <c r="I212" s="3">
        <f t="shared" si="23"/>
        <v>0</v>
      </c>
      <c r="J212" s="62"/>
    </row>
    <row r="213" spans="1:10" s="25" customFormat="1" ht="15.6" x14ac:dyDescent="0.3">
      <c r="A213" s="18">
        <v>194</v>
      </c>
      <c r="B213" s="10" t="s">
        <v>440</v>
      </c>
      <c r="C213" s="4">
        <v>0</v>
      </c>
      <c r="D213" s="4">
        <v>0</v>
      </c>
      <c r="E213" s="4">
        <v>0</v>
      </c>
      <c r="F213" s="4">
        <v>0</v>
      </c>
      <c r="G213" s="4">
        <v>0</v>
      </c>
      <c r="H213" s="3">
        <f t="shared" si="28"/>
        <v>0</v>
      </c>
      <c r="I213" s="3">
        <f t="shared" si="23"/>
        <v>0</v>
      </c>
      <c r="J213" s="62"/>
    </row>
    <row r="214" spans="1:10" s="25" customFormat="1" ht="15.6" x14ac:dyDescent="0.3">
      <c r="A214" s="18">
        <v>195</v>
      </c>
      <c r="B214" s="10" t="s">
        <v>441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3">
        <f t="shared" si="28"/>
        <v>0</v>
      </c>
      <c r="I214" s="3">
        <f t="shared" si="23"/>
        <v>0</v>
      </c>
      <c r="J214" s="62"/>
    </row>
    <row r="215" spans="1:10" s="25" customFormat="1" ht="15.6" x14ac:dyDescent="0.3">
      <c r="A215" s="18">
        <v>196</v>
      </c>
      <c r="B215" s="10" t="s">
        <v>442</v>
      </c>
      <c r="C215" s="4">
        <v>0</v>
      </c>
      <c r="D215" s="4">
        <v>0</v>
      </c>
      <c r="E215" s="4">
        <v>0</v>
      </c>
      <c r="F215" s="4">
        <v>0</v>
      </c>
      <c r="G215" s="4">
        <v>0</v>
      </c>
      <c r="H215" s="3">
        <f t="shared" si="28"/>
        <v>0</v>
      </c>
      <c r="I215" s="3">
        <f t="shared" si="23"/>
        <v>0</v>
      </c>
      <c r="J215" s="62"/>
    </row>
    <row r="216" spans="1:10" s="25" customFormat="1" ht="15.6" x14ac:dyDescent="0.3">
      <c r="A216" s="18">
        <v>197</v>
      </c>
      <c r="B216" s="10" t="s">
        <v>443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3">
        <f t="shared" si="28"/>
        <v>0</v>
      </c>
      <c r="I216" s="3">
        <f t="shared" si="23"/>
        <v>0</v>
      </c>
      <c r="J216" s="62"/>
    </row>
    <row r="217" spans="1:10" s="25" customFormat="1" ht="15.6" x14ac:dyDescent="0.3">
      <c r="A217" s="18">
        <v>198</v>
      </c>
      <c r="B217" s="10" t="s">
        <v>444</v>
      </c>
      <c r="C217" s="4">
        <v>0</v>
      </c>
      <c r="D217" s="4">
        <v>0</v>
      </c>
      <c r="E217" s="4">
        <v>0</v>
      </c>
      <c r="F217" s="4">
        <v>0</v>
      </c>
      <c r="G217" s="4">
        <v>0</v>
      </c>
      <c r="H217" s="3">
        <f t="shared" si="28"/>
        <v>0</v>
      </c>
      <c r="I217" s="3">
        <f t="shared" si="23"/>
        <v>0</v>
      </c>
      <c r="J217" s="62"/>
    </row>
    <row r="218" spans="1:10" s="25" customFormat="1" ht="15.6" x14ac:dyDescent="0.3">
      <c r="A218" s="18">
        <v>199</v>
      </c>
      <c r="B218" s="10" t="s">
        <v>445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3">
        <f t="shared" si="28"/>
        <v>0</v>
      </c>
      <c r="I218" s="3">
        <f t="shared" si="23"/>
        <v>0</v>
      </c>
      <c r="J218" s="62"/>
    </row>
    <row r="219" spans="1:10" s="25" customFormat="1" x14ac:dyDescent="0.3">
      <c r="A219" s="18">
        <v>200</v>
      </c>
      <c r="B219" s="10" t="s">
        <v>446</v>
      </c>
      <c r="C219" s="4">
        <v>15</v>
      </c>
      <c r="D219" s="4">
        <v>9</v>
      </c>
      <c r="E219" s="4">
        <v>0</v>
      </c>
      <c r="F219" s="4">
        <v>0</v>
      </c>
      <c r="G219" s="4">
        <v>0</v>
      </c>
      <c r="H219" s="3">
        <f t="shared" si="28"/>
        <v>0</v>
      </c>
      <c r="I219" s="3">
        <f t="shared" si="23"/>
        <v>9</v>
      </c>
      <c r="J219" s="15"/>
    </row>
    <row r="220" spans="1:10" s="25" customFormat="1" ht="15.6" x14ac:dyDescent="0.3">
      <c r="A220" s="18">
        <v>201</v>
      </c>
      <c r="B220" s="10" t="s">
        <v>447</v>
      </c>
      <c r="C220" s="4">
        <v>9</v>
      </c>
      <c r="D220" s="4">
        <v>15</v>
      </c>
      <c r="E220" s="4">
        <v>0</v>
      </c>
      <c r="F220" s="4">
        <v>0</v>
      </c>
      <c r="G220" s="4">
        <v>0</v>
      </c>
      <c r="H220" s="3">
        <f t="shared" si="28"/>
        <v>0</v>
      </c>
      <c r="I220" s="3">
        <f t="shared" si="23"/>
        <v>15</v>
      </c>
      <c r="J220" s="48"/>
    </row>
    <row r="221" spans="1:10" s="25" customFormat="1" ht="15.6" x14ac:dyDescent="0.3">
      <c r="A221" s="18">
        <v>202</v>
      </c>
      <c r="B221" s="10" t="s">
        <v>448</v>
      </c>
      <c r="C221" s="4">
        <v>35</v>
      </c>
      <c r="D221" s="4">
        <v>68</v>
      </c>
      <c r="E221" s="4">
        <v>0</v>
      </c>
      <c r="F221" s="4">
        <v>0</v>
      </c>
      <c r="G221" s="4">
        <v>0</v>
      </c>
      <c r="H221" s="3">
        <f t="shared" ref="H221:H226" si="29">E221+F221+G221</f>
        <v>0</v>
      </c>
      <c r="I221" s="3">
        <f t="shared" si="23"/>
        <v>68</v>
      </c>
      <c r="J221" s="51"/>
    </row>
    <row r="222" spans="1:10" s="25" customFormat="1" ht="15.6" x14ac:dyDescent="0.3">
      <c r="A222" s="18">
        <v>203</v>
      </c>
      <c r="B222" s="10" t="s">
        <v>449</v>
      </c>
      <c r="C222" s="4">
        <v>3</v>
      </c>
      <c r="D222" s="4">
        <v>3</v>
      </c>
      <c r="E222" s="4">
        <v>0</v>
      </c>
      <c r="F222" s="4">
        <v>0</v>
      </c>
      <c r="G222" s="4">
        <v>0</v>
      </c>
      <c r="H222" s="3">
        <f t="shared" si="29"/>
        <v>0</v>
      </c>
      <c r="I222" s="3">
        <f t="shared" si="23"/>
        <v>3</v>
      </c>
      <c r="J222" s="62"/>
    </row>
    <row r="223" spans="1:10" s="25" customFormat="1" ht="15.6" x14ac:dyDescent="0.3">
      <c r="A223" s="18">
        <v>204</v>
      </c>
      <c r="B223" s="10" t="s">
        <v>450</v>
      </c>
      <c r="C223" s="4">
        <v>2</v>
      </c>
      <c r="D223" s="4">
        <v>3</v>
      </c>
      <c r="E223" s="4">
        <v>0</v>
      </c>
      <c r="F223" s="4">
        <v>0</v>
      </c>
      <c r="G223" s="4">
        <v>0</v>
      </c>
      <c r="H223" s="3">
        <f t="shared" si="29"/>
        <v>0</v>
      </c>
      <c r="I223" s="3">
        <f t="shared" ref="I223:I224" si="30">D223-H223</f>
        <v>3</v>
      </c>
      <c r="J223" s="62"/>
    </row>
    <row r="224" spans="1:10" s="25" customFormat="1" ht="15.6" x14ac:dyDescent="0.3">
      <c r="A224" s="18">
        <v>205</v>
      </c>
      <c r="B224" s="10" t="s">
        <v>451</v>
      </c>
      <c r="C224" s="4">
        <v>2</v>
      </c>
      <c r="D224" s="4">
        <v>1</v>
      </c>
      <c r="E224" s="4">
        <v>0</v>
      </c>
      <c r="F224" s="4">
        <v>0</v>
      </c>
      <c r="G224" s="4">
        <v>0</v>
      </c>
      <c r="H224" s="3">
        <f t="shared" si="29"/>
        <v>0</v>
      </c>
      <c r="I224" s="3">
        <f t="shared" si="30"/>
        <v>1</v>
      </c>
      <c r="J224" s="62"/>
    </row>
    <row r="225" spans="1:10" s="25" customFormat="1" ht="15.6" x14ac:dyDescent="0.3">
      <c r="A225" s="18">
        <v>206</v>
      </c>
      <c r="B225" s="10" t="s">
        <v>452</v>
      </c>
      <c r="C225" s="4">
        <v>5</v>
      </c>
      <c r="D225" s="4">
        <v>1</v>
      </c>
      <c r="E225" s="4">
        <v>0</v>
      </c>
      <c r="F225" s="4">
        <v>0</v>
      </c>
      <c r="G225" s="4">
        <v>0</v>
      </c>
      <c r="H225" s="3">
        <v>0</v>
      </c>
      <c r="I225" s="3">
        <v>1</v>
      </c>
      <c r="J225" s="62"/>
    </row>
    <row r="226" spans="1:10" s="25" customFormat="1" ht="15.6" x14ac:dyDescent="0.3">
      <c r="A226" s="18">
        <v>207</v>
      </c>
      <c r="B226" s="10" t="s">
        <v>453</v>
      </c>
      <c r="C226" s="4">
        <v>15</v>
      </c>
      <c r="D226" s="4">
        <v>18</v>
      </c>
      <c r="E226" s="4">
        <v>0</v>
      </c>
      <c r="F226" s="4">
        <v>0</v>
      </c>
      <c r="G226" s="4">
        <v>0</v>
      </c>
      <c r="H226" s="3">
        <f t="shared" si="29"/>
        <v>0</v>
      </c>
      <c r="I226" s="3">
        <f t="shared" ref="I226:I231" si="31">D226-H226</f>
        <v>18</v>
      </c>
      <c r="J226" s="51"/>
    </row>
    <row r="227" spans="1:10" s="25" customFormat="1" ht="15.6" x14ac:dyDescent="0.3">
      <c r="A227" s="18">
        <v>208</v>
      </c>
      <c r="B227" s="10" t="s">
        <v>454</v>
      </c>
      <c r="C227" s="4">
        <v>14</v>
      </c>
      <c r="D227" s="4">
        <v>16</v>
      </c>
      <c r="E227" s="4">
        <v>0</v>
      </c>
      <c r="F227" s="4">
        <v>0</v>
      </c>
      <c r="G227" s="4">
        <v>0</v>
      </c>
      <c r="H227" s="3">
        <f t="shared" ref="H227:H228" si="32">E227+F227+G227</f>
        <v>0</v>
      </c>
      <c r="I227" s="3">
        <f t="shared" si="31"/>
        <v>16</v>
      </c>
      <c r="J227" s="84"/>
    </row>
    <row r="228" spans="1:10" s="25" customFormat="1" ht="15.6" x14ac:dyDescent="0.3">
      <c r="A228" s="18">
        <v>209</v>
      </c>
      <c r="B228" s="10" t="s">
        <v>455</v>
      </c>
      <c r="C228" s="4">
        <v>0</v>
      </c>
      <c r="D228" s="4">
        <v>1</v>
      </c>
      <c r="E228" s="4">
        <v>0</v>
      </c>
      <c r="F228" s="4">
        <v>0</v>
      </c>
      <c r="G228" s="4">
        <v>0</v>
      </c>
      <c r="H228" s="3">
        <f t="shared" si="32"/>
        <v>0</v>
      </c>
      <c r="I228" s="3">
        <f t="shared" si="31"/>
        <v>1</v>
      </c>
      <c r="J228" s="51"/>
    </row>
    <row r="229" spans="1:10" s="25" customFormat="1" ht="15.6" x14ac:dyDescent="0.3">
      <c r="A229" s="18">
        <v>210</v>
      </c>
      <c r="B229" s="10" t="s">
        <v>456</v>
      </c>
      <c r="C229" s="4">
        <v>0</v>
      </c>
      <c r="D229" s="4">
        <v>0</v>
      </c>
      <c r="E229" s="4">
        <v>0</v>
      </c>
      <c r="F229" s="4">
        <v>0</v>
      </c>
      <c r="G229" s="4">
        <v>0</v>
      </c>
      <c r="H229" s="3">
        <f t="shared" ref="H229" si="33">E229+F229+G229</f>
        <v>0</v>
      </c>
      <c r="I229" s="3">
        <f t="shared" si="31"/>
        <v>0</v>
      </c>
      <c r="J229" s="51"/>
    </row>
    <row r="230" spans="1:10" s="25" customFormat="1" ht="15.6" x14ac:dyDescent="0.3">
      <c r="A230" s="64">
        <v>211</v>
      </c>
      <c r="B230" s="10" t="s">
        <v>457</v>
      </c>
      <c r="C230" s="4">
        <v>7</v>
      </c>
      <c r="D230" s="4">
        <v>7</v>
      </c>
      <c r="E230" s="4">
        <v>0</v>
      </c>
      <c r="F230" s="4">
        <v>0</v>
      </c>
      <c r="G230" s="4">
        <v>0</v>
      </c>
      <c r="H230" s="3">
        <f t="shared" ref="H230" si="34">E230+F230+G230</f>
        <v>0</v>
      </c>
      <c r="I230" s="3">
        <f t="shared" si="31"/>
        <v>7</v>
      </c>
      <c r="J230" s="51"/>
    </row>
    <row r="231" spans="1:10" s="25" customFormat="1" ht="15.6" x14ac:dyDescent="0.3">
      <c r="A231" s="18">
        <v>212</v>
      </c>
      <c r="B231" s="10" t="s">
        <v>458</v>
      </c>
      <c r="C231" s="4">
        <v>2</v>
      </c>
      <c r="D231" s="4">
        <v>0</v>
      </c>
      <c r="E231" s="4">
        <v>0</v>
      </c>
      <c r="F231" s="4">
        <v>0</v>
      </c>
      <c r="G231" s="4">
        <v>0</v>
      </c>
      <c r="H231" s="3">
        <f t="shared" ref="H231" si="35">E231+F231+G231</f>
        <v>0</v>
      </c>
      <c r="I231" s="3">
        <f t="shared" si="31"/>
        <v>0</v>
      </c>
      <c r="J231" s="51"/>
    </row>
  </sheetData>
  <mergeCells count="9">
    <mergeCell ref="A2:J2"/>
    <mergeCell ref="E3:G3"/>
    <mergeCell ref="A6:J6"/>
    <mergeCell ref="A1:J1"/>
    <mergeCell ref="A3:A4"/>
    <mergeCell ref="B3:B4"/>
    <mergeCell ref="H3:H4"/>
    <mergeCell ref="I3:I4"/>
    <mergeCell ref="J3:J4"/>
  </mergeCells>
  <phoneticPr fontId="14" type="noConversion"/>
  <conditionalFormatting sqref="A1">
    <cfRule type="iconSet" priority="1">
      <iconSet iconSet="4Arrows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  <pageSetup paperSize="9" scale="40" orientation="landscape" r:id="rId1"/>
  <rowBreaks count="1" manualBreakCount="1">
    <brk id="125" max="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T30"/>
  <sheetViews>
    <sheetView view="pageBreakPreview" zoomScale="75" zoomScaleNormal="75" zoomScaleSheetLayoutView="7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S21" sqref="S21"/>
    </sheetView>
  </sheetViews>
  <sheetFormatPr defaultColWidth="9.109375" defaultRowHeight="15.6" x14ac:dyDescent="0.3"/>
  <cols>
    <col min="1" max="1" width="6.33203125" style="16" customWidth="1"/>
    <col min="2" max="2" width="36.33203125" style="61" bestFit="1" customWidth="1"/>
    <col min="3" max="3" width="8.109375" style="46" customWidth="1"/>
    <col min="4" max="4" width="8.5546875" style="46" customWidth="1"/>
    <col min="5" max="5" width="7.109375" style="46" bestFit="1" customWidth="1"/>
    <col min="6" max="6" width="8.6640625" style="46" bestFit="1" customWidth="1"/>
    <col min="7" max="7" width="9" style="46" customWidth="1"/>
    <col min="8" max="8" width="5.88671875" style="46" customWidth="1"/>
    <col min="9" max="9" width="6.88671875" style="46" bestFit="1" customWidth="1"/>
    <col min="10" max="10" width="6.109375" style="46" bestFit="1" customWidth="1"/>
    <col min="11" max="11" width="6.44140625" style="46" bestFit="1" customWidth="1"/>
    <col min="12" max="12" width="8.109375" style="46" bestFit="1" customWidth="1"/>
    <col min="13" max="13" width="9.109375" style="46" customWidth="1"/>
    <col min="14" max="14" width="9.88671875" style="46" customWidth="1"/>
    <col min="15" max="15" width="8.88671875" style="63" customWidth="1"/>
    <col min="16" max="16" width="11.44140625" style="61" customWidth="1"/>
    <col min="17" max="17" width="13.44140625" style="61" bestFit="1" customWidth="1"/>
    <col min="18" max="18" width="12" style="61" bestFit="1" customWidth="1"/>
    <col min="19" max="19" width="14.109375" style="61" customWidth="1"/>
    <col min="20" max="20" width="105.6640625" style="61" customWidth="1"/>
    <col min="21" max="16384" width="9.109375" style="61"/>
  </cols>
  <sheetData>
    <row r="1" spans="1:20" ht="61.5" customHeight="1" x14ac:dyDescent="0.25">
      <c r="A1" s="203" t="s">
        <v>92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</row>
    <row r="2" spans="1:20" x14ac:dyDescent="0.25">
      <c r="A2" s="226" t="s">
        <v>45</v>
      </c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6"/>
      <c r="S2" s="226"/>
      <c r="T2" s="226"/>
    </row>
    <row r="3" spans="1:20" x14ac:dyDescent="0.3">
      <c r="A3" s="46"/>
      <c r="B3" s="65"/>
      <c r="R3" s="227"/>
      <c r="S3" s="228"/>
      <c r="T3" s="228"/>
    </row>
    <row r="4" spans="1:20" s="66" customFormat="1" ht="15.75" customHeight="1" x14ac:dyDescent="0.3">
      <c r="A4" s="229" t="s">
        <v>0</v>
      </c>
      <c r="B4" s="230" t="s">
        <v>16</v>
      </c>
      <c r="C4" s="205" t="s">
        <v>17</v>
      </c>
      <c r="D4" s="207"/>
      <c r="E4" s="229" t="s">
        <v>31</v>
      </c>
      <c r="F4" s="229"/>
      <c r="G4" s="229"/>
      <c r="H4" s="229"/>
      <c r="I4" s="229"/>
      <c r="J4" s="229"/>
      <c r="K4" s="229"/>
      <c r="L4" s="229"/>
      <c r="M4" s="231" t="s">
        <v>18</v>
      </c>
      <c r="N4" s="231" t="s">
        <v>32</v>
      </c>
      <c r="O4" s="233" t="s">
        <v>33</v>
      </c>
      <c r="P4" s="230" t="s">
        <v>21</v>
      </c>
      <c r="Q4" s="230" t="s">
        <v>22</v>
      </c>
      <c r="R4" s="230" t="s">
        <v>23</v>
      </c>
      <c r="S4" s="230" t="s">
        <v>24</v>
      </c>
      <c r="T4" s="230" t="s">
        <v>34</v>
      </c>
    </row>
    <row r="5" spans="1:20" s="66" customFormat="1" ht="31.2" x14ac:dyDescent="0.3">
      <c r="A5" s="229"/>
      <c r="B5" s="230"/>
      <c r="C5" s="132" t="s">
        <v>25</v>
      </c>
      <c r="D5" s="132" t="s">
        <v>26</v>
      </c>
      <c r="E5" s="130" t="s">
        <v>15</v>
      </c>
      <c r="F5" s="130" t="s">
        <v>35</v>
      </c>
      <c r="G5" s="130" t="s">
        <v>27</v>
      </c>
      <c r="H5" s="130" t="s">
        <v>36</v>
      </c>
      <c r="I5" s="130" t="s">
        <v>37</v>
      </c>
      <c r="J5" s="130" t="s">
        <v>38</v>
      </c>
      <c r="K5" s="130" t="s">
        <v>39</v>
      </c>
      <c r="L5" s="130" t="s">
        <v>28</v>
      </c>
      <c r="M5" s="232"/>
      <c r="N5" s="232"/>
      <c r="O5" s="234"/>
      <c r="P5" s="230"/>
      <c r="Q5" s="230"/>
      <c r="R5" s="230"/>
      <c r="S5" s="230"/>
      <c r="T5" s="229"/>
    </row>
    <row r="6" spans="1:20" s="66" customFormat="1" x14ac:dyDescent="0.3">
      <c r="A6" s="130" t="s">
        <v>1</v>
      </c>
      <c r="B6" s="131" t="s">
        <v>2</v>
      </c>
      <c r="C6" s="130" t="s">
        <v>3</v>
      </c>
      <c r="D6" s="130" t="s">
        <v>4</v>
      </c>
      <c r="E6" s="130" t="s">
        <v>5</v>
      </c>
      <c r="F6" s="130" t="s">
        <v>6</v>
      </c>
      <c r="G6" s="130" t="s">
        <v>7</v>
      </c>
      <c r="H6" s="130" t="s">
        <v>8</v>
      </c>
      <c r="I6" s="130" t="s">
        <v>9</v>
      </c>
      <c r="J6" s="130" t="s">
        <v>10</v>
      </c>
      <c r="K6" s="130" t="s">
        <v>11</v>
      </c>
      <c r="L6" s="130" t="s">
        <v>12</v>
      </c>
      <c r="M6" s="130" t="s">
        <v>13</v>
      </c>
      <c r="N6" s="130" t="s">
        <v>29</v>
      </c>
      <c r="O6" s="130" t="s">
        <v>30</v>
      </c>
      <c r="P6" s="130" t="s">
        <v>40</v>
      </c>
      <c r="Q6" s="130" t="s">
        <v>41</v>
      </c>
      <c r="R6" s="130" t="s">
        <v>42</v>
      </c>
      <c r="S6" s="130" t="s">
        <v>43</v>
      </c>
      <c r="T6" s="130" t="s">
        <v>44</v>
      </c>
    </row>
    <row r="7" spans="1:20" ht="30" x14ac:dyDescent="0.25">
      <c r="A7" s="3">
        <v>1</v>
      </c>
      <c r="B7" s="35" t="s">
        <v>462</v>
      </c>
      <c r="C7" s="3">
        <v>90</v>
      </c>
      <c r="D7" s="3">
        <v>90</v>
      </c>
      <c r="E7" s="3">
        <v>0</v>
      </c>
      <c r="F7" s="3">
        <v>1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f>SUM(E7:L7)</f>
        <v>1</v>
      </c>
      <c r="N7" s="4">
        <v>0</v>
      </c>
      <c r="O7" s="67">
        <f>(D7-M7-N7)</f>
        <v>89</v>
      </c>
      <c r="P7" s="68">
        <f>IF(D7=0,"-",(M7/D7))</f>
        <v>1.1111111111111112E-2</v>
      </c>
      <c r="Q7" s="68">
        <f>IF(D7=0,"-",(N7/D7))</f>
        <v>0</v>
      </c>
      <c r="R7" s="68">
        <f>IF(D7=0,"-",(O7/D7))</f>
        <v>0.98888888888888893</v>
      </c>
      <c r="S7" s="68">
        <f>R7</f>
        <v>0.98888888888888893</v>
      </c>
      <c r="T7" s="165" t="s">
        <v>115</v>
      </c>
    </row>
    <row r="8" spans="1:20" s="2" customFormat="1" ht="36.75" customHeight="1" x14ac:dyDescent="0.3">
      <c r="A8" s="3">
        <v>2</v>
      </c>
      <c r="B8" s="35" t="s">
        <v>463</v>
      </c>
      <c r="C8" s="3">
        <v>54</v>
      </c>
      <c r="D8" s="3">
        <v>54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f t="shared" ref="M8:M25" si="0">SUM(E8:L8)</f>
        <v>0</v>
      </c>
      <c r="N8" s="4">
        <v>0</v>
      </c>
      <c r="O8" s="67">
        <f t="shared" ref="O8:O25" si="1">(D8-M8-N8)</f>
        <v>54</v>
      </c>
      <c r="P8" s="68">
        <f>IF(D8=0,"-",(M8/D8))</f>
        <v>0</v>
      </c>
      <c r="Q8" s="68">
        <f t="shared" ref="Q8:Q25" si="2">IF(D8=0,"-",(N8/D8))</f>
        <v>0</v>
      </c>
      <c r="R8" s="68">
        <f t="shared" ref="R8:R24" si="3">IF(D8=0,"-",(O8/D8))</f>
        <v>1</v>
      </c>
      <c r="S8" s="68">
        <f t="shared" ref="S8:S25" si="4">R8</f>
        <v>1</v>
      </c>
      <c r="T8" s="6"/>
    </row>
    <row r="9" spans="1:20" ht="33" customHeight="1" x14ac:dyDescent="0.25">
      <c r="A9" s="3">
        <v>3</v>
      </c>
      <c r="B9" s="35" t="s">
        <v>464</v>
      </c>
      <c r="C9" s="3">
        <v>18</v>
      </c>
      <c r="D9" s="3">
        <v>18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f t="shared" si="0"/>
        <v>0</v>
      </c>
      <c r="N9" s="4">
        <v>0</v>
      </c>
      <c r="O9" s="67">
        <f t="shared" si="1"/>
        <v>18</v>
      </c>
      <c r="P9" s="68">
        <f t="shared" ref="P9:P16" si="5">IF(D9=0,"-",(M9/D9))</f>
        <v>0</v>
      </c>
      <c r="Q9" s="68">
        <f t="shared" si="2"/>
        <v>0</v>
      </c>
      <c r="R9" s="68">
        <f t="shared" si="3"/>
        <v>1</v>
      </c>
      <c r="S9" s="68">
        <f t="shared" si="4"/>
        <v>1</v>
      </c>
      <c r="T9" s="179" t="s">
        <v>114</v>
      </c>
    </row>
    <row r="10" spans="1:20" x14ac:dyDescent="0.25">
      <c r="A10" s="3">
        <v>4</v>
      </c>
      <c r="B10" s="35" t="s">
        <v>465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 t="shared" si="0"/>
        <v>0</v>
      </c>
      <c r="N10" s="4">
        <v>0</v>
      </c>
      <c r="O10" s="67">
        <f t="shared" si="1"/>
        <v>0</v>
      </c>
      <c r="P10" s="68" t="str">
        <f t="shared" si="5"/>
        <v>-</v>
      </c>
      <c r="Q10" s="68" t="str">
        <f t="shared" si="2"/>
        <v>-</v>
      </c>
      <c r="R10" s="68" t="str">
        <f t="shared" si="3"/>
        <v>-</v>
      </c>
      <c r="S10" s="68" t="str">
        <f t="shared" si="4"/>
        <v>-</v>
      </c>
      <c r="T10" s="69"/>
    </row>
    <row r="11" spans="1:20" ht="15" x14ac:dyDescent="0.25">
      <c r="A11" s="3">
        <v>5</v>
      </c>
      <c r="B11" s="35" t="s">
        <v>466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f t="shared" si="0"/>
        <v>0</v>
      </c>
      <c r="N11" s="4">
        <v>0</v>
      </c>
      <c r="O11" s="67">
        <f t="shared" si="1"/>
        <v>0</v>
      </c>
      <c r="P11" s="68" t="str">
        <f t="shared" si="5"/>
        <v>-</v>
      </c>
      <c r="Q11" s="68" t="str">
        <f t="shared" si="2"/>
        <v>-</v>
      </c>
      <c r="R11" s="68" t="str">
        <f t="shared" si="3"/>
        <v>-</v>
      </c>
      <c r="S11" s="68" t="str">
        <f t="shared" si="4"/>
        <v>-</v>
      </c>
      <c r="T11" s="6"/>
    </row>
    <row r="12" spans="1:20" ht="15" x14ac:dyDescent="0.25">
      <c r="A12" s="3">
        <v>6</v>
      </c>
      <c r="B12" s="35" t="s">
        <v>467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f t="shared" si="0"/>
        <v>0</v>
      </c>
      <c r="N12" s="4">
        <v>0</v>
      </c>
      <c r="O12" s="67">
        <f t="shared" si="1"/>
        <v>0</v>
      </c>
      <c r="P12" s="68" t="str">
        <f t="shared" si="5"/>
        <v>-</v>
      </c>
      <c r="Q12" s="68" t="str">
        <f t="shared" si="2"/>
        <v>-</v>
      </c>
      <c r="R12" s="68" t="str">
        <f t="shared" si="3"/>
        <v>-</v>
      </c>
      <c r="S12" s="68" t="str">
        <f t="shared" si="4"/>
        <v>-</v>
      </c>
      <c r="T12" s="6"/>
    </row>
    <row r="13" spans="1:20" ht="15" x14ac:dyDescent="0.25">
      <c r="A13" s="3">
        <v>7</v>
      </c>
      <c r="B13" s="35" t="s">
        <v>468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f t="shared" si="0"/>
        <v>0</v>
      </c>
      <c r="N13" s="4">
        <v>0</v>
      </c>
      <c r="O13" s="67">
        <f t="shared" si="1"/>
        <v>0</v>
      </c>
      <c r="P13" s="68" t="str">
        <f t="shared" si="5"/>
        <v>-</v>
      </c>
      <c r="Q13" s="68" t="str">
        <f t="shared" si="2"/>
        <v>-</v>
      </c>
      <c r="R13" s="68" t="str">
        <f t="shared" si="3"/>
        <v>-</v>
      </c>
      <c r="S13" s="68" t="str">
        <f t="shared" si="4"/>
        <v>-</v>
      </c>
    </row>
    <row r="14" spans="1:20" ht="15" x14ac:dyDescent="0.25">
      <c r="A14" s="3">
        <v>8</v>
      </c>
      <c r="B14" s="35" t="s">
        <v>469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f t="shared" si="0"/>
        <v>0</v>
      </c>
      <c r="N14" s="4">
        <v>0</v>
      </c>
      <c r="O14" s="67">
        <f t="shared" si="1"/>
        <v>0</v>
      </c>
      <c r="P14" s="68" t="str">
        <f t="shared" si="5"/>
        <v>-</v>
      </c>
      <c r="Q14" s="68" t="str">
        <f t="shared" si="2"/>
        <v>-</v>
      </c>
      <c r="R14" s="68" t="str">
        <f t="shared" si="3"/>
        <v>-</v>
      </c>
      <c r="S14" s="68" t="str">
        <f t="shared" si="4"/>
        <v>-</v>
      </c>
      <c r="T14" s="5"/>
    </row>
    <row r="15" spans="1:20" ht="15" x14ac:dyDescent="0.25">
      <c r="A15" s="3">
        <v>9</v>
      </c>
      <c r="B15" s="35" t="s">
        <v>470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f t="shared" si="0"/>
        <v>0</v>
      </c>
      <c r="N15" s="4">
        <v>0</v>
      </c>
      <c r="O15" s="67">
        <f t="shared" si="1"/>
        <v>0</v>
      </c>
      <c r="P15" s="68" t="str">
        <f t="shared" si="5"/>
        <v>-</v>
      </c>
      <c r="Q15" s="68" t="str">
        <f t="shared" si="2"/>
        <v>-</v>
      </c>
      <c r="R15" s="68" t="str">
        <f t="shared" si="3"/>
        <v>-</v>
      </c>
      <c r="S15" s="68" t="str">
        <f t="shared" si="4"/>
        <v>-</v>
      </c>
      <c r="T15" s="5"/>
    </row>
    <row r="16" spans="1:20" ht="15" x14ac:dyDescent="0.25">
      <c r="A16" s="3">
        <v>10</v>
      </c>
      <c r="B16" s="35" t="s">
        <v>471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f t="shared" si="0"/>
        <v>0</v>
      </c>
      <c r="N16" s="4">
        <v>0</v>
      </c>
      <c r="O16" s="67">
        <f t="shared" si="1"/>
        <v>0</v>
      </c>
      <c r="P16" s="68" t="str">
        <f t="shared" si="5"/>
        <v>-</v>
      </c>
      <c r="Q16" s="68" t="str">
        <f t="shared" si="2"/>
        <v>-</v>
      </c>
      <c r="R16" s="68" t="str">
        <f t="shared" si="3"/>
        <v>-</v>
      </c>
      <c r="S16" s="68" t="str">
        <f t="shared" si="4"/>
        <v>-</v>
      </c>
      <c r="T16" s="5"/>
    </row>
    <row r="17" spans="1:20" ht="77.25" customHeight="1" x14ac:dyDescent="0.25">
      <c r="A17" s="3">
        <v>11</v>
      </c>
      <c r="B17" s="35" t="s">
        <v>472</v>
      </c>
      <c r="C17" s="3">
        <v>72</v>
      </c>
      <c r="D17" s="3">
        <v>72</v>
      </c>
      <c r="E17" s="3">
        <v>0</v>
      </c>
      <c r="F17" s="3">
        <v>5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4">
        <v>5</v>
      </c>
      <c r="O17" s="67">
        <f t="shared" si="1"/>
        <v>67</v>
      </c>
      <c r="P17" s="68">
        <f>IF(D17=0,"-",(M17/D17))</f>
        <v>0</v>
      </c>
      <c r="Q17" s="68">
        <f t="shared" si="2"/>
        <v>6.9444444444444448E-2</v>
      </c>
      <c r="R17" s="68">
        <f t="shared" si="3"/>
        <v>0.93055555555555558</v>
      </c>
      <c r="S17" s="68">
        <f t="shared" si="4"/>
        <v>0.93055555555555558</v>
      </c>
      <c r="T17" s="23" t="s">
        <v>481</v>
      </c>
    </row>
    <row r="18" spans="1:20" ht="15" x14ac:dyDescent="0.25">
      <c r="A18" s="3">
        <v>12</v>
      </c>
      <c r="B18" s="35" t="s">
        <v>473</v>
      </c>
      <c r="C18" s="3">
        <v>32</v>
      </c>
      <c r="D18" s="3">
        <v>32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3">
        <v>0</v>
      </c>
      <c r="L18" s="3">
        <v>0</v>
      </c>
      <c r="M18" s="3">
        <f t="shared" si="0"/>
        <v>1</v>
      </c>
      <c r="N18" s="4">
        <v>0</v>
      </c>
      <c r="O18" s="67">
        <f>(D18-M18-N18)</f>
        <v>31</v>
      </c>
      <c r="P18" s="68">
        <f>IF(D18=0,"-",(M18/D18))</f>
        <v>3.125E-2</v>
      </c>
      <c r="Q18" s="68">
        <f t="shared" si="2"/>
        <v>0</v>
      </c>
      <c r="R18" s="68">
        <f t="shared" si="3"/>
        <v>0.96875</v>
      </c>
      <c r="S18" s="68">
        <f t="shared" si="4"/>
        <v>0.96875</v>
      </c>
      <c r="T18" s="23" t="s">
        <v>482</v>
      </c>
    </row>
    <row r="19" spans="1:20" ht="15" x14ac:dyDescent="0.25">
      <c r="A19" s="3">
        <v>13</v>
      </c>
      <c r="B19" s="35" t="s">
        <v>474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f t="shared" si="0"/>
        <v>0</v>
      </c>
      <c r="N19" s="4">
        <v>0</v>
      </c>
      <c r="O19" s="67">
        <f t="shared" si="1"/>
        <v>0</v>
      </c>
      <c r="P19" s="68" t="str">
        <f t="shared" ref="P19:P25" si="6">IF(D19=0,"-",(M19/D19))</f>
        <v>-</v>
      </c>
      <c r="Q19" s="68" t="str">
        <f t="shared" si="2"/>
        <v>-</v>
      </c>
      <c r="R19" s="68" t="str">
        <f t="shared" si="3"/>
        <v>-</v>
      </c>
      <c r="S19" s="68" t="str">
        <f t="shared" si="4"/>
        <v>-</v>
      </c>
      <c r="T19" s="5"/>
    </row>
    <row r="20" spans="1:20" ht="15" x14ac:dyDescent="0.25">
      <c r="A20" s="3">
        <v>14</v>
      </c>
      <c r="B20" s="35" t="s">
        <v>475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f t="shared" si="0"/>
        <v>0</v>
      </c>
      <c r="N20" s="4">
        <v>0</v>
      </c>
      <c r="O20" s="67">
        <f t="shared" si="1"/>
        <v>0</v>
      </c>
      <c r="P20" s="68" t="str">
        <f t="shared" si="6"/>
        <v>-</v>
      </c>
      <c r="Q20" s="68" t="str">
        <f t="shared" si="2"/>
        <v>-</v>
      </c>
      <c r="R20" s="68" t="str">
        <f t="shared" si="3"/>
        <v>-</v>
      </c>
      <c r="S20" s="68" t="str">
        <f t="shared" si="4"/>
        <v>-</v>
      </c>
      <c r="T20" s="5"/>
    </row>
    <row r="21" spans="1:20" x14ac:dyDescent="0.25">
      <c r="A21" s="3">
        <v>15</v>
      </c>
      <c r="B21" s="35" t="s">
        <v>476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f t="shared" si="0"/>
        <v>0</v>
      </c>
      <c r="N21" s="4">
        <v>0</v>
      </c>
      <c r="O21" s="67">
        <f t="shared" si="1"/>
        <v>0</v>
      </c>
      <c r="P21" s="68" t="str">
        <f t="shared" si="6"/>
        <v>-</v>
      </c>
      <c r="Q21" s="68" t="str">
        <f t="shared" si="2"/>
        <v>-</v>
      </c>
      <c r="R21" s="68" t="str">
        <f t="shared" si="3"/>
        <v>-</v>
      </c>
      <c r="S21" s="68" t="str">
        <f t="shared" si="4"/>
        <v>-</v>
      </c>
      <c r="T21" s="37"/>
    </row>
    <row r="22" spans="1:20" ht="15" x14ac:dyDescent="0.25">
      <c r="A22" s="3">
        <v>16</v>
      </c>
      <c r="B22" s="35" t="s">
        <v>477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f t="shared" si="0"/>
        <v>0</v>
      </c>
      <c r="N22" s="4">
        <v>0</v>
      </c>
      <c r="O22" s="67">
        <f t="shared" si="1"/>
        <v>0</v>
      </c>
      <c r="P22" s="68" t="str">
        <f t="shared" si="6"/>
        <v>-</v>
      </c>
      <c r="Q22" s="68" t="str">
        <f t="shared" si="2"/>
        <v>-</v>
      </c>
      <c r="R22" s="68" t="str">
        <f t="shared" si="3"/>
        <v>-</v>
      </c>
      <c r="S22" s="68" t="str">
        <f t="shared" si="4"/>
        <v>-</v>
      </c>
      <c r="T22" s="5"/>
    </row>
    <row r="23" spans="1:20" x14ac:dyDescent="0.25">
      <c r="A23" s="3">
        <v>17</v>
      </c>
      <c r="B23" s="35" t="s">
        <v>478</v>
      </c>
      <c r="C23" s="3">
        <v>27</v>
      </c>
      <c r="D23" s="3">
        <v>26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f t="shared" si="0"/>
        <v>0</v>
      </c>
      <c r="N23" s="4">
        <v>0</v>
      </c>
      <c r="O23" s="67">
        <f t="shared" si="1"/>
        <v>26</v>
      </c>
      <c r="P23" s="68">
        <f t="shared" si="6"/>
        <v>0</v>
      </c>
      <c r="Q23" s="68">
        <f t="shared" si="2"/>
        <v>0</v>
      </c>
      <c r="R23" s="68">
        <f t="shared" si="3"/>
        <v>1</v>
      </c>
      <c r="S23" s="68">
        <f t="shared" si="4"/>
        <v>1</v>
      </c>
      <c r="T23" s="29"/>
    </row>
    <row r="24" spans="1:20" ht="15" x14ac:dyDescent="0.25">
      <c r="A24" s="9">
        <v>18</v>
      </c>
      <c r="B24" s="35" t="s">
        <v>479</v>
      </c>
      <c r="C24" s="3">
        <v>18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f t="shared" si="0"/>
        <v>0</v>
      </c>
      <c r="N24" s="8">
        <v>0</v>
      </c>
      <c r="O24" s="67">
        <f t="shared" si="1"/>
        <v>0</v>
      </c>
      <c r="P24" s="68" t="str">
        <f t="shared" si="6"/>
        <v>-</v>
      </c>
      <c r="Q24" s="68" t="str">
        <f t="shared" si="2"/>
        <v>-</v>
      </c>
      <c r="R24" s="68" t="str">
        <f t="shared" si="3"/>
        <v>-</v>
      </c>
      <c r="S24" s="68" t="str">
        <f t="shared" si="4"/>
        <v>-</v>
      </c>
      <c r="T24" s="173"/>
    </row>
    <row r="25" spans="1:20" s="2" customFormat="1" ht="15" x14ac:dyDescent="0.3">
      <c r="A25" s="9">
        <v>19</v>
      </c>
      <c r="B25" s="35" t="s">
        <v>480</v>
      </c>
      <c r="C25" s="3">
        <v>36</v>
      </c>
      <c r="D25" s="3">
        <v>38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f t="shared" si="0"/>
        <v>0</v>
      </c>
      <c r="N25" s="8">
        <v>0</v>
      </c>
      <c r="O25" s="67">
        <f t="shared" si="1"/>
        <v>38</v>
      </c>
      <c r="P25" s="68">
        <f t="shared" si="6"/>
        <v>0</v>
      </c>
      <c r="Q25" s="68">
        <f t="shared" si="2"/>
        <v>0</v>
      </c>
      <c r="R25" s="68">
        <f>IF(D25=0,"-",(O25/D25))</f>
        <v>1</v>
      </c>
      <c r="S25" s="68">
        <f t="shared" si="4"/>
        <v>1</v>
      </c>
      <c r="T25" s="14"/>
    </row>
    <row r="26" spans="1:20" x14ac:dyDescent="0.3">
      <c r="T26" s="61" t="s">
        <v>55</v>
      </c>
    </row>
    <row r="28" spans="1:20" x14ac:dyDescent="0.3">
      <c r="S28" s="61" t="s">
        <v>55</v>
      </c>
    </row>
    <row r="30" spans="1:20" x14ac:dyDescent="0.3">
      <c r="T30" s="71"/>
    </row>
  </sheetData>
  <protectedRanges>
    <protectedRange sqref="T9" name="Range1"/>
  </protectedRanges>
  <mergeCells count="15">
    <mergeCell ref="A1:T1"/>
    <mergeCell ref="A2:T2"/>
    <mergeCell ref="R3:T3"/>
    <mergeCell ref="A4:A5"/>
    <mergeCell ref="B4:B5"/>
    <mergeCell ref="C4:D4"/>
    <mergeCell ref="E4:L4"/>
    <mergeCell ref="M4:M5"/>
    <mergeCell ref="N4:N5"/>
    <mergeCell ref="O4:O5"/>
    <mergeCell ref="R4:R5"/>
    <mergeCell ref="S4:S5"/>
    <mergeCell ref="T4:T5"/>
    <mergeCell ref="P4:P5"/>
    <mergeCell ref="Q4:Q5"/>
  </mergeCells>
  <phoneticPr fontId="14" type="noConversion"/>
  <dataValidations count="2">
    <dataValidation type="whole" allowBlank="1" showInputMessage="1" showErrorMessage="1" errorTitle="Value Between 0 to 200000" sqref="O7:O25" xr:uid="{00000000-0002-0000-0300-000000000000}">
      <formula1>0</formula1>
      <formula2>200000</formula2>
    </dataValidation>
    <dataValidation type="whole" allowBlank="1" showInputMessage="1" showErrorMessage="1" sqref="N24:N25 N9:N14 N16:N22 C7:L25" xr:uid="{00000000-0002-0000-0300-000001000000}">
      <formula1>0</formula1>
      <formula2>50000</formula2>
    </dataValidation>
  </dataValidations>
  <pageMargins left="0.52" right="0.31496062992126" top="0.39370078740157499" bottom="0.39370078740157499" header="0.31496062992126" footer="0.31496062992126"/>
  <pageSetup paperSize="9" scale="4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Q75"/>
  <sheetViews>
    <sheetView view="pageBreakPreview" zoomScale="70" zoomScaleSheetLayoutView="70" workbookViewId="0">
      <pane xSplit="2" ySplit="4" topLeftCell="C48" activePane="bottomRight" state="frozen"/>
      <selection pane="topRight" activeCell="C1" sqref="C1"/>
      <selection pane="bottomLeft" activeCell="A5" sqref="A5"/>
      <selection pane="bottomRight" activeCell="Q70" sqref="Q70"/>
    </sheetView>
  </sheetViews>
  <sheetFormatPr defaultColWidth="9.109375" defaultRowHeight="15" x14ac:dyDescent="0.25"/>
  <cols>
    <col min="1" max="1" width="5.5546875" style="1" customWidth="1"/>
    <col min="2" max="2" width="44.5546875" style="71" customWidth="1"/>
    <col min="3" max="3" width="12.109375" style="46" customWidth="1"/>
    <col min="4" max="4" width="10.109375" style="46" customWidth="1"/>
    <col min="5" max="5" width="7.5546875" style="46" customWidth="1"/>
    <col min="6" max="6" width="7.44140625" style="46" customWidth="1"/>
    <col min="7" max="7" width="6.33203125" style="46" customWidth="1"/>
    <col min="8" max="8" width="13" style="46" customWidth="1"/>
    <col min="9" max="9" width="6.33203125" style="46" customWidth="1"/>
    <col min="10" max="10" width="10.88671875" style="46" customWidth="1"/>
    <col min="11" max="11" width="9.6640625" style="46" customWidth="1"/>
    <col min="12" max="12" width="10.44140625" style="61" customWidth="1"/>
    <col min="13" max="13" width="11.6640625" style="61" customWidth="1"/>
    <col min="14" max="14" width="9.6640625" style="61" customWidth="1"/>
    <col min="15" max="15" width="18" style="61" customWidth="1"/>
    <col min="16" max="16" width="13.88671875" style="61" customWidth="1"/>
    <col min="17" max="17" width="60.33203125" style="61" customWidth="1"/>
    <col min="18" max="16384" width="9.109375" style="61"/>
  </cols>
  <sheetData>
    <row r="1" spans="1:17" ht="63" customHeight="1" x14ac:dyDescent="0.25">
      <c r="A1" s="203" t="s">
        <v>93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</row>
    <row r="2" spans="1:17" ht="21" customHeight="1" x14ac:dyDescent="0.25">
      <c r="A2" s="226" t="s">
        <v>46</v>
      </c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</row>
    <row r="3" spans="1:17" s="66" customFormat="1" ht="15.75" customHeight="1" x14ac:dyDescent="0.3">
      <c r="A3" s="233" t="s">
        <v>0</v>
      </c>
      <c r="B3" s="209" t="s">
        <v>16</v>
      </c>
      <c r="C3" s="229" t="s">
        <v>17</v>
      </c>
      <c r="D3" s="229"/>
      <c r="E3" s="229" t="s">
        <v>31</v>
      </c>
      <c r="F3" s="229"/>
      <c r="G3" s="229"/>
      <c r="H3" s="229"/>
      <c r="I3" s="229"/>
      <c r="J3" s="209" t="s">
        <v>18</v>
      </c>
      <c r="K3" s="209" t="s">
        <v>19</v>
      </c>
      <c r="L3" s="209" t="s">
        <v>20</v>
      </c>
      <c r="M3" s="209" t="s">
        <v>21</v>
      </c>
      <c r="N3" s="209" t="s">
        <v>22</v>
      </c>
      <c r="O3" s="209" t="s">
        <v>23</v>
      </c>
      <c r="P3" s="209" t="s">
        <v>24</v>
      </c>
      <c r="Q3" s="230" t="s">
        <v>34</v>
      </c>
    </row>
    <row r="4" spans="1:17" s="66" customFormat="1" ht="62.4" x14ac:dyDescent="0.3">
      <c r="A4" s="234"/>
      <c r="B4" s="209"/>
      <c r="C4" s="131" t="s">
        <v>25</v>
      </c>
      <c r="D4" s="131" t="s">
        <v>26</v>
      </c>
      <c r="E4" s="125" t="s">
        <v>63</v>
      </c>
      <c r="F4" s="72" t="s">
        <v>35</v>
      </c>
      <c r="G4" s="73" t="s">
        <v>27</v>
      </c>
      <c r="H4" s="74" t="s">
        <v>62</v>
      </c>
      <c r="I4" s="73" t="s">
        <v>28</v>
      </c>
      <c r="J4" s="209"/>
      <c r="K4" s="209"/>
      <c r="L4" s="209"/>
      <c r="M4" s="209"/>
      <c r="N4" s="209"/>
      <c r="O4" s="209"/>
      <c r="P4" s="209"/>
      <c r="Q4" s="229"/>
    </row>
    <row r="5" spans="1:17" s="16" customFormat="1" ht="18.75" customHeight="1" x14ac:dyDescent="0.25">
      <c r="A5" s="19" t="s">
        <v>1</v>
      </c>
      <c r="B5" s="75" t="s">
        <v>2</v>
      </c>
      <c r="C5" s="19" t="s">
        <v>3</v>
      </c>
      <c r="D5" s="19" t="s">
        <v>4</v>
      </c>
      <c r="E5" s="19" t="s">
        <v>5</v>
      </c>
      <c r="F5" s="19" t="s">
        <v>6</v>
      </c>
      <c r="G5" s="19" t="s">
        <v>7</v>
      </c>
      <c r="H5" s="19" t="s">
        <v>8</v>
      </c>
      <c r="I5" s="19" t="s">
        <v>9</v>
      </c>
      <c r="J5" s="19" t="s">
        <v>10</v>
      </c>
      <c r="K5" s="19" t="s">
        <v>11</v>
      </c>
      <c r="L5" s="19" t="s">
        <v>12</v>
      </c>
      <c r="M5" s="19" t="s">
        <v>13</v>
      </c>
      <c r="N5" s="19" t="s">
        <v>29</v>
      </c>
      <c r="O5" s="19" t="s">
        <v>30</v>
      </c>
      <c r="P5" s="19" t="s">
        <v>40</v>
      </c>
      <c r="Q5" s="19" t="s">
        <v>41</v>
      </c>
    </row>
    <row r="6" spans="1:17" s="2" customFormat="1" ht="35.25" customHeight="1" x14ac:dyDescent="0.3">
      <c r="A6" s="3">
        <v>1</v>
      </c>
      <c r="B6" s="6" t="s">
        <v>483</v>
      </c>
      <c r="C6" s="76">
        <v>64</v>
      </c>
      <c r="D6" s="76">
        <v>83</v>
      </c>
      <c r="E6" s="76">
        <v>0</v>
      </c>
      <c r="F6" s="76">
        <v>0</v>
      </c>
      <c r="G6" s="76">
        <v>0</v>
      </c>
      <c r="H6" s="76">
        <v>0</v>
      </c>
      <c r="I6" s="76">
        <v>0</v>
      </c>
      <c r="J6" s="76">
        <f>SUM(E6:I6)</f>
        <v>0</v>
      </c>
      <c r="K6" s="4">
        <v>0</v>
      </c>
      <c r="L6" s="67">
        <f>(D6-J6-K6)</f>
        <v>83</v>
      </c>
      <c r="M6" s="68">
        <f t="shared" ref="M6:M23" ca="1" si="0">IF(D6=0,"-",(M6/D6))</f>
        <v>0</v>
      </c>
      <c r="N6" s="77">
        <f>IF(D6=0,"-",K6/D6)</f>
        <v>0</v>
      </c>
      <c r="O6" s="68">
        <f>IF(D6=0,"-",(L6/D6))</f>
        <v>1</v>
      </c>
      <c r="P6" s="68">
        <f>O6</f>
        <v>1</v>
      </c>
      <c r="Q6" s="38"/>
    </row>
    <row r="7" spans="1:17" ht="21" customHeight="1" x14ac:dyDescent="0.25">
      <c r="A7" s="3">
        <v>2</v>
      </c>
      <c r="B7" s="6" t="s">
        <v>484</v>
      </c>
      <c r="C7" s="76">
        <v>221</v>
      </c>
      <c r="D7" s="76">
        <v>193</v>
      </c>
      <c r="E7" s="76">
        <v>0</v>
      </c>
      <c r="F7" s="76">
        <v>0</v>
      </c>
      <c r="G7" s="76">
        <v>0</v>
      </c>
      <c r="H7" s="76">
        <v>0</v>
      </c>
      <c r="I7" s="76">
        <v>0</v>
      </c>
      <c r="J7" s="76">
        <f t="shared" ref="J7:J70" si="1">SUM(E7:I7)</f>
        <v>0</v>
      </c>
      <c r="K7" s="4">
        <v>0</v>
      </c>
      <c r="L7" s="67">
        <f t="shared" ref="L7:L71" si="2">(D7-J7-K7)</f>
        <v>193</v>
      </c>
      <c r="M7" s="68">
        <f t="shared" ca="1" si="0"/>
        <v>0</v>
      </c>
      <c r="N7" s="77">
        <f t="shared" ref="N7:N71" si="3">IF(D7=0,"-",K7/D7)</f>
        <v>0</v>
      </c>
      <c r="O7" s="68">
        <f t="shared" ref="O7:O71" si="4">IF(D7=0,"-",(L7/D7))</f>
        <v>1</v>
      </c>
      <c r="P7" s="68">
        <f t="shared" ref="P7:P71" si="5">O7</f>
        <v>1</v>
      </c>
      <c r="Q7" s="15" t="s">
        <v>96</v>
      </c>
    </row>
    <row r="8" spans="1:17" s="2" customFormat="1" ht="21.75" customHeight="1" x14ac:dyDescent="0.3">
      <c r="A8" s="3">
        <v>3</v>
      </c>
      <c r="B8" s="6" t="s">
        <v>485</v>
      </c>
      <c r="C8" s="76">
        <v>576</v>
      </c>
      <c r="D8" s="76">
        <v>649</v>
      </c>
      <c r="E8" s="76">
        <v>0</v>
      </c>
      <c r="F8" s="76">
        <v>0</v>
      </c>
      <c r="G8" s="76">
        <v>0</v>
      </c>
      <c r="H8" s="76">
        <v>0</v>
      </c>
      <c r="I8" s="76">
        <v>0</v>
      </c>
      <c r="J8" s="76">
        <f t="shared" si="1"/>
        <v>0</v>
      </c>
      <c r="K8" s="4">
        <v>0</v>
      </c>
      <c r="L8" s="67">
        <f t="shared" si="2"/>
        <v>649</v>
      </c>
      <c r="M8" s="68">
        <f t="shared" ca="1" si="0"/>
        <v>0</v>
      </c>
      <c r="N8" s="77">
        <f t="shared" si="3"/>
        <v>0</v>
      </c>
      <c r="O8" s="68">
        <f t="shared" si="4"/>
        <v>1</v>
      </c>
      <c r="P8" s="68">
        <f t="shared" si="5"/>
        <v>1</v>
      </c>
      <c r="Q8" s="38"/>
    </row>
    <row r="9" spans="1:17" s="2" customFormat="1" ht="15.6" x14ac:dyDescent="0.3">
      <c r="A9" s="3">
        <v>4</v>
      </c>
      <c r="B9" s="6" t="s">
        <v>486</v>
      </c>
      <c r="C9" s="76">
        <v>40</v>
      </c>
      <c r="D9" s="76">
        <v>4</v>
      </c>
      <c r="E9" s="76">
        <v>0</v>
      </c>
      <c r="F9" s="76">
        <v>0</v>
      </c>
      <c r="G9" s="76">
        <v>0</v>
      </c>
      <c r="H9" s="76">
        <v>0</v>
      </c>
      <c r="I9" s="76">
        <v>0</v>
      </c>
      <c r="J9" s="76">
        <f t="shared" si="1"/>
        <v>0</v>
      </c>
      <c r="K9" s="4">
        <v>0</v>
      </c>
      <c r="L9" s="67">
        <f t="shared" si="2"/>
        <v>4</v>
      </c>
      <c r="M9" s="68">
        <f t="shared" ca="1" si="0"/>
        <v>0</v>
      </c>
      <c r="N9" s="77">
        <f t="shared" si="3"/>
        <v>0</v>
      </c>
      <c r="O9" s="68">
        <f t="shared" si="4"/>
        <v>1</v>
      </c>
      <c r="P9" s="68">
        <f t="shared" si="5"/>
        <v>1</v>
      </c>
      <c r="Q9" s="122"/>
    </row>
    <row r="10" spans="1:17" ht="26.25" customHeight="1" x14ac:dyDescent="0.25">
      <c r="A10" s="3">
        <v>5</v>
      </c>
      <c r="B10" s="6" t="s">
        <v>487</v>
      </c>
      <c r="C10" s="76">
        <v>0</v>
      </c>
      <c r="D10" s="76">
        <v>0</v>
      </c>
      <c r="E10" s="76">
        <v>0</v>
      </c>
      <c r="F10" s="76">
        <v>0</v>
      </c>
      <c r="G10" s="76">
        <v>0</v>
      </c>
      <c r="H10" s="76">
        <v>0</v>
      </c>
      <c r="I10" s="76">
        <v>0</v>
      </c>
      <c r="J10" s="76">
        <f t="shared" si="1"/>
        <v>0</v>
      </c>
      <c r="K10" s="4">
        <v>0</v>
      </c>
      <c r="L10" s="67">
        <f t="shared" si="2"/>
        <v>0</v>
      </c>
      <c r="M10" s="68" t="str">
        <f t="shared" si="0"/>
        <v>-</v>
      </c>
      <c r="N10" s="77" t="str">
        <f t="shared" si="3"/>
        <v>-</v>
      </c>
      <c r="O10" s="68" t="str">
        <f t="shared" si="4"/>
        <v>-</v>
      </c>
      <c r="P10" s="68" t="str">
        <f t="shared" si="5"/>
        <v>-</v>
      </c>
      <c r="Q10" s="78"/>
    </row>
    <row r="11" spans="1:17" s="2" customFormat="1" ht="24.75" customHeight="1" x14ac:dyDescent="0.3">
      <c r="A11" s="3">
        <v>6</v>
      </c>
      <c r="B11" s="6" t="s">
        <v>488</v>
      </c>
      <c r="C11" s="76">
        <v>693</v>
      </c>
      <c r="D11" s="76">
        <v>638</v>
      </c>
      <c r="E11" s="76">
        <v>0</v>
      </c>
      <c r="F11" s="76">
        <v>0</v>
      </c>
      <c r="G11" s="76">
        <v>0</v>
      </c>
      <c r="H11" s="76">
        <v>0</v>
      </c>
      <c r="I11" s="76">
        <v>0</v>
      </c>
      <c r="J11" s="76">
        <f t="shared" si="1"/>
        <v>0</v>
      </c>
      <c r="K11" s="4">
        <v>0</v>
      </c>
      <c r="L11" s="67">
        <f t="shared" si="2"/>
        <v>638</v>
      </c>
      <c r="M11" s="68">
        <f t="shared" ca="1" si="0"/>
        <v>0</v>
      </c>
      <c r="N11" s="77">
        <f t="shared" si="3"/>
        <v>0</v>
      </c>
      <c r="O11" s="68">
        <f t="shared" si="4"/>
        <v>1</v>
      </c>
      <c r="P11" s="68">
        <f t="shared" si="5"/>
        <v>1</v>
      </c>
      <c r="Q11" s="32"/>
    </row>
    <row r="12" spans="1:17" s="2" customFormat="1" ht="21" customHeight="1" x14ac:dyDescent="0.3">
      <c r="A12" s="3">
        <v>7</v>
      </c>
      <c r="B12" s="6" t="s">
        <v>489</v>
      </c>
      <c r="C12" s="76">
        <v>3</v>
      </c>
      <c r="D12" s="76">
        <v>1</v>
      </c>
      <c r="E12" s="76">
        <v>0</v>
      </c>
      <c r="F12" s="76">
        <v>0</v>
      </c>
      <c r="G12" s="76">
        <v>0</v>
      </c>
      <c r="H12" s="76">
        <v>0</v>
      </c>
      <c r="I12" s="76">
        <v>0</v>
      </c>
      <c r="J12" s="76">
        <f t="shared" si="1"/>
        <v>0</v>
      </c>
      <c r="K12" s="4">
        <v>0</v>
      </c>
      <c r="L12" s="67">
        <f t="shared" si="2"/>
        <v>1</v>
      </c>
      <c r="M12" s="68" t="str">
        <f t="shared" ca="1" si="0"/>
        <v>-</v>
      </c>
      <c r="N12" s="77">
        <f t="shared" si="3"/>
        <v>0</v>
      </c>
      <c r="O12" s="68">
        <f t="shared" si="4"/>
        <v>1</v>
      </c>
      <c r="P12" s="68">
        <f t="shared" si="5"/>
        <v>1</v>
      </c>
      <c r="Q12" s="15"/>
    </row>
    <row r="13" spans="1:17" ht="24" customHeight="1" x14ac:dyDescent="0.25">
      <c r="A13" s="3">
        <v>8</v>
      </c>
      <c r="B13" s="6" t="s">
        <v>490</v>
      </c>
      <c r="C13" s="76">
        <v>0</v>
      </c>
      <c r="D13" s="76">
        <v>0</v>
      </c>
      <c r="E13" s="76">
        <v>0</v>
      </c>
      <c r="F13" s="76">
        <v>0</v>
      </c>
      <c r="G13" s="76">
        <v>0</v>
      </c>
      <c r="H13" s="76">
        <v>0</v>
      </c>
      <c r="I13" s="76">
        <v>0</v>
      </c>
      <c r="J13" s="76">
        <f t="shared" si="1"/>
        <v>0</v>
      </c>
      <c r="K13" s="4">
        <v>0</v>
      </c>
      <c r="L13" s="67">
        <f t="shared" si="2"/>
        <v>0</v>
      </c>
      <c r="M13" s="68" t="str">
        <f t="shared" si="0"/>
        <v>-</v>
      </c>
      <c r="N13" s="77" t="str">
        <f t="shared" si="3"/>
        <v>-</v>
      </c>
      <c r="O13" s="68" t="str">
        <f t="shared" si="4"/>
        <v>-</v>
      </c>
      <c r="P13" s="68" t="str">
        <f t="shared" si="5"/>
        <v>-</v>
      </c>
      <c r="Q13" s="78"/>
    </row>
    <row r="14" spans="1:17" ht="24" customHeight="1" x14ac:dyDescent="0.25">
      <c r="A14" s="3">
        <v>9</v>
      </c>
      <c r="B14" s="6" t="s">
        <v>491</v>
      </c>
      <c r="C14" s="76">
        <v>0</v>
      </c>
      <c r="D14" s="76">
        <v>5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f t="shared" si="1"/>
        <v>0</v>
      </c>
      <c r="K14" s="4">
        <v>0</v>
      </c>
      <c r="L14" s="67">
        <f t="shared" si="2"/>
        <v>5</v>
      </c>
      <c r="M14" s="68" t="str">
        <f t="shared" ca="1" si="0"/>
        <v>-</v>
      </c>
      <c r="N14" s="77">
        <f t="shared" si="3"/>
        <v>0</v>
      </c>
      <c r="O14" s="68">
        <f t="shared" si="4"/>
        <v>1</v>
      </c>
      <c r="P14" s="68">
        <f t="shared" si="5"/>
        <v>1</v>
      </c>
      <c r="Q14" s="162"/>
    </row>
    <row r="15" spans="1:17" s="2" customFormat="1" ht="32.25" customHeight="1" x14ac:dyDescent="0.3">
      <c r="A15" s="3">
        <v>10</v>
      </c>
      <c r="B15" s="6" t="s">
        <v>492</v>
      </c>
      <c r="C15" s="76">
        <v>2061</v>
      </c>
      <c r="D15" s="76">
        <v>2165</v>
      </c>
      <c r="E15" s="76">
        <v>0</v>
      </c>
      <c r="F15" s="76">
        <v>0</v>
      </c>
      <c r="G15" s="76">
        <v>0</v>
      </c>
      <c r="H15" s="76">
        <v>0</v>
      </c>
      <c r="I15" s="76">
        <v>0</v>
      </c>
      <c r="J15" s="76">
        <f t="shared" si="1"/>
        <v>0</v>
      </c>
      <c r="K15" s="4">
        <v>0</v>
      </c>
      <c r="L15" s="67">
        <f t="shared" si="2"/>
        <v>2165</v>
      </c>
      <c r="M15" s="68">
        <f t="shared" ca="1" si="0"/>
        <v>0</v>
      </c>
      <c r="N15" s="77">
        <f t="shared" si="3"/>
        <v>0</v>
      </c>
      <c r="O15" s="68">
        <f t="shared" si="4"/>
        <v>1</v>
      </c>
      <c r="P15" s="68">
        <f t="shared" si="5"/>
        <v>1</v>
      </c>
      <c r="Q15" s="15" t="s">
        <v>97</v>
      </c>
    </row>
    <row r="16" spans="1:17" s="2" customFormat="1" ht="15.6" x14ac:dyDescent="0.3">
      <c r="A16" s="3">
        <v>11</v>
      </c>
      <c r="B16" s="6" t="s">
        <v>493</v>
      </c>
      <c r="C16" s="76">
        <v>1</v>
      </c>
      <c r="D16" s="76">
        <v>15</v>
      </c>
      <c r="E16" s="76">
        <v>0</v>
      </c>
      <c r="F16" s="76">
        <v>0</v>
      </c>
      <c r="G16" s="76">
        <v>0</v>
      </c>
      <c r="H16" s="76">
        <v>0</v>
      </c>
      <c r="I16" s="76">
        <v>0</v>
      </c>
      <c r="J16" s="76">
        <f t="shared" si="1"/>
        <v>0</v>
      </c>
      <c r="K16" s="4">
        <v>0</v>
      </c>
      <c r="L16" s="67">
        <f t="shared" si="2"/>
        <v>15</v>
      </c>
      <c r="M16" s="68">
        <f t="shared" ca="1" si="0"/>
        <v>0</v>
      </c>
      <c r="N16" s="77">
        <f t="shared" si="3"/>
        <v>0</v>
      </c>
      <c r="O16" s="68">
        <f t="shared" si="4"/>
        <v>1</v>
      </c>
      <c r="P16" s="68">
        <f t="shared" si="5"/>
        <v>1</v>
      </c>
      <c r="Q16" s="29"/>
    </row>
    <row r="17" spans="1:17" ht="24" customHeight="1" x14ac:dyDescent="0.25">
      <c r="A17" s="3">
        <v>12</v>
      </c>
      <c r="B17" s="6" t="s">
        <v>494</v>
      </c>
      <c r="C17" s="76">
        <v>0</v>
      </c>
      <c r="D17" s="76">
        <v>40</v>
      </c>
      <c r="E17" s="76">
        <v>0</v>
      </c>
      <c r="F17" s="76">
        <v>0</v>
      </c>
      <c r="G17" s="76">
        <v>0</v>
      </c>
      <c r="H17" s="76">
        <v>0</v>
      </c>
      <c r="I17" s="76">
        <v>0</v>
      </c>
      <c r="J17" s="76">
        <f t="shared" si="1"/>
        <v>0</v>
      </c>
      <c r="K17" s="4">
        <v>0</v>
      </c>
      <c r="L17" s="67">
        <f t="shared" si="2"/>
        <v>40</v>
      </c>
      <c r="M17" s="68">
        <f t="shared" ca="1" si="0"/>
        <v>0</v>
      </c>
      <c r="N17" s="77">
        <f t="shared" si="3"/>
        <v>0</v>
      </c>
      <c r="O17" s="68">
        <f t="shared" si="4"/>
        <v>1</v>
      </c>
      <c r="P17" s="68">
        <f t="shared" si="5"/>
        <v>1</v>
      </c>
      <c r="Q17" s="162"/>
    </row>
    <row r="18" spans="1:17" ht="42" customHeight="1" x14ac:dyDescent="0.25">
      <c r="A18" s="3">
        <v>13</v>
      </c>
      <c r="B18" s="6" t="s">
        <v>495</v>
      </c>
      <c r="C18" s="76">
        <v>0</v>
      </c>
      <c r="D18" s="76">
        <v>9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f t="shared" si="1"/>
        <v>0</v>
      </c>
      <c r="K18" s="4">
        <v>0</v>
      </c>
      <c r="L18" s="67">
        <f t="shared" si="2"/>
        <v>9</v>
      </c>
      <c r="M18" s="68">
        <f t="shared" ca="1" si="0"/>
        <v>0</v>
      </c>
      <c r="N18" s="77">
        <f t="shared" si="3"/>
        <v>0</v>
      </c>
      <c r="O18" s="68">
        <f t="shared" si="4"/>
        <v>1</v>
      </c>
      <c r="P18" s="68">
        <f t="shared" si="5"/>
        <v>1</v>
      </c>
      <c r="Q18" s="32"/>
    </row>
    <row r="19" spans="1:17" ht="24" customHeight="1" x14ac:dyDescent="0.25">
      <c r="A19" s="3">
        <v>14</v>
      </c>
      <c r="B19" s="6" t="s">
        <v>496</v>
      </c>
      <c r="C19" s="76">
        <v>2</v>
      </c>
      <c r="D19" s="76">
        <v>2</v>
      </c>
      <c r="E19" s="76">
        <v>0</v>
      </c>
      <c r="F19" s="76">
        <v>0</v>
      </c>
      <c r="G19" s="76">
        <v>0</v>
      </c>
      <c r="H19" s="76">
        <v>0</v>
      </c>
      <c r="I19" s="76">
        <v>0</v>
      </c>
      <c r="J19" s="76">
        <f t="shared" si="1"/>
        <v>0</v>
      </c>
      <c r="K19" s="4">
        <v>0</v>
      </c>
      <c r="L19" s="67">
        <f t="shared" si="2"/>
        <v>2</v>
      </c>
      <c r="M19" s="68" t="str">
        <f t="shared" ca="1" si="0"/>
        <v>-</v>
      </c>
      <c r="N19" s="77">
        <f t="shared" si="3"/>
        <v>0</v>
      </c>
      <c r="O19" s="68">
        <f t="shared" si="4"/>
        <v>1</v>
      </c>
      <c r="P19" s="68">
        <f t="shared" si="5"/>
        <v>1</v>
      </c>
      <c r="Q19" s="78"/>
    </row>
    <row r="20" spans="1:17" x14ac:dyDescent="0.25">
      <c r="A20" s="3">
        <v>15</v>
      </c>
      <c r="B20" s="6" t="s">
        <v>497</v>
      </c>
      <c r="C20" s="76">
        <v>36</v>
      </c>
      <c r="D20" s="76">
        <v>26</v>
      </c>
      <c r="E20" s="76">
        <v>0</v>
      </c>
      <c r="F20" s="76">
        <v>0</v>
      </c>
      <c r="G20" s="76">
        <v>0</v>
      </c>
      <c r="H20" s="76">
        <v>0</v>
      </c>
      <c r="I20" s="76">
        <v>0</v>
      </c>
      <c r="J20" s="76">
        <f t="shared" si="1"/>
        <v>0</v>
      </c>
      <c r="K20" s="4">
        <v>0</v>
      </c>
      <c r="L20" s="67">
        <f t="shared" si="2"/>
        <v>26</v>
      </c>
      <c r="M20" s="68">
        <f t="shared" ca="1" si="0"/>
        <v>0</v>
      </c>
      <c r="N20" s="77">
        <f t="shared" si="3"/>
        <v>0</v>
      </c>
      <c r="O20" s="68">
        <f t="shared" si="4"/>
        <v>1</v>
      </c>
      <c r="P20" s="68">
        <f t="shared" si="5"/>
        <v>1</v>
      </c>
      <c r="Q20" s="51"/>
    </row>
    <row r="21" spans="1:17" x14ac:dyDescent="0.25">
      <c r="A21" s="3">
        <v>16</v>
      </c>
      <c r="B21" s="6" t="s">
        <v>498</v>
      </c>
      <c r="C21" s="76">
        <v>387</v>
      </c>
      <c r="D21" s="76">
        <v>519</v>
      </c>
      <c r="E21" s="76">
        <v>0</v>
      </c>
      <c r="F21" s="76">
        <v>0</v>
      </c>
      <c r="G21" s="76">
        <v>0</v>
      </c>
      <c r="H21" s="76">
        <v>0</v>
      </c>
      <c r="I21" s="76">
        <v>0</v>
      </c>
      <c r="J21" s="76">
        <f t="shared" si="1"/>
        <v>0</v>
      </c>
      <c r="K21" s="4">
        <v>0</v>
      </c>
      <c r="L21" s="67">
        <f t="shared" si="2"/>
        <v>519</v>
      </c>
      <c r="M21" s="68">
        <f t="shared" ca="1" si="0"/>
        <v>0</v>
      </c>
      <c r="N21" s="77">
        <f t="shared" si="3"/>
        <v>0</v>
      </c>
      <c r="O21" s="68">
        <f t="shared" si="4"/>
        <v>1</v>
      </c>
      <c r="P21" s="68">
        <f t="shared" si="5"/>
        <v>1</v>
      </c>
      <c r="Q21" s="38"/>
    </row>
    <row r="22" spans="1:17" x14ac:dyDescent="0.25">
      <c r="A22" s="3">
        <v>17</v>
      </c>
      <c r="B22" s="6" t="s">
        <v>499</v>
      </c>
      <c r="C22" s="76">
        <v>0</v>
      </c>
      <c r="D22" s="76">
        <v>0</v>
      </c>
      <c r="E22" s="76">
        <v>0</v>
      </c>
      <c r="F22" s="76">
        <v>0</v>
      </c>
      <c r="G22" s="76">
        <v>0</v>
      </c>
      <c r="H22" s="76">
        <v>0</v>
      </c>
      <c r="I22" s="76">
        <v>0</v>
      </c>
      <c r="J22" s="76">
        <f t="shared" si="1"/>
        <v>0</v>
      </c>
      <c r="K22" s="4">
        <v>0</v>
      </c>
      <c r="L22" s="67">
        <f t="shared" si="2"/>
        <v>0</v>
      </c>
      <c r="M22" s="68" t="str">
        <f t="shared" si="0"/>
        <v>-</v>
      </c>
      <c r="N22" s="77" t="str">
        <f t="shared" si="3"/>
        <v>-</v>
      </c>
      <c r="O22" s="68" t="str">
        <f t="shared" si="4"/>
        <v>-</v>
      </c>
      <c r="P22" s="68" t="str">
        <f t="shared" si="5"/>
        <v>-</v>
      </c>
      <c r="Q22" s="32"/>
    </row>
    <row r="23" spans="1:17" x14ac:dyDescent="0.25">
      <c r="A23" s="3">
        <v>18</v>
      </c>
      <c r="B23" s="6" t="s">
        <v>500</v>
      </c>
      <c r="C23" s="76">
        <v>0</v>
      </c>
      <c r="D23" s="76">
        <v>0</v>
      </c>
      <c r="E23" s="76">
        <v>0</v>
      </c>
      <c r="F23" s="76">
        <v>0</v>
      </c>
      <c r="G23" s="76">
        <v>0</v>
      </c>
      <c r="H23" s="76">
        <v>0</v>
      </c>
      <c r="I23" s="76">
        <v>0</v>
      </c>
      <c r="J23" s="76">
        <f t="shared" si="1"/>
        <v>0</v>
      </c>
      <c r="K23" s="4">
        <v>0</v>
      </c>
      <c r="L23" s="67">
        <f t="shared" si="2"/>
        <v>0</v>
      </c>
      <c r="M23" s="68" t="str">
        <f t="shared" si="0"/>
        <v>-</v>
      </c>
      <c r="N23" s="77" t="str">
        <f t="shared" si="3"/>
        <v>-</v>
      </c>
      <c r="O23" s="68" t="str">
        <f t="shared" si="4"/>
        <v>-</v>
      </c>
      <c r="P23" s="68" t="str">
        <f t="shared" si="5"/>
        <v>-</v>
      </c>
      <c r="Q23" s="32"/>
    </row>
    <row r="24" spans="1:17" ht="24" customHeight="1" x14ac:dyDescent="0.25">
      <c r="A24" s="3">
        <v>19</v>
      </c>
      <c r="B24" s="6" t="s">
        <v>501</v>
      </c>
      <c r="C24" s="76">
        <v>0</v>
      </c>
      <c r="D24" s="76">
        <v>0</v>
      </c>
      <c r="E24" s="76">
        <v>0</v>
      </c>
      <c r="F24" s="76">
        <v>0</v>
      </c>
      <c r="G24" s="76">
        <v>0</v>
      </c>
      <c r="H24" s="76">
        <v>0</v>
      </c>
      <c r="I24" s="76">
        <v>0</v>
      </c>
      <c r="J24" s="76">
        <f t="shared" si="1"/>
        <v>0</v>
      </c>
      <c r="K24" s="4">
        <v>0</v>
      </c>
      <c r="L24" s="67">
        <f t="shared" si="2"/>
        <v>0</v>
      </c>
      <c r="M24" s="68" t="str">
        <f t="shared" ref="M24:M72" si="6">IF(D24=0,"-",(M24/D24))</f>
        <v>-</v>
      </c>
      <c r="N24" s="77" t="str">
        <f t="shared" si="3"/>
        <v>-</v>
      </c>
      <c r="O24" s="68" t="str">
        <f t="shared" si="4"/>
        <v>-</v>
      </c>
      <c r="P24" s="68" t="str">
        <f t="shared" si="5"/>
        <v>-</v>
      </c>
      <c r="Q24" s="78"/>
    </row>
    <row r="25" spans="1:17" s="2" customFormat="1" ht="33" customHeight="1" x14ac:dyDescent="0.3">
      <c r="A25" s="3">
        <v>20</v>
      </c>
      <c r="B25" s="6" t="s">
        <v>502</v>
      </c>
      <c r="C25" s="76">
        <v>0</v>
      </c>
      <c r="D25" s="76">
        <v>0</v>
      </c>
      <c r="E25" s="76">
        <v>0</v>
      </c>
      <c r="F25" s="76">
        <v>0</v>
      </c>
      <c r="G25" s="76">
        <v>0</v>
      </c>
      <c r="H25" s="76">
        <v>0</v>
      </c>
      <c r="I25" s="76">
        <v>0</v>
      </c>
      <c r="J25" s="76">
        <f t="shared" si="1"/>
        <v>0</v>
      </c>
      <c r="K25" s="4">
        <v>0</v>
      </c>
      <c r="L25" s="67">
        <f t="shared" si="2"/>
        <v>0</v>
      </c>
      <c r="M25" s="68" t="str">
        <f t="shared" si="6"/>
        <v>-</v>
      </c>
      <c r="N25" s="77" t="str">
        <f t="shared" si="3"/>
        <v>-</v>
      </c>
      <c r="O25" s="68" t="str">
        <f t="shared" si="4"/>
        <v>-</v>
      </c>
      <c r="P25" s="68" t="str">
        <f t="shared" si="5"/>
        <v>-</v>
      </c>
      <c r="Q25" s="32"/>
    </row>
    <row r="26" spans="1:17" s="2" customFormat="1" ht="42" customHeight="1" x14ac:dyDescent="0.3">
      <c r="A26" s="3">
        <v>21</v>
      </c>
      <c r="B26" s="6" t="s">
        <v>503</v>
      </c>
      <c r="C26" s="76">
        <v>0</v>
      </c>
      <c r="D26" s="76">
        <v>0</v>
      </c>
      <c r="E26" s="76">
        <v>0</v>
      </c>
      <c r="F26" s="76">
        <v>0</v>
      </c>
      <c r="G26" s="76">
        <v>0</v>
      </c>
      <c r="H26" s="76">
        <v>0</v>
      </c>
      <c r="I26" s="76">
        <v>0</v>
      </c>
      <c r="J26" s="76">
        <f t="shared" si="1"/>
        <v>0</v>
      </c>
      <c r="K26" s="4">
        <v>0</v>
      </c>
      <c r="L26" s="67">
        <f t="shared" si="2"/>
        <v>0</v>
      </c>
      <c r="M26" s="68" t="str">
        <f t="shared" si="6"/>
        <v>-</v>
      </c>
      <c r="N26" s="77" t="str">
        <f t="shared" si="3"/>
        <v>-</v>
      </c>
      <c r="O26" s="68" t="str">
        <f t="shared" si="4"/>
        <v>-</v>
      </c>
      <c r="P26" s="68" t="str">
        <f t="shared" si="5"/>
        <v>-</v>
      </c>
      <c r="Q26" s="38"/>
    </row>
    <row r="27" spans="1:17" s="2" customFormat="1" ht="42.75" customHeight="1" x14ac:dyDescent="0.3">
      <c r="A27" s="3">
        <v>22</v>
      </c>
      <c r="B27" s="6" t="s">
        <v>504</v>
      </c>
      <c r="C27" s="76">
        <v>21333</v>
      </c>
      <c r="D27" s="76">
        <v>24532</v>
      </c>
      <c r="E27" s="76">
        <v>0</v>
      </c>
      <c r="F27" s="76">
        <v>0</v>
      </c>
      <c r="G27" s="76">
        <v>0</v>
      </c>
      <c r="H27" s="76">
        <v>0</v>
      </c>
      <c r="I27" s="76">
        <v>0</v>
      </c>
      <c r="J27" s="76">
        <f t="shared" si="1"/>
        <v>0</v>
      </c>
      <c r="K27" s="4">
        <v>0</v>
      </c>
      <c r="L27" s="67">
        <f t="shared" si="2"/>
        <v>24532</v>
      </c>
      <c r="M27" s="68">
        <f t="shared" ca="1" si="6"/>
        <v>0</v>
      </c>
      <c r="N27" s="77">
        <f t="shared" si="3"/>
        <v>0</v>
      </c>
      <c r="O27" s="68">
        <f>IF(D27=0,"-",(L27/D27))</f>
        <v>1</v>
      </c>
      <c r="P27" s="68">
        <f t="shared" si="5"/>
        <v>1</v>
      </c>
      <c r="Q27" s="15" t="s">
        <v>98</v>
      </c>
    </row>
    <row r="28" spans="1:17" s="2" customFormat="1" ht="35.25" customHeight="1" x14ac:dyDescent="0.3">
      <c r="A28" s="3">
        <v>23</v>
      </c>
      <c r="B28" s="6" t="s">
        <v>505</v>
      </c>
      <c r="C28" s="76">
        <v>53</v>
      </c>
      <c r="D28" s="76">
        <v>84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f t="shared" si="1"/>
        <v>0</v>
      </c>
      <c r="K28" s="4">
        <v>0</v>
      </c>
      <c r="L28" s="67">
        <f t="shared" si="2"/>
        <v>84</v>
      </c>
      <c r="M28" s="68" t="str">
        <f t="shared" ca="1" si="6"/>
        <v>-</v>
      </c>
      <c r="N28" s="77">
        <f t="shared" si="3"/>
        <v>0</v>
      </c>
      <c r="O28" s="68">
        <f t="shared" si="4"/>
        <v>1</v>
      </c>
      <c r="P28" s="68">
        <f t="shared" si="5"/>
        <v>1</v>
      </c>
      <c r="Q28" s="176"/>
    </row>
    <row r="29" spans="1:17" s="2" customFormat="1" ht="42.75" customHeight="1" x14ac:dyDescent="0.3">
      <c r="A29" s="3">
        <v>24</v>
      </c>
      <c r="B29" s="6" t="s">
        <v>506</v>
      </c>
      <c r="C29" s="76">
        <v>13632</v>
      </c>
      <c r="D29" s="76">
        <v>6915</v>
      </c>
      <c r="E29" s="76">
        <v>0</v>
      </c>
      <c r="F29" s="76">
        <v>0</v>
      </c>
      <c r="G29" s="76">
        <v>0</v>
      </c>
      <c r="H29" s="76">
        <v>0</v>
      </c>
      <c r="I29" s="76">
        <v>0</v>
      </c>
      <c r="J29" s="76">
        <f t="shared" si="1"/>
        <v>0</v>
      </c>
      <c r="K29" s="4">
        <v>0</v>
      </c>
      <c r="L29" s="67">
        <f t="shared" si="2"/>
        <v>6915</v>
      </c>
      <c r="M29" s="68">
        <f t="shared" ca="1" si="6"/>
        <v>0</v>
      </c>
      <c r="N29" s="77">
        <f t="shared" si="3"/>
        <v>0</v>
      </c>
      <c r="O29" s="68">
        <f>IF(D29=0,"-",(L29/D29))</f>
        <v>1</v>
      </c>
      <c r="P29" s="68">
        <f t="shared" si="5"/>
        <v>1</v>
      </c>
      <c r="Q29" s="14" t="s">
        <v>99</v>
      </c>
    </row>
    <row r="30" spans="1:17" ht="37.5" customHeight="1" x14ac:dyDescent="0.25">
      <c r="A30" s="3">
        <v>25</v>
      </c>
      <c r="B30" s="6" t="s">
        <v>507</v>
      </c>
      <c r="C30" s="76">
        <v>276</v>
      </c>
      <c r="D30" s="76">
        <v>93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f t="shared" si="1"/>
        <v>0</v>
      </c>
      <c r="K30" s="4">
        <v>0</v>
      </c>
      <c r="L30" s="67">
        <f t="shared" si="2"/>
        <v>93</v>
      </c>
      <c r="M30" s="68">
        <f t="shared" ca="1" si="6"/>
        <v>0</v>
      </c>
      <c r="N30" s="77">
        <f t="shared" si="3"/>
        <v>0</v>
      </c>
      <c r="O30" s="68">
        <f t="shared" si="4"/>
        <v>1</v>
      </c>
      <c r="P30" s="68">
        <f t="shared" si="5"/>
        <v>1</v>
      </c>
      <c r="Q30" s="37"/>
    </row>
    <row r="31" spans="1:17" ht="45.75" customHeight="1" x14ac:dyDescent="0.25">
      <c r="A31" s="3">
        <v>26</v>
      </c>
      <c r="B31" s="6" t="s">
        <v>508</v>
      </c>
      <c r="C31" s="76">
        <v>1399</v>
      </c>
      <c r="D31" s="76">
        <v>1143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f t="shared" si="1"/>
        <v>0</v>
      </c>
      <c r="K31" s="4">
        <v>0</v>
      </c>
      <c r="L31" s="67">
        <f t="shared" si="2"/>
        <v>1143</v>
      </c>
      <c r="M31" s="68" t="str">
        <f t="shared" ca="1" si="6"/>
        <v>-</v>
      </c>
      <c r="N31" s="77">
        <f t="shared" si="3"/>
        <v>0</v>
      </c>
      <c r="O31" s="68">
        <f t="shared" si="4"/>
        <v>1</v>
      </c>
      <c r="P31" s="68">
        <f t="shared" si="5"/>
        <v>1</v>
      </c>
      <c r="Q31" s="14" t="s">
        <v>100</v>
      </c>
    </row>
    <row r="32" spans="1:17" s="2" customFormat="1" x14ac:dyDescent="0.3">
      <c r="A32" s="3">
        <v>27</v>
      </c>
      <c r="B32" s="6" t="s">
        <v>509</v>
      </c>
      <c r="C32" s="76">
        <v>44</v>
      </c>
      <c r="D32" s="76">
        <v>82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f t="shared" si="1"/>
        <v>0</v>
      </c>
      <c r="K32" s="4">
        <v>0</v>
      </c>
      <c r="L32" s="67">
        <f t="shared" si="2"/>
        <v>82</v>
      </c>
      <c r="M32" s="68">
        <f t="shared" ca="1" si="6"/>
        <v>0</v>
      </c>
      <c r="N32" s="77">
        <f t="shared" si="3"/>
        <v>0</v>
      </c>
      <c r="O32" s="68">
        <f t="shared" si="4"/>
        <v>1</v>
      </c>
      <c r="P32" s="68">
        <f t="shared" si="5"/>
        <v>1</v>
      </c>
      <c r="Q32" s="14" t="s">
        <v>96</v>
      </c>
    </row>
    <row r="33" spans="1:17" x14ac:dyDescent="0.25">
      <c r="A33" s="3">
        <v>28</v>
      </c>
      <c r="B33" s="6" t="s">
        <v>510</v>
      </c>
      <c r="C33" s="76">
        <v>0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f t="shared" si="1"/>
        <v>0</v>
      </c>
      <c r="K33" s="4">
        <v>0</v>
      </c>
      <c r="L33" s="67">
        <f t="shared" si="2"/>
        <v>0</v>
      </c>
      <c r="M33" s="68" t="str">
        <f t="shared" si="6"/>
        <v>-</v>
      </c>
      <c r="N33" s="77" t="str">
        <f t="shared" si="3"/>
        <v>-</v>
      </c>
      <c r="O33" s="68" t="str">
        <f t="shared" si="4"/>
        <v>-</v>
      </c>
      <c r="P33" s="68" t="str">
        <f t="shared" si="5"/>
        <v>-</v>
      </c>
      <c r="Q33" s="78"/>
    </row>
    <row r="34" spans="1:17" x14ac:dyDescent="0.25">
      <c r="A34" s="3">
        <v>29</v>
      </c>
      <c r="B34" s="6" t="s">
        <v>511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f t="shared" si="1"/>
        <v>0</v>
      </c>
      <c r="K34" s="4">
        <v>0</v>
      </c>
      <c r="L34" s="67">
        <f t="shared" si="2"/>
        <v>0</v>
      </c>
      <c r="M34" s="68" t="str">
        <f t="shared" si="6"/>
        <v>-</v>
      </c>
      <c r="N34" s="77" t="str">
        <f t="shared" si="3"/>
        <v>-</v>
      </c>
      <c r="O34" s="68" t="str">
        <f t="shared" si="4"/>
        <v>-</v>
      </c>
      <c r="P34" s="68" t="str">
        <f t="shared" si="5"/>
        <v>-</v>
      </c>
      <c r="Q34" s="78"/>
    </row>
    <row r="35" spans="1:17" x14ac:dyDescent="0.25">
      <c r="A35" s="3">
        <v>30</v>
      </c>
      <c r="B35" s="6" t="s">
        <v>512</v>
      </c>
      <c r="C35" s="76">
        <v>0</v>
      </c>
      <c r="D35" s="76">
        <v>0</v>
      </c>
      <c r="E35" s="76">
        <v>0</v>
      </c>
      <c r="F35" s="76">
        <v>0</v>
      </c>
      <c r="G35" s="76">
        <v>0</v>
      </c>
      <c r="H35" s="76">
        <v>0</v>
      </c>
      <c r="I35" s="76">
        <v>0</v>
      </c>
      <c r="J35" s="76">
        <f t="shared" si="1"/>
        <v>0</v>
      </c>
      <c r="K35" s="4">
        <v>0</v>
      </c>
      <c r="L35" s="67">
        <f t="shared" si="2"/>
        <v>0</v>
      </c>
      <c r="M35" s="68" t="str">
        <f t="shared" si="6"/>
        <v>-</v>
      </c>
      <c r="N35" s="77" t="str">
        <f t="shared" si="3"/>
        <v>-</v>
      </c>
      <c r="O35" s="68" t="str">
        <f t="shared" si="4"/>
        <v>-</v>
      </c>
      <c r="P35" s="68" t="str">
        <f t="shared" si="5"/>
        <v>-</v>
      </c>
      <c r="Q35" s="78"/>
    </row>
    <row r="36" spans="1:17" x14ac:dyDescent="0.25">
      <c r="A36" s="3">
        <v>31</v>
      </c>
      <c r="B36" s="6" t="s">
        <v>513</v>
      </c>
      <c r="C36" s="76">
        <v>0</v>
      </c>
      <c r="D36" s="76">
        <v>0</v>
      </c>
      <c r="E36" s="76">
        <v>0</v>
      </c>
      <c r="F36" s="76">
        <v>0</v>
      </c>
      <c r="G36" s="76">
        <v>0</v>
      </c>
      <c r="H36" s="76">
        <v>0</v>
      </c>
      <c r="I36" s="76">
        <v>0</v>
      </c>
      <c r="J36" s="76">
        <f t="shared" si="1"/>
        <v>0</v>
      </c>
      <c r="K36" s="4">
        <v>0</v>
      </c>
      <c r="L36" s="67">
        <f t="shared" si="2"/>
        <v>0</v>
      </c>
      <c r="M36" s="68" t="str">
        <f t="shared" si="6"/>
        <v>-</v>
      </c>
      <c r="N36" s="77" t="str">
        <f t="shared" si="3"/>
        <v>-</v>
      </c>
      <c r="O36" s="68" t="str">
        <f t="shared" si="4"/>
        <v>-</v>
      </c>
      <c r="P36" s="68" t="str">
        <f t="shared" si="5"/>
        <v>-</v>
      </c>
      <c r="Q36" s="51"/>
    </row>
    <row r="37" spans="1:17" x14ac:dyDescent="0.25">
      <c r="A37" s="3">
        <v>32</v>
      </c>
      <c r="B37" s="6" t="s">
        <v>514</v>
      </c>
      <c r="C37" s="76">
        <v>0</v>
      </c>
      <c r="D37" s="76">
        <v>0</v>
      </c>
      <c r="E37" s="76">
        <v>0</v>
      </c>
      <c r="F37" s="76">
        <v>0</v>
      </c>
      <c r="G37" s="76">
        <v>0</v>
      </c>
      <c r="H37" s="76">
        <v>0</v>
      </c>
      <c r="I37" s="76">
        <v>0</v>
      </c>
      <c r="J37" s="76">
        <f t="shared" si="1"/>
        <v>0</v>
      </c>
      <c r="K37" s="4">
        <v>0</v>
      </c>
      <c r="L37" s="67">
        <f t="shared" si="2"/>
        <v>0</v>
      </c>
      <c r="M37" s="68" t="str">
        <f t="shared" si="6"/>
        <v>-</v>
      </c>
      <c r="N37" s="77" t="str">
        <f t="shared" si="3"/>
        <v>-</v>
      </c>
      <c r="O37" s="68" t="str">
        <f t="shared" si="4"/>
        <v>-</v>
      </c>
      <c r="P37" s="68" t="str">
        <f t="shared" si="5"/>
        <v>-</v>
      </c>
      <c r="Q37" s="78"/>
    </row>
    <row r="38" spans="1:17" x14ac:dyDescent="0.25">
      <c r="A38" s="3">
        <v>33</v>
      </c>
      <c r="B38" s="6" t="s">
        <v>515</v>
      </c>
      <c r="C38" s="76">
        <v>0</v>
      </c>
      <c r="D38" s="76">
        <v>0</v>
      </c>
      <c r="E38" s="76">
        <v>0</v>
      </c>
      <c r="F38" s="76">
        <v>0</v>
      </c>
      <c r="G38" s="76">
        <v>0</v>
      </c>
      <c r="H38" s="76">
        <v>0</v>
      </c>
      <c r="I38" s="76">
        <v>0</v>
      </c>
      <c r="J38" s="76">
        <f t="shared" si="1"/>
        <v>0</v>
      </c>
      <c r="K38" s="4">
        <v>0</v>
      </c>
      <c r="L38" s="67">
        <f t="shared" si="2"/>
        <v>0</v>
      </c>
      <c r="M38" s="68" t="str">
        <f t="shared" si="6"/>
        <v>-</v>
      </c>
      <c r="N38" s="77" t="str">
        <f t="shared" si="3"/>
        <v>-</v>
      </c>
      <c r="O38" s="68" t="str">
        <f t="shared" si="4"/>
        <v>-</v>
      </c>
      <c r="P38" s="68" t="str">
        <f t="shared" si="5"/>
        <v>-</v>
      </c>
      <c r="Q38" s="78"/>
    </row>
    <row r="39" spans="1:17" x14ac:dyDescent="0.25">
      <c r="A39" s="3">
        <v>34</v>
      </c>
      <c r="B39" s="6" t="s">
        <v>516</v>
      </c>
      <c r="C39" s="76">
        <v>136</v>
      </c>
      <c r="D39" s="76">
        <v>129</v>
      </c>
      <c r="E39" s="76">
        <v>0</v>
      </c>
      <c r="F39" s="76">
        <v>0</v>
      </c>
      <c r="G39" s="76">
        <v>0</v>
      </c>
      <c r="H39" s="76">
        <v>0</v>
      </c>
      <c r="I39" s="76">
        <v>0</v>
      </c>
      <c r="J39" s="76">
        <f t="shared" si="1"/>
        <v>0</v>
      </c>
      <c r="K39" s="4">
        <v>0</v>
      </c>
      <c r="L39" s="67">
        <f t="shared" si="2"/>
        <v>129</v>
      </c>
      <c r="M39" s="68">
        <f t="shared" ca="1" si="6"/>
        <v>0</v>
      </c>
      <c r="N39" s="77">
        <f t="shared" si="3"/>
        <v>0</v>
      </c>
      <c r="O39" s="68">
        <f t="shared" si="4"/>
        <v>1</v>
      </c>
      <c r="P39" s="68">
        <f t="shared" si="5"/>
        <v>1</v>
      </c>
      <c r="Q39" s="32"/>
    </row>
    <row r="40" spans="1:17" ht="15.6" x14ac:dyDescent="0.3">
      <c r="A40" s="3">
        <v>35</v>
      </c>
      <c r="B40" s="6" t="s">
        <v>517</v>
      </c>
      <c r="C40" s="76">
        <v>0</v>
      </c>
      <c r="D40" s="76">
        <v>0</v>
      </c>
      <c r="E40" s="76">
        <v>0</v>
      </c>
      <c r="F40" s="76">
        <v>0</v>
      </c>
      <c r="G40" s="76">
        <v>0</v>
      </c>
      <c r="H40" s="76">
        <v>0</v>
      </c>
      <c r="I40" s="76">
        <v>0</v>
      </c>
      <c r="J40" s="76">
        <f t="shared" si="1"/>
        <v>0</v>
      </c>
      <c r="K40" s="4">
        <v>0</v>
      </c>
      <c r="L40" s="67">
        <f t="shared" si="2"/>
        <v>0</v>
      </c>
      <c r="M40" s="68" t="str">
        <f t="shared" si="6"/>
        <v>-</v>
      </c>
      <c r="N40" s="77" t="str">
        <f t="shared" si="3"/>
        <v>-</v>
      </c>
      <c r="O40" s="68" t="str">
        <f t="shared" si="4"/>
        <v>-</v>
      </c>
      <c r="P40" s="68" t="str">
        <f t="shared" si="5"/>
        <v>-</v>
      </c>
      <c r="Q40" s="79"/>
    </row>
    <row r="41" spans="1:17" x14ac:dyDescent="0.25">
      <c r="A41" s="3">
        <v>36</v>
      </c>
      <c r="B41" s="6" t="s">
        <v>518</v>
      </c>
      <c r="C41" s="76">
        <v>0</v>
      </c>
      <c r="D41" s="76">
        <v>0</v>
      </c>
      <c r="E41" s="76">
        <v>0</v>
      </c>
      <c r="F41" s="76">
        <v>0</v>
      </c>
      <c r="G41" s="76">
        <v>0</v>
      </c>
      <c r="H41" s="76">
        <v>0</v>
      </c>
      <c r="I41" s="76">
        <v>0</v>
      </c>
      <c r="J41" s="76">
        <f t="shared" si="1"/>
        <v>0</v>
      </c>
      <c r="K41" s="4">
        <v>0</v>
      </c>
      <c r="L41" s="67">
        <f t="shared" si="2"/>
        <v>0</v>
      </c>
      <c r="M41" s="68" t="str">
        <f t="shared" si="6"/>
        <v>-</v>
      </c>
      <c r="N41" s="77" t="str">
        <f t="shared" si="3"/>
        <v>-</v>
      </c>
      <c r="O41" s="68" t="str">
        <f t="shared" si="4"/>
        <v>-</v>
      </c>
      <c r="P41" s="68" t="str">
        <f t="shared" si="5"/>
        <v>-</v>
      </c>
      <c r="Q41" s="78"/>
    </row>
    <row r="42" spans="1:17" x14ac:dyDescent="0.25">
      <c r="A42" s="3">
        <v>37</v>
      </c>
      <c r="B42" s="6" t="s">
        <v>519</v>
      </c>
      <c r="C42" s="76">
        <v>0</v>
      </c>
      <c r="D42" s="76">
        <v>0</v>
      </c>
      <c r="E42" s="76">
        <v>0</v>
      </c>
      <c r="F42" s="76">
        <v>0</v>
      </c>
      <c r="G42" s="76">
        <v>0</v>
      </c>
      <c r="H42" s="76">
        <v>0</v>
      </c>
      <c r="I42" s="76">
        <v>0</v>
      </c>
      <c r="J42" s="76">
        <f t="shared" si="1"/>
        <v>0</v>
      </c>
      <c r="K42" s="4">
        <v>0</v>
      </c>
      <c r="L42" s="67">
        <f t="shared" si="2"/>
        <v>0</v>
      </c>
      <c r="M42" s="68" t="str">
        <f t="shared" si="6"/>
        <v>-</v>
      </c>
      <c r="N42" s="77" t="str">
        <f t="shared" si="3"/>
        <v>-</v>
      </c>
      <c r="O42" s="68" t="str">
        <f t="shared" si="4"/>
        <v>-</v>
      </c>
      <c r="P42" s="68" t="str">
        <f t="shared" si="5"/>
        <v>-</v>
      </c>
      <c r="Q42" s="78"/>
    </row>
    <row r="43" spans="1:17" ht="19.5" customHeight="1" x14ac:dyDescent="0.25">
      <c r="A43" s="3">
        <v>38</v>
      </c>
      <c r="B43" s="6" t="s">
        <v>520</v>
      </c>
      <c r="C43" s="76">
        <v>148</v>
      </c>
      <c r="D43" s="76">
        <v>93</v>
      </c>
      <c r="E43" s="76">
        <v>0</v>
      </c>
      <c r="F43" s="76">
        <v>0</v>
      </c>
      <c r="G43" s="76">
        <v>0</v>
      </c>
      <c r="H43" s="76">
        <v>0</v>
      </c>
      <c r="I43" s="76">
        <v>0</v>
      </c>
      <c r="J43" s="76">
        <f t="shared" si="1"/>
        <v>0</v>
      </c>
      <c r="K43" s="4">
        <v>0</v>
      </c>
      <c r="L43" s="67">
        <f t="shared" si="2"/>
        <v>93</v>
      </c>
      <c r="M43" s="68">
        <f t="shared" ca="1" si="6"/>
        <v>0</v>
      </c>
      <c r="N43" s="77">
        <f t="shared" si="3"/>
        <v>0</v>
      </c>
      <c r="O43" s="68">
        <f t="shared" si="4"/>
        <v>1</v>
      </c>
      <c r="P43" s="68">
        <f t="shared" si="5"/>
        <v>1</v>
      </c>
      <c r="Q43" s="51"/>
    </row>
    <row r="44" spans="1:17" ht="49.5" customHeight="1" x14ac:dyDescent="0.25">
      <c r="A44" s="3">
        <v>39</v>
      </c>
      <c r="B44" s="6" t="s">
        <v>521</v>
      </c>
      <c r="C44" s="76">
        <v>108</v>
      </c>
      <c r="D44" s="76">
        <v>83</v>
      </c>
      <c r="E44" s="76">
        <v>0</v>
      </c>
      <c r="F44" s="76">
        <v>1</v>
      </c>
      <c r="G44" s="76">
        <v>0</v>
      </c>
      <c r="H44" s="76">
        <v>0</v>
      </c>
      <c r="I44" s="76">
        <v>0</v>
      </c>
      <c r="J44" s="76">
        <f t="shared" si="1"/>
        <v>1</v>
      </c>
      <c r="K44" s="4">
        <v>0</v>
      </c>
      <c r="L44" s="67">
        <f t="shared" si="2"/>
        <v>82</v>
      </c>
      <c r="M44" s="68">
        <f t="shared" ca="1" si="6"/>
        <v>0</v>
      </c>
      <c r="N44" s="77">
        <f t="shared" si="3"/>
        <v>0</v>
      </c>
      <c r="O44" s="68">
        <f t="shared" si="4"/>
        <v>0.98795180722891562</v>
      </c>
      <c r="P44" s="68">
        <f t="shared" si="5"/>
        <v>0.98795180722891562</v>
      </c>
      <c r="Q44" s="123" t="s">
        <v>552</v>
      </c>
    </row>
    <row r="45" spans="1:17" ht="28.5" customHeight="1" x14ac:dyDescent="0.25">
      <c r="A45" s="3">
        <v>40</v>
      </c>
      <c r="B45" s="6" t="s">
        <v>522</v>
      </c>
      <c r="C45" s="76">
        <v>0</v>
      </c>
      <c r="D45" s="76">
        <v>20</v>
      </c>
      <c r="E45" s="76">
        <v>0</v>
      </c>
      <c r="F45" s="76">
        <v>0</v>
      </c>
      <c r="G45" s="76">
        <v>0</v>
      </c>
      <c r="H45" s="76">
        <v>0</v>
      </c>
      <c r="I45" s="76">
        <v>0</v>
      </c>
      <c r="J45" s="76">
        <f t="shared" si="1"/>
        <v>0</v>
      </c>
      <c r="K45" s="4">
        <v>0</v>
      </c>
      <c r="L45" s="67">
        <f t="shared" si="2"/>
        <v>20</v>
      </c>
      <c r="M45" s="68">
        <f t="shared" ca="1" si="6"/>
        <v>0</v>
      </c>
      <c r="N45" s="77">
        <f t="shared" si="3"/>
        <v>0</v>
      </c>
      <c r="O45" s="68">
        <f t="shared" si="4"/>
        <v>1</v>
      </c>
      <c r="P45" s="68">
        <f t="shared" si="5"/>
        <v>1</v>
      </c>
      <c r="Q45" s="38"/>
    </row>
    <row r="46" spans="1:17" s="2" customFormat="1" ht="48" customHeight="1" x14ac:dyDescent="0.3">
      <c r="A46" s="3">
        <v>41</v>
      </c>
      <c r="B46" s="6" t="s">
        <v>523</v>
      </c>
      <c r="C46" s="76">
        <v>80</v>
      </c>
      <c r="D46" s="76">
        <v>43</v>
      </c>
      <c r="E46" s="76">
        <v>0</v>
      </c>
      <c r="F46" s="76">
        <v>0</v>
      </c>
      <c r="G46" s="76">
        <v>0</v>
      </c>
      <c r="H46" s="76">
        <v>0</v>
      </c>
      <c r="I46" s="76">
        <v>0</v>
      </c>
      <c r="J46" s="76">
        <f t="shared" si="1"/>
        <v>0</v>
      </c>
      <c r="K46" s="4">
        <v>0</v>
      </c>
      <c r="L46" s="67">
        <f t="shared" si="2"/>
        <v>43</v>
      </c>
      <c r="M46" s="68" t="str">
        <f t="shared" ca="1" si="6"/>
        <v>-</v>
      </c>
      <c r="N46" s="77">
        <f t="shared" si="3"/>
        <v>0</v>
      </c>
      <c r="O46" s="68">
        <f t="shared" si="4"/>
        <v>1</v>
      </c>
      <c r="P46" s="68">
        <f t="shared" si="5"/>
        <v>1</v>
      </c>
      <c r="Q46" s="5"/>
    </row>
    <row r="47" spans="1:17" x14ac:dyDescent="0.25">
      <c r="A47" s="3">
        <v>42</v>
      </c>
      <c r="B47" s="6" t="s">
        <v>524</v>
      </c>
      <c r="C47" s="80">
        <v>0</v>
      </c>
      <c r="D47" s="80">
        <v>0</v>
      </c>
      <c r="E47" s="76">
        <v>0</v>
      </c>
      <c r="F47" s="76">
        <v>0</v>
      </c>
      <c r="G47" s="76">
        <v>0</v>
      </c>
      <c r="H47" s="76">
        <v>0</v>
      </c>
      <c r="I47" s="76">
        <v>0</v>
      </c>
      <c r="J47" s="76">
        <f t="shared" si="1"/>
        <v>0</v>
      </c>
      <c r="K47" s="4">
        <v>0</v>
      </c>
      <c r="L47" s="67">
        <f>(D47-J47-K47)</f>
        <v>0</v>
      </c>
      <c r="M47" s="68" t="str">
        <f t="shared" si="6"/>
        <v>-</v>
      </c>
      <c r="N47" s="77" t="str">
        <f t="shared" si="3"/>
        <v>-</v>
      </c>
      <c r="O47" s="68" t="str">
        <f t="shared" si="4"/>
        <v>-</v>
      </c>
      <c r="P47" s="68" t="str">
        <f t="shared" si="5"/>
        <v>-</v>
      </c>
      <c r="Q47" s="38"/>
    </row>
    <row r="48" spans="1:17" ht="24" customHeight="1" x14ac:dyDescent="0.25">
      <c r="A48" s="3">
        <v>43</v>
      </c>
      <c r="B48" s="6" t="s">
        <v>525</v>
      </c>
      <c r="C48" s="76">
        <v>0</v>
      </c>
      <c r="D48" s="76">
        <v>0</v>
      </c>
      <c r="E48" s="76">
        <v>0</v>
      </c>
      <c r="F48" s="76">
        <v>0</v>
      </c>
      <c r="G48" s="76">
        <v>0</v>
      </c>
      <c r="H48" s="76">
        <v>0</v>
      </c>
      <c r="I48" s="76">
        <v>0</v>
      </c>
      <c r="J48" s="76">
        <f t="shared" si="1"/>
        <v>0</v>
      </c>
      <c r="K48" s="4">
        <v>0</v>
      </c>
      <c r="L48" s="67">
        <f t="shared" si="2"/>
        <v>0</v>
      </c>
      <c r="M48" s="68" t="str">
        <f t="shared" si="6"/>
        <v>-</v>
      </c>
      <c r="N48" s="77" t="str">
        <f t="shared" si="3"/>
        <v>-</v>
      </c>
      <c r="O48" s="68" t="str">
        <f t="shared" si="4"/>
        <v>-</v>
      </c>
      <c r="P48" s="68" t="str">
        <f t="shared" si="5"/>
        <v>-</v>
      </c>
      <c r="Q48" s="78"/>
    </row>
    <row r="49" spans="1:17" x14ac:dyDescent="0.25">
      <c r="A49" s="3">
        <v>44</v>
      </c>
      <c r="B49" s="6" t="s">
        <v>526</v>
      </c>
      <c r="C49" s="76">
        <v>0</v>
      </c>
      <c r="D49" s="76">
        <v>0</v>
      </c>
      <c r="E49" s="76">
        <v>0</v>
      </c>
      <c r="F49" s="76">
        <v>0</v>
      </c>
      <c r="G49" s="76">
        <v>0</v>
      </c>
      <c r="H49" s="76">
        <v>0</v>
      </c>
      <c r="I49" s="76">
        <v>0</v>
      </c>
      <c r="J49" s="76">
        <f t="shared" si="1"/>
        <v>0</v>
      </c>
      <c r="K49" s="4">
        <v>0</v>
      </c>
      <c r="L49" s="67">
        <f t="shared" si="2"/>
        <v>0</v>
      </c>
      <c r="M49" s="68" t="str">
        <f t="shared" si="6"/>
        <v>-</v>
      </c>
      <c r="N49" s="77" t="str">
        <f t="shared" si="3"/>
        <v>-</v>
      </c>
      <c r="O49" s="68" t="str">
        <f t="shared" si="4"/>
        <v>-</v>
      </c>
      <c r="P49" s="68" t="str">
        <f t="shared" si="5"/>
        <v>-</v>
      </c>
      <c r="Q49" s="32"/>
    </row>
    <row r="50" spans="1:17" ht="24" customHeight="1" x14ac:dyDescent="0.25">
      <c r="A50" s="3">
        <v>45</v>
      </c>
      <c r="B50" s="6" t="s">
        <v>527</v>
      </c>
      <c r="C50" s="76">
        <v>0</v>
      </c>
      <c r="D50" s="76">
        <v>0</v>
      </c>
      <c r="E50" s="76">
        <v>0</v>
      </c>
      <c r="F50" s="76">
        <v>0</v>
      </c>
      <c r="G50" s="76">
        <v>0</v>
      </c>
      <c r="H50" s="76">
        <v>0</v>
      </c>
      <c r="I50" s="76">
        <v>0</v>
      </c>
      <c r="J50" s="76">
        <f t="shared" si="1"/>
        <v>0</v>
      </c>
      <c r="K50" s="4">
        <v>0</v>
      </c>
      <c r="L50" s="67">
        <f t="shared" si="2"/>
        <v>0</v>
      </c>
      <c r="M50" s="68" t="str">
        <f t="shared" si="6"/>
        <v>-</v>
      </c>
      <c r="N50" s="77" t="str">
        <f t="shared" si="3"/>
        <v>-</v>
      </c>
      <c r="O50" s="68" t="str">
        <f t="shared" si="4"/>
        <v>-</v>
      </c>
      <c r="P50" s="68" t="str">
        <f t="shared" si="5"/>
        <v>-</v>
      </c>
      <c r="Q50" s="78"/>
    </row>
    <row r="51" spans="1:17" ht="19.5" customHeight="1" x14ac:dyDescent="0.25">
      <c r="A51" s="3">
        <v>46</v>
      </c>
      <c r="B51" s="6" t="s">
        <v>528</v>
      </c>
      <c r="C51" s="81">
        <v>0</v>
      </c>
      <c r="D51" s="81">
        <v>0</v>
      </c>
      <c r="E51" s="76">
        <v>0</v>
      </c>
      <c r="F51" s="76">
        <v>0</v>
      </c>
      <c r="G51" s="76">
        <v>0</v>
      </c>
      <c r="H51" s="76">
        <v>0</v>
      </c>
      <c r="I51" s="76">
        <v>0</v>
      </c>
      <c r="J51" s="76">
        <f t="shared" si="1"/>
        <v>0</v>
      </c>
      <c r="K51" s="4">
        <v>0</v>
      </c>
      <c r="L51" s="67">
        <f t="shared" si="2"/>
        <v>0</v>
      </c>
      <c r="M51" s="68" t="str">
        <f t="shared" si="6"/>
        <v>-</v>
      </c>
      <c r="N51" s="77" t="str">
        <f t="shared" si="3"/>
        <v>-</v>
      </c>
      <c r="O51" s="68" t="str">
        <f t="shared" si="4"/>
        <v>-</v>
      </c>
      <c r="P51" s="68" t="str">
        <f t="shared" si="5"/>
        <v>-</v>
      </c>
      <c r="Q51" s="78"/>
    </row>
    <row r="52" spans="1:17" s="2" customFormat="1" x14ac:dyDescent="0.3">
      <c r="A52" s="3">
        <v>47</v>
      </c>
      <c r="B52" s="6" t="s">
        <v>529</v>
      </c>
      <c r="C52" s="76">
        <v>100</v>
      </c>
      <c r="D52" s="76">
        <v>93</v>
      </c>
      <c r="E52" s="76">
        <v>0</v>
      </c>
      <c r="F52" s="76">
        <v>0</v>
      </c>
      <c r="G52" s="76">
        <v>0</v>
      </c>
      <c r="H52" s="76">
        <v>0</v>
      </c>
      <c r="I52" s="76">
        <v>0</v>
      </c>
      <c r="J52" s="76">
        <f t="shared" si="1"/>
        <v>0</v>
      </c>
      <c r="K52" s="4">
        <v>0</v>
      </c>
      <c r="L52" s="67">
        <f t="shared" si="2"/>
        <v>93</v>
      </c>
      <c r="M52" s="68">
        <f t="shared" ca="1" si="6"/>
        <v>0</v>
      </c>
      <c r="N52" s="77">
        <f t="shared" si="3"/>
        <v>0</v>
      </c>
      <c r="O52" s="68">
        <f t="shared" si="4"/>
        <v>1</v>
      </c>
      <c r="P52" s="68">
        <f t="shared" si="5"/>
        <v>1</v>
      </c>
      <c r="Q52" s="38"/>
    </row>
    <row r="53" spans="1:17" x14ac:dyDescent="0.25">
      <c r="A53" s="3">
        <v>48</v>
      </c>
      <c r="B53" s="6" t="s">
        <v>530</v>
      </c>
      <c r="C53" s="76">
        <v>29</v>
      </c>
      <c r="D53" s="76">
        <v>80</v>
      </c>
      <c r="E53" s="76">
        <v>0</v>
      </c>
      <c r="F53" s="76">
        <v>0</v>
      </c>
      <c r="G53" s="76">
        <v>0</v>
      </c>
      <c r="H53" s="76">
        <v>0</v>
      </c>
      <c r="I53" s="76">
        <v>0</v>
      </c>
      <c r="J53" s="76">
        <f t="shared" si="1"/>
        <v>0</v>
      </c>
      <c r="K53" s="4">
        <v>0</v>
      </c>
      <c r="L53" s="67">
        <f t="shared" si="2"/>
        <v>80</v>
      </c>
      <c r="M53" s="68">
        <f t="shared" ca="1" si="6"/>
        <v>0</v>
      </c>
      <c r="N53" s="77">
        <f t="shared" si="3"/>
        <v>0</v>
      </c>
      <c r="O53" s="68">
        <f t="shared" si="4"/>
        <v>1</v>
      </c>
      <c r="P53" s="68">
        <f t="shared" si="5"/>
        <v>1</v>
      </c>
      <c r="Q53" s="32"/>
    </row>
    <row r="54" spans="1:17" s="2" customFormat="1" x14ac:dyDescent="0.3">
      <c r="A54" s="3">
        <v>49</v>
      </c>
      <c r="B54" s="6" t="s">
        <v>531</v>
      </c>
      <c r="C54" s="76">
        <v>158</v>
      </c>
      <c r="D54" s="76">
        <v>184</v>
      </c>
      <c r="E54" s="76">
        <v>0</v>
      </c>
      <c r="F54" s="76">
        <v>0</v>
      </c>
      <c r="G54" s="76">
        <v>0</v>
      </c>
      <c r="H54" s="76">
        <v>0</v>
      </c>
      <c r="I54" s="76">
        <v>0</v>
      </c>
      <c r="J54" s="76">
        <f t="shared" si="1"/>
        <v>0</v>
      </c>
      <c r="K54" s="4">
        <v>0</v>
      </c>
      <c r="L54" s="67">
        <f t="shared" si="2"/>
        <v>184</v>
      </c>
      <c r="M54" s="68">
        <f t="shared" ca="1" si="6"/>
        <v>0</v>
      </c>
      <c r="N54" s="77">
        <f t="shared" si="3"/>
        <v>0</v>
      </c>
      <c r="O54" s="68">
        <f t="shared" si="4"/>
        <v>1</v>
      </c>
      <c r="P54" s="68">
        <f t="shared" si="5"/>
        <v>1</v>
      </c>
      <c r="Q54" s="162"/>
    </row>
    <row r="55" spans="1:17" ht="15.6" x14ac:dyDescent="0.25">
      <c r="A55" s="3">
        <v>50</v>
      </c>
      <c r="B55" s="6" t="s">
        <v>532</v>
      </c>
      <c r="C55" s="76">
        <v>0</v>
      </c>
      <c r="D55" s="76">
        <v>0</v>
      </c>
      <c r="E55" s="76">
        <v>0</v>
      </c>
      <c r="F55" s="76">
        <v>0</v>
      </c>
      <c r="G55" s="76">
        <v>0</v>
      </c>
      <c r="H55" s="76">
        <v>0</v>
      </c>
      <c r="I55" s="76">
        <v>0</v>
      </c>
      <c r="J55" s="76">
        <f t="shared" si="1"/>
        <v>0</v>
      </c>
      <c r="K55" s="4">
        <v>0</v>
      </c>
      <c r="L55" s="67">
        <f t="shared" si="2"/>
        <v>0</v>
      </c>
      <c r="M55" s="68" t="str">
        <f t="shared" si="6"/>
        <v>-</v>
      </c>
      <c r="N55" s="77" t="str">
        <f t="shared" si="3"/>
        <v>-</v>
      </c>
      <c r="O55" s="68" t="str">
        <f t="shared" si="4"/>
        <v>-</v>
      </c>
      <c r="P55" s="68" t="str">
        <f t="shared" si="5"/>
        <v>-</v>
      </c>
      <c r="Q55" s="24"/>
    </row>
    <row r="56" spans="1:17" ht="15.6" x14ac:dyDescent="0.3">
      <c r="A56" s="3">
        <v>51</v>
      </c>
      <c r="B56" s="6" t="s">
        <v>533</v>
      </c>
      <c r="C56" s="76">
        <v>0</v>
      </c>
      <c r="D56" s="76">
        <v>3</v>
      </c>
      <c r="E56" s="76">
        <v>0</v>
      </c>
      <c r="F56" s="76">
        <v>0</v>
      </c>
      <c r="G56" s="76">
        <v>0</v>
      </c>
      <c r="H56" s="76">
        <v>0</v>
      </c>
      <c r="I56" s="76">
        <v>0</v>
      </c>
      <c r="J56" s="76">
        <f t="shared" si="1"/>
        <v>0</v>
      </c>
      <c r="K56" s="4">
        <v>0</v>
      </c>
      <c r="L56" s="67">
        <f t="shared" si="2"/>
        <v>3</v>
      </c>
      <c r="M56" s="68">
        <f t="shared" ca="1" si="6"/>
        <v>0</v>
      </c>
      <c r="N56" s="77">
        <f t="shared" si="3"/>
        <v>0</v>
      </c>
      <c r="O56" s="68">
        <f t="shared" si="4"/>
        <v>1</v>
      </c>
      <c r="P56" s="68">
        <f t="shared" si="5"/>
        <v>1</v>
      </c>
      <c r="Q56" s="79"/>
    </row>
    <row r="57" spans="1:17" ht="44.25" customHeight="1" x14ac:dyDescent="0.25">
      <c r="A57" s="3">
        <v>52</v>
      </c>
      <c r="B57" s="6" t="s">
        <v>534</v>
      </c>
      <c r="C57" s="76">
        <v>172</v>
      </c>
      <c r="D57" s="76">
        <v>154</v>
      </c>
      <c r="E57" s="76">
        <v>0</v>
      </c>
      <c r="F57" s="76">
        <v>0</v>
      </c>
      <c r="G57" s="76">
        <v>0</v>
      </c>
      <c r="H57" s="76">
        <v>0</v>
      </c>
      <c r="I57" s="76">
        <v>0</v>
      </c>
      <c r="J57" s="76">
        <f t="shared" si="1"/>
        <v>0</v>
      </c>
      <c r="K57" s="4">
        <v>0</v>
      </c>
      <c r="L57" s="67">
        <f t="shared" si="2"/>
        <v>154</v>
      </c>
      <c r="M57" s="68">
        <f t="shared" ca="1" si="6"/>
        <v>0</v>
      </c>
      <c r="N57" s="77">
        <f t="shared" si="3"/>
        <v>0</v>
      </c>
      <c r="O57" s="68">
        <f t="shared" si="4"/>
        <v>1</v>
      </c>
      <c r="P57" s="68">
        <f t="shared" si="5"/>
        <v>1</v>
      </c>
      <c r="Q57" s="38"/>
    </row>
    <row r="58" spans="1:17" x14ac:dyDescent="0.25">
      <c r="A58" s="3">
        <v>53</v>
      </c>
      <c r="B58" s="6" t="s">
        <v>535</v>
      </c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f t="shared" si="1"/>
        <v>0</v>
      </c>
      <c r="K58" s="4">
        <v>0</v>
      </c>
      <c r="L58" s="67">
        <f t="shared" si="2"/>
        <v>0</v>
      </c>
      <c r="M58" s="68" t="str">
        <f t="shared" si="6"/>
        <v>-</v>
      </c>
      <c r="N58" s="77" t="str">
        <f t="shared" si="3"/>
        <v>-</v>
      </c>
      <c r="O58" s="68" t="str">
        <f t="shared" si="4"/>
        <v>-</v>
      </c>
      <c r="P58" s="68" t="str">
        <f t="shared" si="5"/>
        <v>-</v>
      </c>
      <c r="Q58" s="78"/>
    </row>
    <row r="59" spans="1:17" ht="35.25" customHeight="1" x14ac:dyDescent="0.25">
      <c r="A59" s="3">
        <v>54</v>
      </c>
      <c r="B59" s="6" t="s">
        <v>536</v>
      </c>
      <c r="C59" s="76">
        <v>120</v>
      </c>
      <c r="D59" s="76">
        <v>145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f t="shared" si="1"/>
        <v>0</v>
      </c>
      <c r="K59" s="4">
        <v>0</v>
      </c>
      <c r="L59" s="67">
        <f t="shared" si="2"/>
        <v>145</v>
      </c>
      <c r="M59" s="68">
        <f t="shared" ca="1" si="6"/>
        <v>0</v>
      </c>
      <c r="N59" s="77">
        <f t="shared" si="3"/>
        <v>0</v>
      </c>
      <c r="O59" s="68">
        <f t="shared" si="4"/>
        <v>1</v>
      </c>
      <c r="P59" s="68">
        <f t="shared" si="5"/>
        <v>1</v>
      </c>
      <c r="Q59" s="123"/>
    </row>
    <row r="60" spans="1:17" s="71" customFormat="1" x14ac:dyDescent="0.3">
      <c r="A60" s="3">
        <v>55</v>
      </c>
      <c r="B60" s="6" t="s">
        <v>537</v>
      </c>
      <c r="C60" s="76">
        <v>198</v>
      </c>
      <c r="D60" s="76">
        <v>108</v>
      </c>
      <c r="E60" s="76">
        <v>0</v>
      </c>
      <c r="F60" s="76">
        <v>0</v>
      </c>
      <c r="G60" s="76">
        <v>0</v>
      </c>
      <c r="H60" s="76">
        <v>0</v>
      </c>
      <c r="I60" s="76">
        <v>0</v>
      </c>
      <c r="J60" s="76">
        <f t="shared" si="1"/>
        <v>0</v>
      </c>
      <c r="K60" s="4">
        <v>0</v>
      </c>
      <c r="L60" s="67">
        <f t="shared" si="2"/>
        <v>108</v>
      </c>
      <c r="M60" s="68">
        <f t="shared" ca="1" si="6"/>
        <v>0</v>
      </c>
      <c r="N60" s="77">
        <f t="shared" si="3"/>
        <v>0</v>
      </c>
      <c r="O60" s="68">
        <f t="shared" si="4"/>
        <v>1</v>
      </c>
      <c r="P60" s="68">
        <f t="shared" si="5"/>
        <v>1</v>
      </c>
      <c r="Q60" s="123"/>
    </row>
    <row r="61" spans="1:17" x14ac:dyDescent="0.25">
      <c r="A61" s="3">
        <v>56</v>
      </c>
      <c r="B61" s="6" t="s">
        <v>538</v>
      </c>
      <c r="C61" s="76">
        <v>0</v>
      </c>
      <c r="D61" s="76">
        <v>0</v>
      </c>
      <c r="E61" s="76">
        <v>0</v>
      </c>
      <c r="F61" s="76">
        <v>0</v>
      </c>
      <c r="G61" s="76">
        <v>0</v>
      </c>
      <c r="H61" s="76">
        <v>0</v>
      </c>
      <c r="I61" s="76">
        <v>0</v>
      </c>
      <c r="J61" s="76">
        <f t="shared" si="1"/>
        <v>0</v>
      </c>
      <c r="K61" s="4">
        <v>0</v>
      </c>
      <c r="L61" s="67">
        <f t="shared" si="2"/>
        <v>0</v>
      </c>
      <c r="M61" s="68" t="str">
        <f t="shared" si="6"/>
        <v>-</v>
      </c>
      <c r="N61" s="77" t="str">
        <f t="shared" si="3"/>
        <v>-</v>
      </c>
      <c r="O61" s="68" t="str">
        <f t="shared" si="4"/>
        <v>-</v>
      </c>
      <c r="P61" s="68" t="str">
        <f t="shared" si="5"/>
        <v>-</v>
      </c>
      <c r="Q61" s="82"/>
    </row>
    <row r="62" spans="1:17" s="2" customFormat="1" ht="21" customHeight="1" x14ac:dyDescent="0.3">
      <c r="A62" s="3">
        <v>57</v>
      </c>
      <c r="B62" s="6" t="s">
        <v>539</v>
      </c>
      <c r="C62" s="76">
        <v>326</v>
      </c>
      <c r="D62" s="76">
        <v>288</v>
      </c>
      <c r="E62" s="76">
        <v>0</v>
      </c>
      <c r="F62" s="76">
        <v>0</v>
      </c>
      <c r="G62" s="76">
        <v>0</v>
      </c>
      <c r="H62" s="76">
        <v>0</v>
      </c>
      <c r="I62" s="76">
        <v>0</v>
      </c>
      <c r="J62" s="76">
        <f t="shared" si="1"/>
        <v>0</v>
      </c>
      <c r="K62" s="8">
        <v>0</v>
      </c>
      <c r="L62" s="67">
        <f t="shared" si="2"/>
        <v>288</v>
      </c>
      <c r="M62" s="68">
        <f t="shared" ca="1" si="6"/>
        <v>0</v>
      </c>
      <c r="N62" s="77">
        <f t="shared" si="3"/>
        <v>0</v>
      </c>
      <c r="O62" s="68">
        <f t="shared" si="4"/>
        <v>1</v>
      </c>
      <c r="P62" s="68">
        <f t="shared" si="5"/>
        <v>1</v>
      </c>
      <c r="Q62" s="32"/>
    </row>
    <row r="63" spans="1:17" s="2" customFormat="1" ht="15.6" x14ac:dyDescent="0.3">
      <c r="A63" s="3">
        <v>58</v>
      </c>
      <c r="B63" s="6" t="s">
        <v>540</v>
      </c>
      <c r="C63" s="76">
        <v>0</v>
      </c>
      <c r="D63" s="76">
        <v>0</v>
      </c>
      <c r="E63" s="76">
        <v>0</v>
      </c>
      <c r="F63" s="76">
        <v>0</v>
      </c>
      <c r="G63" s="76">
        <v>0</v>
      </c>
      <c r="H63" s="76">
        <v>0</v>
      </c>
      <c r="I63" s="76">
        <v>0</v>
      </c>
      <c r="J63" s="76">
        <f t="shared" si="1"/>
        <v>0</v>
      </c>
      <c r="K63" s="4">
        <v>0</v>
      </c>
      <c r="L63" s="67">
        <f t="shared" si="2"/>
        <v>0</v>
      </c>
      <c r="M63" s="68" t="str">
        <f t="shared" si="6"/>
        <v>-</v>
      </c>
      <c r="N63" s="77" t="str">
        <f t="shared" si="3"/>
        <v>-</v>
      </c>
      <c r="O63" s="68" t="str">
        <f t="shared" si="4"/>
        <v>-</v>
      </c>
      <c r="P63" s="68" t="str">
        <f t="shared" si="5"/>
        <v>-</v>
      </c>
      <c r="Q63" s="60"/>
    </row>
    <row r="64" spans="1:17" s="2" customFormat="1" ht="18" customHeight="1" x14ac:dyDescent="0.25">
      <c r="A64" s="3">
        <v>59</v>
      </c>
      <c r="B64" s="6" t="s">
        <v>541</v>
      </c>
      <c r="C64" s="76">
        <v>171</v>
      </c>
      <c r="D64" s="76">
        <v>2736</v>
      </c>
      <c r="E64" s="76">
        <v>0</v>
      </c>
      <c r="F64" s="76">
        <v>0</v>
      </c>
      <c r="G64" s="76">
        <v>0</v>
      </c>
      <c r="H64" s="76">
        <v>0</v>
      </c>
      <c r="I64" s="76">
        <v>0</v>
      </c>
      <c r="J64" s="76">
        <f t="shared" si="1"/>
        <v>0</v>
      </c>
      <c r="K64" s="4">
        <v>0</v>
      </c>
      <c r="L64" s="67">
        <f t="shared" si="2"/>
        <v>2736</v>
      </c>
      <c r="M64" s="68" t="str">
        <f t="shared" ca="1" si="6"/>
        <v>-</v>
      </c>
      <c r="N64" s="77">
        <f t="shared" si="3"/>
        <v>0</v>
      </c>
      <c r="O64" s="68">
        <f t="shared" si="4"/>
        <v>1</v>
      </c>
      <c r="P64" s="68">
        <f t="shared" si="5"/>
        <v>1</v>
      </c>
      <c r="Q64" s="174"/>
    </row>
    <row r="65" spans="1:17" s="2" customFormat="1" ht="15.6" x14ac:dyDescent="0.3">
      <c r="A65" s="3">
        <v>60</v>
      </c>
      <c r="B65" s="6" t="s">
        <v>542</v>
      </c>
      <c r="C65" s="76">
        <v>0</v>
      </c>
      <c r="D65" s="76">
        <v>0</v>
      </c>
      <c r="E65" s="76">
        <v>0</v>
      </c>
      <c r="F65" s="76">
        <v>0</v>
      </c>
      <c r="G65" s="76">
        <v>0</v>
      </c>
      <c r="H65" s="76">
        <v>0</v>
      </c>
      <c r="I65" s="76">
        <v>0</v>
      </c>
      <c r="J65" s="76">
        <f t="shared" si="1"/>
        <v>0</v>
      </c>
      <c r="K65" s="4">
        <v>0</v>
      </c>
      <c r="L65" s="67">
        <f t="shared" si="2"/>
        <v>0</v>
      </c>
      <c r="M65" s="68" t="str">
        <f t="shared" si="6"/>
        <v>-</v>
      </c>
      <c r="N65" s="77" t="str">
        <f t="shared" si="3"/>
        <v>-</v>
      </c>
      <c r="O65" s="68" t="str">
        <f t="shared" si="4"/>
        <v>-</v>
      </c>
      <c r="P65" s="68" t="str">
        <f t="shared" si="5"/>
        <v>-</v>
      </c>
      <c r="Q65" s="7"/>
    </row>
    <row r="66" spans="1:17" s="2" customFormat="1" ht="33" customHeight="1" x14ac:dyDescent="0.3">
      <c r="A66" s="3">
        <v>61</v>
      </c>
      <c r="B66" s="6" t="s">
        <v>543</v>
      </c>
      <c r="C66" s="76">
        <v>168</v>
      </c>
      <c r="D66" s="76">
        <v>293</v>
      </c>
      <c r="E66" s="76">
        <v>0</v>
      </c>
      <c r="F66" s="76">
        <v>0</v>
      </c>
      <c r="G66" s="76">
        <v>0</v>
      </c>
      <c r="H66" s="76">
        <v>0</v>
      </c>
      <c r="I66" s="76">
        <v>0</v>
      </c>
      <c r="J66" s="76">
        <f t="shared" si="1"/>
        <v>0</v>
      </c>
      <c r="K66" s="8">
        <v>0</v>
      </c>
      <c r="L66" s="67">
        <f t="shared" si="2"/>
        <v>293</v>
      </c>
      <c r="M66" s="68" t="str">
        <f t="shared" ca="1" si="6"/>
        <v>-</v>
      </c>
      <c r="N66" s="77">
        <f t="shared" si="3"/>
        <v>0</v>
      </c>
      <c r="O66" s="68">
        <f t="shared" si="4"/>
        <v>1</v>
      </c>
      <c r="P66" s="68">
        <f t="shared" si="5"/>
        <v>1</v>
      </c>
      <c r="Q66" s="123"/>
    </row>
    <row r="67" spans="1:17" s="2" customFormat="1" ht="24" customHeight="1" x14ac:dyDescent="0.3">
      <c r="A67" s="3">
        <v>62</v>
      </c>
      <c r="B67" s="6" t="s">
        <v>544</v>
      </c>
      <c r="C67" s="76">
        <v>72</v>
      </c>
      <c r="D67" s="76">
        <v>70</v>
      </c>
      <c r="E67" s="76">
        <v>0</v>
      </c>
      <c r="F67" s="76">
        <v>0</v>
      </c>
      <c r="G67" s="76">
        <v>0</v>
      </c>
      <c r="H67" s="76">
        <v>0</v>
      </c>
      <c r="I67" s="76">
        <v>0</v>
      </c>
      <c r="J67" s="76">
        <f t="shared" si="1"/>
        <v>0</v>
      </c>
      <c r="K67" s="8">
        <v>0</v>
      </c>
      <c r="L67" s="67">
        <f t="shared" si="2"/>
        <v>70</v>
      </c>
      <c r="M67" s="68" t="str">
        <f t="shared" ca="1" si="6"/>
        <v>-</v>
      </c>
      <c r="N67" s="77">
        <f t="shared" si="3"/>
        <v>0</v>
      </c>
      <c r="O67" s="68">
        <f t="shared" si="4"/>
        <v>1</v>
      </c>
      <c r="P67" s="68">
        <f t="shared" si="5"/>
        <v>1</v>
      </c>
      <c r="Q67" s="123"/>
    </row>
    <row r="68" spans="1:17" s="2" customFormat="1" ht="24" customHeight="1" x14ac:dyDescent="0.3">
      <c r="A68" s="3">
        <v>63</v>
      </c>
      <c r="B68" s="6" t="s">
        <v>545</v>
      </c>
      <c r="C68" s="76">
        <v>0</v>
      </c>
      <c r="D68" s="76">
        <v>80</v>
      </c>
      <c r="E68" s="76">
        <v>0</v>
      </c>
      <c r="F68" s="76">
        <v>0</v>
      </c>
      <c r="G68" s="76">
        <v>0</v>
      </c>
      <c r="H68" s="76">
        <v>0</v>
      </c>
      <c r="I68" s="76">
        <v>0</v>
      </c>
      <c r="J68" s="76">
        <f t="shared" si="1"/>
        <v>0</v>
      </c>
      <c r="K68" s="8">
        <v>0</v>
      </c>
      <c r="L68" s="67">
        <f t="shared" si="2"/>
        <v>80</v>
      </c>
      <c r="M68" s="68">
        <f t="shared" ca="1" si="6"/>
        <v>0</v>
      </c>
      <c r="N68" s="77">
        <f t="shared" si="3"/>
        <v>0</v>
      </c>
      <c r="O68" s="68">
        <f t="shared" si="4"/>
        <v>1</v>
      </c>
      <c r="P68" s="68">
        <f t="shared" si="5"/>
        <v>1</v>
      </c>
      <c r="Q68" s="32"/>
    </row>
    <row r="69" spans="1:17" s="2" customFormat="1" ht="24" customHeight="1" x14ac:dyDescent="0.3">
      <c r="A69" s="3">
        <v>64</v>
      </c>
      <c r="B69" s="6" t="s">
        <v>546</v>
      </c>
      <c r="C69" s="76">
        <v>0</v>
      </c>
      <c r="D69" s="76">
        <v>62</v>
      </c>
      <c r="E69" s="76">
        <v>0</v>
      </c>
      <c r="F69" s="76">
        <v>0</v>
      </c>
      <c r="G69" s="76">
        <v>0</v>
      </c>
      <c r="H69" s="76">
        <v>0</v>
      </c>
      <c r="I69" s="76">
        <v>0</v>
      </c>
      <c r="J69" s="76">
        <f t="shared" si="1"/>
        <v>0</v>
      </c>
      <c r="K69" s="8">
        <v>0</v>
      </c>
      <c r="L69" s="67">
        <f t="shared" si="2"/>
        <v>62</v>
      </c>
      <c r="M69" s="68">
        <f t="shared" ca="1" si="6"/>
        <v>0</v>
      </c>
      <c r="N69" s="77">
        <f t="shared" si="3"/>
        <v>0</v>
      </c>
      <c r="O69" s="68">
        <f t="shared" si="4"/>
        <v>1</v>
      </c>
      <c r="P69" s="68">
        <f t="shared" si="5"/>
        <v>1</v>
      </c>
      <c r="Q69" s="180" t="s">
        <v>101</v>
      </c>
    </row>
    <row r="70" spans="1:17" s="2" customFormat="1" ht="24" customHeight="1" x14ac:dyDescent="0.25">
      <c r="A70" s="3">
        <v>65</v>
      </c>
      <c r="B70" s="6" t="s">
        <v>547</v>
      </c>
      <c r="C70" s="76">
        <v>0</v>
      </c>
      <c r="D70" s="76">
        <v>640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f t="shared" si="1"/>
        <v>0</v>
      </c>
      <c r="K70" s="8">
        <v>0</v>
      </c>
      <c r="L70" s="67">
        <f t="shared" si="2"/>
        <v>640</v>
      </c>
      <c r="M70" s="68">
        <f t="shared" ca="1" si="6"/>
        <v>0</v>
      </c>
      <c r="N70" s="77">
        <f t="shared" si="3"/>
        <v>0</v>
      </c>
      <c r="O70" s="68">
        <f t="shared" si="4"/>
        <v>1</v>
      </c>
      <c r="P70" s="68">
        <f t="shared" si="5"/>
        <v>1</v>
      </c>
      <c r="Q70" s="174"/>
    </row>
    <row r="71" spans="1:17" s="2" customFormat="1" ht="24" customHeight="1" x14ac:dyDescent="0.3">
      <c r="A71" s="3">
        <v>66</v>
      </c>
      <c r="B71" s="6" t="s">
        <v>548</v>
      </c>
      <c r="C71" s="76">
        <v>0</v>
      </c>
      <c r="D71" s="76">
        <v>32</v>
      </c>
      <c r="E71" s="76">
        <v>0</v>
      </c>
      <c r="F71" s="76">
        <v>0</v>
      </c>
      <c r="G71" s="76">
        <v>0</v>
      </c>
      <c r="H71" s="76">
        <v>0</v>
      </c>
      <c r="I71" s="76">
        <v>0</v>
      </c>
      <c r="J71" s="76">
        <f>SUM(E71:I71)</f>
        <v>0</v>
      </c>
      <c r="K71" s="8">
        <v>0</v>
      </c>
      <c r="L71" s="67">
        <f t="shared" si="2"/>
        <v>32</v>
      </c>
      <c r="M71" s="68">
        <f t="shared" ca="1" si="6"/>
        <v>0</v>
      </c>
      <c r="N71" s="77">
        <f t="shared" si="3"/>
        <v>0</v>
      </c>
      <c r="O71" s="68">
        <f t="shared" si="4"/>
        <v>1</v>
      </c>
      <c r="P71" s="68">
        <f t="shared" si="5"/>
        <v>1</v>
      </c>
      <c r="Q71" s="180" t="s">
        <v>102</v>
      </c>
    </row>
    <row r="72" spans="1:17" s="2" customFormat="1" ht="24" customHeight="1" x14ac:dyDescent="0.25">
      <c r="A72" s="3">
        <v>67</v>
      </c>
      <c r="B72" s="6" t="s">
        <v>549</v>
      </c>
      <c r="C72" s="76">
        <v>0</v>
      </c>
      <c r="D72" s="76">
        <v>1048</v>
      </c>
      <c r="E72" s="76">
        <v>0</v>
      </c>
      <c r="F72" s="76">
        <v>0</v>
      </c>
      <c r="G72" s="76">
        <v>0</v>
      </c>
      <c r="H72" s="76">
        <v>0</v>
      </c>
      <c r="I72" s="76">
        <v>0</v>
      </c>
      <c r="J72" s="76">
        <f>SUM(E72:I72)</f>
        <v>0</v>
      </c>
      <c r="K72" s="8">
        <v>0</v>
      </c>
      <c r="L72" s="67">
        <f t="shared" ref="L72" si="7">(D72-J72-K72)</f>
        <v>1048</v>
      </c>
      <c r="M72" s="68">
        <f t="shared" ca="1" si="6"/>
        <v>0</v>
      </c>
      <c r="N72" s="77">
        <f t="shared" ref="N72" si="8">IF(D72=0,"-",K72/D72)</f>
        <v>0</v>
      </c>
      <c r="O72" s="68">
        <f t="shared" ref="O72" si="9">IF(D72=0,"-",(L72/D72))</f>
        <v>1</v>
      </c>
      <c r="P72" s="68">
        <f t="shared" ref="P72" si="10">O72</f>
        <v>1</v>
      </c>
      <c r="Q72" s="174"/>
    </row>
    <row r="73" spans="1:17" s="2" customFormat="1" ht="24" customHeight="1" x14ac:dyDescent="0.3">
      <c r="A73" s="3">
        <v>68</v>
      </c>
      <c r="B73" s="6" t="s">
        <v>550</v>
      </c>
      <c r="C73" s="76">
        <v>0</v>
      </c>
      <c r="D73" s="76">
        <v>30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f>SUM(E73:I73)</f>
        <v>0</v>
      </c>
      <c r="K73" s="8">
        <v>0</v>
      </c>
      <c r="L73" s="67">
        <f t="shared" ref="L73" si="11">(D73-J73-K73)</f>
        <v>30</v>
      </c>
      <c r="M73" s="68">
        <f t="shared" ref="M73" ca="1" si="12">IF(D73=0,"-",(M73/D73))</f>
        <v>0</v>
      </c>
      <c r="N73" s="77">
        <f t="shared" ref="N73" si="13">IF(D73=0,"-",K73/D73)</f>
        <v>0</v>
      </c>
      <c r="O73" s="68">
        <f t="shared" ref="O73" si="14">IF(D73=0,"-",(L73/D73))</f>
        <v>1</v>
      </c>
      <c r="P73" s="68">
        <f t="shared" ref="P73" si="15">O73</f>
        <v>1</v>
      </c>
      <c r="Q73" s="32"/>
    </row>
    <row r="74" spans="1:17" x14ac:dyDescent="0.25">
      <c r="N74" s="61" t="s">
        <v>55</v>
      </c>
    </row>
    <row r="75" spans="1:17" x14ac:dyDescent="0.25">
      <c r="M75" s="61" t="s">
        <v>55</v>
      </c>
    </row>
  </sheetData>
  <mergeCells count="14">
    <mergeCell ref="A1:Q1"/>
    <mergeCell ref="A2:Q2"/>
    <mergeCell ref="A3:A4"/>
    <mergeCell ref="B3:B4"/>
    <mergeCell ref="C3:D3"/>
    <mergeCell ref="E3:I3"/>
    <mergeCell ref="J3:J4"/>
    <mergeCell ref="K3:K4"/>
    <mergeCell ref="L3:L4"/>
    <mergeCell ref="O3:O4"/>
    <mergeCell ref="P3:P4"/>
    <mergeCell ref="Q3:Q4"/>
    <mergeCell ref="M3:M4"/>
    <mergeCell ref="N3:N4"/>
  </mergeCells>
  <phoneticPr fontId="14" type="noConversion"/>
  <dataValidations xWindow="214" yWindow="556" count="3">
    <dataValidation type="whole" allowBlank="1" showInputMessage="1" showErrorMessage="1" sqref="Q30 C6:I73" xr:uid="{00000000-0002-0000-0400-000000000000}">
      <formula1>0</formula1>
      <formula2>50000</formula2>
    </dataValidation>
    <dataValidation allowBlank="1" showInputMessage="1" showErrorMessage="1" promptTitle="FORMULA USED" prompt="Don't Ammend Here" sqref="B6:B73" xr:uid="{00000000-0002-0000-0400-000001000000}"/>
    <dataValidation type="whole" allowBlank="1" showInputMessage="1" showErrorMessage="1" errorTitle="Value Between 0 to 200000" sqref="L6:L73" xr:uid="{00000000-0002-0000-0400-000002000000}">
      <formula1>0</formula1>
      <formula2>200000</formula2>
    </dataValidation>
  </dataValidations>
  <pageMargins left="0.67" right="0.42" top="0.22" bottom="0.15" header="0.22" footer="0.21"/>
  <pageSetup paperSize="9" scale="42" orientation="landscape" r:id="rId1"/>
  <rowBreaks count="1" manualBreakCount="1">
    <brk id="31" max="17" man="1"/>
  </rowBreaks>
  <ignoredErrors>
    <ignoredError sqref="J6:J71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00FF"/>
  </sheetPr>
  <dimension ref="A1:P187"/>
  <sheetViews>
    <sheetView tabSelected="1" view="pageBreakPreview" zoomScale="85" zoomScaleNormal="70" zoomScaleSheetLayoutView="85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P78" sqref="P78"/>
    </sheetView>
  </sheetViews>
  <sheetFormatPr defaultColWidth="9.109375" defaultRowHeight="15.6" x14ac:dyDescent="0.3"/>
  <cols>
    <col min="1" max="1" width="6.5546875" style="85" bestFit="1" customWidth="1"/>
    <col min="2" max="2" width="9.109375" style="85"/>
    <col min="3" max="3" width="41.44140625" style="85" customWidth="1"/>
    <col min="4" max="4" width="8.88671875" style="85" customWidth="1"/>
    <col min="5" max="5" width="14.44140625" style="85" customWidth="1"/>
    <col min="6" max="6" width="6" style="118" customWidth="1"/>
    <col min="7" max="7" width="18" style="118" customWidth="1"/>
    <col min="8" max="8" width="6" style="118" customWidth="1"/>
    <col min="9" max="9" width="11.5546875" style="118" customWidth="1"/>
    <col min="10" max="10" width="9.33203125" style="118" customWidth="1"/>
    <col min="11" max="11" width="15.44140625" style="85" bestFit="1" customWidth="1"/>
    <col min="12" max="12" width="11.109375" style="85" bestFit="1" customWidth="1"/>
    <col min="13" max="13" width="13.6640625" style="85" bestFit="1" customWidth="1"/>
    <col min="14" max="14" width="20.33203125" style="106" customWidth="1"/>
    <col min="15" max="15" width="11.5546875" style="85" customWidth="1"/>
    <col min="16" max="16" width="60.44140625" style="85" customWidth="1"/>
    <col min="17" max="16384" width="9.109375" style="85"/>
  </cols>
  <sheetData>
    <row r="1" spans="1:16" ht="62.25" customHeight="1" x14ac:dyDescent="0.3">
      <c r="A1" s="203" t="s">
        <v>94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</row>
    <row r="2" spans="1:16" s="86" customFormat="1" x14ac:dyDescent="0.3">
      <c r="A2" s="204" t="s">
        <v>47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P2" s="204"/>
    </row>
    <row r="3" spans="1:16" s="83" customFormat="1" ht="15.75" customHeight="1" x14ac:dyDescent="0.3">
      <c r="A3" s="87" t="s">
        <v>0</v>
      </c>
      <c r="B3" s="88" t="s">
        <v>16</v>
      </c>
      <c r="C3" s="89"/>
      <c r="D3" s="90" t="s">
        <v>17</v>
      </c>
      <c r="E3" s="91"/>
      <c r="F3" s="205" t="s">
        <v>48</v>
      </c>
      <c r="G3" s="206"/>
      <c r="H3" s="207"/>
      <c r="I3" s="134" t="s">
        <v>18</v>
      </c>
      <c r="J3" s="134" t="s">
        <v>19</v>
      </c>
      <c r="K3" s="134" t="s">
        <v>20</v>
      </c>
      <c r="L3" s="92" t="s">
        <v>21</v>
      </c>
      <c r="M3" s="92" t="s">
        <v>22</v>
      </c>
      <c r="N3" s="93" t="s">
        <v>23</v>
      </c>
      <c r="O3" s="92" t="s">
        <v>24</v>
      </c>
      <c r="P3" s="92" t="s">
        <v>49</v>
      </c>
    </row>
    <row r="4" spans="1:16" s="83" customFormat="1" ht="56.25" customHeight="1" x14ac:dyDescent="0.3">
      <c r="A4" s="87"/>
      <c r="B4" s="94"/>
      <c r="C4" s="95"/>
      <c r="D4" s="132" t="s">
        <v>56</v>
      </c>
      <c r="E4" s="132" t="s">
        <v>26</v>
      </c>
      <c r="F4" s="73" t="s">
        <v>27</v>
      </c>
      <c r="G4" s="125" t="s">
        <v>50</v>
      </c>
      <c r="H4" s="73" t="s">
        <v>28</v>
      </c>
      <c r="I4" s="135"/>
      <c r="J4" s="96"/>
      <c r="K4" s="97"/>
      <c r="L4" s="92"/>
      <c r="M4" s="92"/>
      <c r="N4" s="93"/>
      <c r="O4" s="92"/>
      <c r="P4" s="87"/>
    </row>
    <row r="5" spans="1:16" s="98" customFormat="1" ht="39" customHeight="1" x14ac:dyDescent="0.3">
      <c r="A5" s="183" t="s">
        <v>1</v>
      </c>
      <c r="B5" s="184" t="s">
        <v>2</v>
      </c>
      <c r="C5" s="184"/>
      <c r="D5" s="3" t="s">
        <v>3</v>
      </c>
      <c r="E5" s="3" t="s">
        <v>4</v>
      </c>
      <c r="F5" s="1" t="s">
        <v>5</v>
      </c>
      <c r="G5" s="18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  <c r="O5" s="3" t="s">
        <v>29</v>
      </c>
      <c r="P5" s="3" t="s">
        <v>30</v>
      </c>
    </row>
    <row r="6" spans="1:16" ht="15" customHeight="1" x14ac:dyDescent="0.3">
      <c r="A6" s="200">
        <v>1</v>
      </c>
      <c r="B6" s="185" t="s">
        <v>483</v>
      </c>
      <c r="C6" s="185"/>
      <c r="D6" s="101"/>
      <c r="E6" s="101"/>
      <c r="F6" s="102"/>
      <c r="G6" s="102"/>
      <c r="H6" s="102"/>
      <c r="I6" s="103"/>
      <c r="J6" s="102"/>
      <c r="K6" s="101"/>
      <c r="L6" s="101"/>
      <c r="M6" s="101"/>
      <c r="N6" s="104"/>
      <c r="O6" s="101"/>
      <c r="P6" s="105"/>
    </row>
    <row r="7" spans="1:16" s="106" customFormat="1" x14ac:dyDescent="0.3">
      <c r="A7" s="201"/>
      <c r="B7" s="184" t="s">
        <v>1</v>
      </c>
      <c r="C7" s="184" t="s">
        <v>553</v>
      </c>
      <c r="D7" s="76">
        <v>0</v>
      </c>
      <c r="E7" s="76">
        <v>0</v>
      </c>
      <c r="F7" s="76">
        <v>0</v>
      </c>
      <c r="G7" s="76">
        <v>0</v>
      </c>
      <c r="H7" s="76">
        <v>0</v>
      </c>
      <c r="I7" s="76">
        <f>SUM(F7:H7)</f>
        <v>0</v>
      </c>
      <c r="J7" s="3">
        <v>0</v>
      </c>
      <c r="K7" s="76">
        <f>SUM(E7-I7-J7)</f>
        <v>0</v>
      </c>
      <c r="L7" s="68" t="str">
        <f>IF(E7=0,"-",(I7/E7))</f>
        <v>-</v>
      </c>
      <c r="M7" s="68" t="str">
        <f t="shared" ref="M7:M70" si="0">IF(E7=0,"-",(J7/E7))</f>
        <v>-</v>
      </c>
      <c r="N7" s="68" t="str">
        <f t="shared" ref="N7:N67" si="1">IF(E7=0,"-",(K7/E7))</f>
        <v>-</v>
      </c>
      <c r="O7" s="68" t="str">
        <f>N7</f>
        <v>-</v>
      </c>
      <c r="P7" s="69"/>
    </row>
    <row r="8" spans="1:16" x14ac:dyDescent="0.3">
      <c r="A8" s="201"/>
      <c r="B8" s="184" t="s">
        <v>2</v>
      </c>
      <c r="C8" s="184" t="s">
        <v>554</v>
      </c>
      <c r="D8" s="107">
        <v>0</v>
      </c>
      <c r="E8" s="107">
        <v>0</v>
      </c>
      <c r="F8" s="76">
        <v>0</v>
      </c>
      <c r="G8" s="76">
        <v>0</v>
      </c>
      <c r="H8" s="76">
        <v>0</v>
      </c>
      <c r="I8" s="76">
        <f>SUM(F8:H8)</f>
        <v>0</v>
      </c>
      <c r="J8" s="3">
        <v>0</v>
      </c>
      <c r="K8" s="76">
        <f t="shared" ref="K8:K71" si="2">SUM(E8-I8-J8)</f>
        <v>0</v>
      </c>
      <c r="L8" s="68" t="str">
        <f t="shared" ref="L8:L71" si="3">IF(E8=0,"-",(I8/E8))</f>
        <v>-</v>
      </c>
      <c r="M8" s="68" t="str">
        <f t="shared" si="0"/>
        <v>-</v>
      </c>
      <c r="N8" s="68" t="str">
        <f t="shared" si="1"/>
        <v>-</v>
      </c>
      <c r="O8" s="68" t="str">
        <f t="shared" ref="O8:O71" si="4">N8</f>
        <v>-</v>
      </c>
      <c r="P8" s="69"/>
    </row>
    <row r="9" spans="1:16" x14ac:dyDescent="0.3">
      <c r="A9" s="201"/>
      <c r="B9" s="184" t="s">
        <v>3</v>
      </c>
      <c r="C9" s="184" t="s">
        <v>555</v>
      </c>
      <c r="D9" s="107">
        <v>0</v>
      </c>
      <c r="E9" s="107">
        <v>0</v>
      </c>
      <c r="F9" s="76">
        <v>0</v>
      </c>
      <c r="G9" s="76">
        <v>0</v>
      </c>
      <c r="H9" s="76">
        <v>0</v>
      </c>
      <c r="I9" s="76">
        <f>SUM(F9:H9)</f>
        <v>0</v>
      </c>
      <c r="J9" s="3"/>
      <c r="K9" s="76">
        <f t="shared" si="2"/>
        <v>0</v>
      </c>
      <c r="L9" s="68" t="str">
        <f t="shared" si="3"/>
        <v>-</v>
      </c>
      <c r="M9" s="68" t="str">
        <f t="shared" si="0"/>
        <v>-</v>
      </c>
      <c r="N9" s="68" t="str">
        <f t="shared" si="1"/>
        <v>-</v>
      </c>
      <c r="O9" s="68" t="str">
        <f t="shared" si="4"/>
        <v>-</v>
      </c>
      <c r="P9" s="70"/>
    </row>
    <row r="10" spans="1:16" x14ac:dyDescent="0.3">
      <c r="A10" s="201"/>
      <c r="B10" s="184" t="s">
        <v>4</v>
      </c>
      <c r="C10" s="184" t="s">
        <v>556</v>
      </c>
      <c r="D10" s="107">
        <v>0</v>
      </c>
      <c r="E10" s="107">
        <v>0</v>
      </c>
      <c r="F10" s="76">
        <v>0</v>
      </c>
      <c r="G10" s="76">
        <v>0</v>
      </c>
      <c r="H10" s="76">
        <v>0</v>
      </c>
      <c r="I10" s="76">
        <f>SUM(F10:H10)</f>
        <v>0</v>
      </c>
      <c r="J10" s="3"/>
      <c r="K10" s="76">
        <f t="shared" si="2"/>
        <v>0</v>
      </c>
      <c r="L10" s="68" t="str">
        <f t="shared" si="3"/>
        <v>-</v>
      </c>
      <c r="M10" s="68" t="str">
        <f t="shared" si="0"/>
        <v>-</v>
      </c>
      <c r="N10" s="68" t="str">
        <f t="shared" si="1"/>
        <v>-</v>
      </c>
      <c r="O10" s="68" t="str">
        <f t="shared" si="4"/>
        <v>-</v>
      </c>
      <c r="P10" s="70"/>
    </row>
    <row r="11" spans="1:16" x14ac:dyDescent="0.3">
      <c r="A11" s="202"/>
      <c r="B11" s="184" t="s">
        <v>5</v>
      </c>
      <c r="C11" s="184" t="s">
        <v>557</v>
      </c>
      <c r="D11" s="107">
        <v>0</v>
      </c>
      <c r="E11" s="107">
        <v>0</v>
      </c>
      <c r="F11" s="76">
        <v>0</v>
      </c>
      <c r="G11" s="76">
        <v>0</v>
      </c>
      <c r="H11" s="76">
        <v>0</v>
      </c>
      <c r="I11" s="76">
        <f>SUM(F11:H11)</f>
        <v>0</v>
      </c>
      <c r="J11" s="3"/>
      <c r="K11" s="76">
        <f t="shared" si="2"/>
        <v>0</v>
      </c>
      <c r="L11" s="68" t="str">
        <f t="shared" si="3"/>
        <v>-</v>
      </c>
      <c r="M11" s="68" t="str">
        <f t="shared" si="0"/>
        <v>-</v>
      </c>
      <c r="N11" s="68" t="str">
        <f t="shared" si="1"/>
        <v>-</v>
      </c>
      <c r="O11" s="68" t="str">
        <f t="shared" si="4"/>
        <v>-</v>
      </c>
      <c r="P11" s="70"/>
    </row>
    <row r="12" spans="1:16" ht="15.75" customHeight="1" x14ac:dyDescent="0.3">
      <c r="A12" s="200">
        <v>2</v>
      </c>
      <c r="B12" s="185" t="s">
        <v>484</v>
      </c>
      <c r="C12" s="185"/>
      <c r="D12" s="107"/>
      <c r="E12" s="107"/>
      <c r="F12" s="76"/>
      <c r="G12" s="76"/>
      <c r="H12" s="76"/>
      <c r="I12" s="136"/>
      <c r="J12" s="136"/>
      <c r="K12" s="76">
        <f t="shared" si="2"/>
        <v>0</v>
      </c>
      <c r="L12" s="68" t="str">
        <f t="shared" si="3"/>
        <v>-</v>
      </c>
      <c r="M12" s="68" t="str">
        <f t="shared" si="0"/>
        <v>-</v>
      </c>
      <c r="N12" s="68" t="str">
        <f t="shared" si="1"/>
        <v>-</v>
      </c>
      <c r="O12" s="68" t="str">
        <f t="shared" si="4"/>
        <v>-</v>
      </c>
      <c r="P12" s="108"/>
    </row>
    <row r="13" spans="1:16" x14ac:dyDescent="0.3">
      <c r="A13" s="201"/>
      <c r="B13" s="184" t="s">
        <v>1</v>
      </c>
      <c r="C13" s="184" t="s">
        <v>558</v>
      </c>
      <c r="D13" s="107">
        <v>0</v>
      </c>
      <c r="E13" s="107">
        <v>0</v>
      </c>
      <c r="F13" s="76">
        <v>0</v>
      </c>
      <c r="G13" s="76">
        <v>0</v>
      </c>
      <c r="H13" s="76">
        <v>0</v>
      </c>
      <c r="I13" s="76">
        <f>SUM(F13:H13)</f>
        <v>0</v>
      </c>
      <c r="J13" s="3">
        <v>0</v>
      </c>
      <c r="K13" s="76">
        <f t="shared" si="2"/>
        <v>0</v>
      </c>
      <c r="L13" s="68" t="str">
        <f t="shared" si="3"/>
        <v>-</v>
      </c>
      <c r="M13" s="68" t="str">
        <f t="shared" si="0"/>
        <v>-</v>
      </c>
      <c r="N13" s="68" t="str">
        <f t="shared" si="1"/>
        <v>-</v>
      </c>
      <c r="O13" s="68" t="str">
        <f t="shared" si="4"/>
        <v>-</v>
      </c>
    </row>
    <row r="14" spans="1:16" x14ac:dyDescent="0.3">
      <c r="A14" s="201"/>
      <c r="B14" s="184" t="s">
        <v>2</v>
      </c>
      <c r="C14" s="184" t="s">
        <v>559</v>
      </c>
      <c r="D14" s="107">
        <v>0</v>
      </c>
      <c r="E14" s="107">
        <v>0</v>
      </c>
      <c r="F14" s="76">
        <v>0</v>
      </c>
      <c r="G14" s="76">
        <v>0</v>
      </c>
      <c r="H14" s="76">
        <v>0</v>
      </c>
      <c r="I14" s="76">
        <f t="shared" ref="I14:I77" si="5">SUM(F14:H14)</f>
        <v>0</v>
      </c>
      <c r="J14" s="3">
        <v>0</v>
      </c>
      <c r="K14" s="76">
        <f t="shared" si="2"/>
        <v>0</v>
      </c>
      <c r="L14" s="68" t="str">
        <f t="shared" si="3"/>
        <v>-</v>
      </c>
      <c r="M14" s="68" t="str">
        <f t="shared" si="0"/>
        <v>-</v>
      </c>
      <c r="N14" s="68" t="str">
        <f t="shared" si="1"/>
        <v>-</v>
      </c>
      <c r="O14" s="68" t="str">
        <f t="shared" si="4"/>
        <v>-</v>
      </c>
      <c r="P14" s="109"/>
    </row>
    <row r="15" spans="1:16" x14ac:dyDescent="0.3">
      <c r="A15" s="202"/>
      <c r="B15" s="184" t="s">
        <v>3</v>
      </c>
      <c r="C15" s="184" t="s">
        <v>560</v>
      </c>
      <c r="D15" s="107">
        <v>0</v>
      </c>
      <c r="E15" s="107">
        <v>0</v>
      </c>
      <c r="F15" s="76">
        <v>0</v>
      </c>
      <c r="G15" s="76">
        <v>0</v>
      </c>
      <c r="H15" s="76">
        <v>0</v>
      </c>
      <c r="I15" s="76">
        <f t="shared" si="5"/>
        <v>0</v>
      </c>
      <c r="J15" s="3"/>
      <c r="K15" s="76">
        <f t="shared" si="2"/>
        <v>0</v>
      </c>
      <c r="L15" s="68" t="str">
        <f t="shared" si="3"/>
        <v>-</v>
      </c>
      <c r="M15" s="68" t="str">
        <f t="shared" si="0"/>
        <v>-</v>
      </c>
      <c r="N15" s="68" t="str">
        <f t="shared" si="1"/>
        <v>-</v>
      </c>
      <c r="O15" s="68" t="str">
        <f t="shared" si="4"/>
        <v>-</v>
      </c>
      <c r="P15" s="109"/>
    </row>
    <row r="16" spans="1:16" ht="15" customHeight="1" x14ac:dyDescent="0.3">
      <c r="A16" s="200">
        <v>3</v>
      </c>
      <c r="B16" s="185" t="s">
        <v>485</v>
      </c>
      <c r="C16" s="185"/>
      <c r="D16" s="107"/>
      <c r="E16" s="107"/>
      <c r="F16" s="76"/>
      <c r="G16" s="76"/>
      <c r="H16" s="76"/>
      <c r="I16" s="76">
        <f t="shared" si="5"/>
        <v>0</v>
      </c>
      <c r="J16" s="102"/>
      <c r="K16" s="76">
        <f t="shared" si="2"/>
        <v>0</v>
      </c>
      <c r="L16" s="68" t="str">
        <f t="shared" si="3"/>
        <v>-</v>
      </c>
      <c r="M16" s="68" t="str">
        <f t="shared" si="0"/>
        <v>-</v>
      </c>
      <c r="N16" s="68" t="str">
        <f t="shared" si="1"/>
        <v>-</v>
      </c>
      <c r="O16" s="68" t="str">
        <f t="shared" si="4"/>
        <v>-</v>
      </c>
      <c r="P16" s="105"/>
    </row>
    <row r="17" spans="1:16" x14ac:dyDescent="0.3">
      <c r="A17" s="201"/>
      <c r="B17" s="184" t="s">
        <v>1</v>
      </c>
      <c r="C17" s="184" t="s">
        <v>561</v>
      </c>
      <c r="D17" s="107">
        <v>0</v>
      </c>
      <c r="E17" s="107">
        <v>0</v>
      </c>
      <c r="F17" s="76">
        <v>0</v>
      </c>
      <c r="G17" s="76">
        <v>0</v>
      </c>
      <c r="H17" s="76">
        <v>0</v>
      </c>
      <c r="I17" s="76">
        <f t="shared" si="5"/>
        <v>0</v>
      </c>
      <c r="J17" s="3">
        <v>0</v>
      </c>
      <c r="K17" s="76">
        <f t="shared" si="2"/>
        <v>0</v>
      </c>
      <c r="L17" s="68" t="str">
        <f t="shared" si="3"/>
        <v>-</v>
      </c>
      <c r="M17" s="68" t="str">
        <f t="shared" si="0"/>
        <v>-</v>
      </c>
      <c r="N17" s="68" t="str">
        <f t="shared" si="1"/>
        <v>-</v>
      </c>
      <c r="O17" s="68" t="str">
        <f t="shared" si="4"/>
        <v>-</v>
      </c>
      <c r="P17" s="109"/>
    </row>
    <row r="18" spans="1:16" x14ac:dyDescent="0.3">
      <c r="A18" s="201"/>
      <c r="B18" s="184" t="s">
        <v>2</v>
      </c>
      <c r="C18" s="184" t="s">
        <v>562</v>
      </c>
      <c r="D18" s="107">
        <v>0</v>
      </c>
      <c r="E18" s="107">
        <v>0</v>
      </c>
      <c r="F18" s="76">
        <v>0</v>
      </c>
      <c r="G18" s="76">
        <v>0</v>
      </c>
      <c r="H18" s="76">
        <v>0</v>
      </c>
      <c r="I18" s="76">
        <f t="shared" si="5"/>
        <v>0</v>
      </c>
      <c r="J18" s="3"/>
      <c r="K18" s="76">
        <f t="shared" si="2"/>
        <v>0</v>
      </c>
      <c r="L18" s="68" t="str">
        <f t="shared" si="3"/>
        <v>-</v>
      </c>
      <c r="M18" s="68" t="str">
        <f t="shared" si="0"/>
        <v>-</v>
      </c>
      <c r="N18" s="68" t="str">
        <f t="shared" si="1"/>
        <v>-</v>
      </c>
      <c r="O18" s="68" t="str">
        <f t="shared" si="4"/>
        <v>-</v>
      </c>
      <c r="P18" s="70"/>
    </row>
    <row r="19" spans="1:16" x14ac:dyDescent="0.3">
      <c r="A19" s="201"/>
      <c r="B19" s="184" t="s">
        <v>3</v>
      </c>
      <c r="C19" s="184" t="s">
        <v>563</v>
      </c>
      <c r="D19" s="107">
        <v>0</v>
      </c>
      <c r="E19" s="107">
        <v>0</v>
      </c>
      <c r="F19" s="76">
        <v>0</v>
      </c>
      <c r="G19" s="76">
        <v>0</v>
      </c>
      <c r="H19" s="76">
        <v>0</v>
      </c>
      <c r="I19" s="76">
        <f t="shared" si="5"/>
        <v>0</v>
      </c>
      <c r="J19" s="3"/>
      <c r="K19" s="76">
        <f t="shared" si="2"/>
        <v>0</v>
      </c>
      <c r="L19" s="68" t="str">
        <f t="shared" si="3"/>
        <v>-</v>
      </c>
      <c r="M19" s="68" t="str">
        <f t="shared" si="0"/>
        <v>-</v>
      </c>
      <c r="N19" s="68" t="str">
        <f t="shared" si="1"/>
        <v>-</v>
      </c>
      <c r="O19" s="68" t="str">
        <f t="shared" si="4"/>
        <v>-</v>
      </c>
      <c r="P19" s="70"/>
    </row>
    <row r="20" spans="1:16" x14ac:dyDescent="0.3">
      <c r="A20" s="201"/>
      <c r="B20" s="184" t="s">
        <v>4</v>
      </c>
      <c r="C20" s="184" t="s">
        <v>564</v>
      </c>
      <c r="D20" s="107">
        <v>0</v>
      </c>
      <c r="E20" s="107">
        <v>0</v>
      </c>
      <c r="F20" s="76">
        <v>0</v>
      </c>
      <c r="G20" s="76">
        <v>0</v>
      </c>
      <c r="H20" s="76">
        <v>0</v>
      </c>
      <c r="I20" s="76">
        <f t="shared" si="5"/>
        <v>0</v>
      </c>
      <c r="J20" s="3">
        <v>0</v>
      </c>
      <c r="K20" s="76">
        <f t="shared" si="2"/>
        <v>0</v>
      </c>
      <c r="L20" s="68" t="str">
        <f t="shared" si="3"/>
        <v>-</v>
      </c>
      <c r="M20" s="68" t="str">
        <f t="shared" si="0"/>
        <v>-</v>
      </c>
      <c r="N20" s="68" t="str">
        <f t="shared" si="1"/>
        <v>-</v>
      </c>
      <c r="O20" s="68" t="str">
        <f t="shared" si="4"/>
        <v>-</v>
      </c>
      <c r="P20" s="110"/>
    </row>
    <row r="21" spans="1:16" x14ac:dyDescent="0.3">
      <c r="A21" s="202"/>
      <c r="B21" s="184" t="s">
        <v>4</v>
      </c>
      <c r="C21" s="184" t="s">
        <v>565</v>
      </c>
      <c r="D21" s="107">
        <v>0</v>
      </c>
      <c r="E21" s="107">
        <v>0</v>
      </c>
      <c r="F21" s="76">
        <v>0</v>
      </c>
      <c r="G21" s="76">
        <v>0</v>
      </c>
      <c r="H21" s="76">
        <v>0</v>
      </c>
      <c r="I21" s="76">
        <f t="shared" si="5"/>
        <v>0</v>
      </c>
      <c r="J21" s="3">
        <v>0</v>
      </c>
      <c r="K21" s="76">
        <f t="shared" si="2"/>
        <v>0</v>
      </c>
      <c r="L21" s="68" t="str">
        <f t="shared" si="3"/>
        <v>-</v>
      </c>
      <c r="M21" s="68" t="str">
        <f t="shared" si="0"/>
        <v>-</v>
      </c>
      <c r="N21" s="68" t="str">
        <f t="shared" si="1"/>
        <v>-</v>
      </c>
      <c r="O21" s="68" t="str">
        <f t="shared" si="4"/>
        <v>-</v>
      </c>
      <c r="P21" s="110"/>
    </row>
    <row r="22" spans="1:16" ht="15.75" customHeight="1" x14ac:dyDescent="0.3">
      <c r="A22" s="200">
        <v>4</v>
      </c>
      <c r="B22" s="185" t="s">
        <v>486</v>
      </c>
      <c r="C22" s="185"/>
      <c r="D22" s="107"/>
      <c r="E22" s="107"/>
      <c r="F22" s="76"/>
      <c r="G22" s="76"/>
      <c r="H22" s="76"/>
      <c r="I22" s="76">
        <f t="shared" si="5"/>
        <v>0</v>
      </c>
      <c r="J22" s="136"/>
      <c r="K22" s="76">
        <f t="shared" si="2"/>
        <v>0</v>
      </c>
      <c r="L22" s="68" t="str">
        <f t="shared" si="3"/>
        <v>-</v>
      </c>
      <c r="M22" s="68" t="str">
        <f t="shared" si="0"/>
        <v>-</v>
      </c>
      <c r="N22" s="68" t="str">
        <f t="shared" si="1"/>
        <v>-</v>
      </c>
      <c r="O22" s="68" t="str">
        <f t="shared" si="4"/>
        <v>-</v>
      </c>
      <c r="P22" s="108"/>
    </row>
    <row r="23" spans="1:16" x14ac:dyDescent="0.3">
      <c r="A23" s="201"/>
      <c r="B23" s="184" t="s">
        <v>1</v>
      </c>
      <c r="C23" s="184" t="s">
        <v>566</v>
      </c>
      <c r="D23" s="107">
        <v>0</v>
      </c>
      <c r="E23" s="107">
        <v>0</v>
      </c>
      <c r="F23" s="76">
        <v>0</v>
      </c>
      <c r="G23" s="76">
        <v>0</v>
      </c>
      <c r="H23" s="76">
        <v>0</v>
      </c>
      <c r="I23" s="76">
        <f t="shared" si="5"/>
        <v>0</v>
      </c>
      <c r="J23" s="3">
        <v>0</v>
      </c>
      <c r="K23" s="76">
        <f t="shared" si="2"/>
        <v>0</v>
      </c>
      <c r="L23" s="68" t="str">
        <f t="shared" si="3"/>
        <v>-</v>
      </c>
      <c r="M23" s="68" t="str">
        <f t="shared" si="0"/>
        <v>-</v>
      </c>
      <c r="N23" s="68" t="str">
        <f t="shared" si="1"/>
        <v>-</v>
      </c>
      <c r="O23" s="68" t="str">
        <f t="shared" si="4"/>
        <v>-</v>
      </c>
      <c r="P23" s="70"/>
    </row>
    <row r="24" spans="1:16" x14ac:dyDescent="0.3">
      <c r="A24" s="201"/>
      <c r="B24" s="184" t="s">
        <v>2</v>
      </c>
      <c r="C24" s="184" t="s">
        <v>567</v>
      </c>
      <c r="D24" s="107">
        <v>0</v>
      </c>
      <c r="E24" s="107">
        <v>0</v>
      </c>
      <c r="F24" s="76">
        <v>0</v>
      </c>
      <c r="G24" s="76">
        <v>0</v>
      </c>
      <c r="H24" s="76">
        <v>0</v>
      </c>
      <c r="I24" s="76">
        <f t="shared" si="5"/>
        <v>0</v>
      </c>
      <c r="J24" s="3">
        <v>0</v>
      </c>
      <c r="K24" s="76">
        <f t="shared" si="2"/>
        <v>0</v>
      </c>
      <c r="L24" s="68" t="str">
        <f t="shared" si="3"/>
        <v>-</v>
      </c>
      <c r="M24" s="68" t="str">
        <f t="shared" si="0"/>
        <v>-</v>
      </c>
      <c r="N24" s="68" t="str">
        <f t="shared" si="1"/>
        <v>-</v>
      </c>
      <c r="O24" s="68" t="str">
        <f t="shared" si="4"/>
        <v>-</v>
      </c>
      <c r="P24" s="70"/>
    </row>
    <row r="25" spans="1:16" x14ac:dyDescent="0.3">
      <c r="A25" s="201"/>
      <c r="B25" s="184" t="s">
        <v>3</v>
      </c>
      <c r="C25" s="184" t="s">
        <v>568</v>
      </c>
      <c r="D25" s="107">
        <v>0</v>
      </c>
      <c r="E25" s="107">
        <v>0</v>
      </c>
      <c r="F25" s="76">
        <v>0</v>
      </c>
      <c r="G25" s="76">
        <v>0</v>
      </c>
      <c r="H25" s="76">
        <v>0</v>
      </c>
      <c r="I25" s="76">
        <f t="shared" si="5"/>
        <v>0</v>
      </c>
      <c r="J25" s="3">
        <v>0</v>
      </c>
      <c r="K25" s="76">
        <f t="shared" si="2"/>
        <v>0</v>
      </c>
      <c r="L25" s="68" t="str">
        <f t="shared" si="3"/>
        <v>-</v>
      </c>
      <c r="M25" s="68" t="str">
        <f t="shared" si="0"/>
        <v>-</v>
      </c>
      <c r="N25" s="68" t="str">
        <f t="shared" si="1"/>
        <v>-</v>
      </c>
      <c r="O25" s="68" t="str">
        <f t="shared" si="4"/>
        <v>-</v>
      </c>
      <c r="P25" s="70"/>
    </row>
    <row r="26" spans="1:16" x14ac:dyDescent="0.3">
      <c r="A26" s="202"/>
      <c r="B26" s="184" t="s">
        <v>4</v>
      </c>
      <c r="C26" s="184" t="s">
        <v>569</v>
      </c>
      <c r="D26" s="107">
        <v>0</v>
      </c>
      <c r="E26" s="107">
        <v>0</v>
      </c>
      <c r="F26" s="76">
        <v>0</v>
      </c>
      <c r="G26" s="76">
        <v>0</v>
      </c>
      <c r="H26" s="76">
        <v>0</v>
      </c>
      <c r="I26" s="76">
        <f t="shared" si="5"/>
        <v>0</v>
      </c>
      <c r="J26" s="3">
        <v>0</v>
      </c>
      <c r="K26" s="76">
        <f t="shared" si="2"/>
        <v>0</v>
      </c>
      <c r="L26" s="68" t="str">
        <f t="shared" si="3"/>
        <v>-</v>
      </c>
      <c r="M26" s="68" t="str">
        <f t="shared" si="0"/>
        <v>-</v>
      </c>
      <c r="N26" s="68" t="str">
        <f t="shared" si="1"/>
        <v>-</v>
      </c>
      <c r="O26" s="68" t="str">
        <f t="shared" si="4"/>
        <v>-</v>
      </c>
      <c r="P26" s="70"/>
    </row>
    <row r="27" spans="1:16" ht="15.75" customHeight="1" x14ac:dyDescent="0.3">
      <c r="A27" s="200">
        <v>5</v>
      </c>
      <c r="B27" s="185" t="s">
        <v>487</v>
      </c>
      <c r="C27" s="184"/>
      <c r="D27" s="107"/>
      <c r="E27" s="107"/>
      <c r="F27" s="76"/>
      <c r="G27" s="76"/>
      <c r="H27" s="76"/>
      <c r="I27" s="76">
        <f t="shared" si="5"/>
        <v>0</v>
      </c>
      <c r="J27" s="136"/>
      <c r="K27" s="76">
        <f t="shared" si="2"/>
        <v>0</v>
      </c>
      <c r="L27" s="68" t="str">
        <f t="shared" si="3"/>
        <v>-</v>
      </c>
      <c r="M27" s="68" t="str">
        <f t="shared" si="0"/>
        <v>-</v>
      </c>
      <c r="N27" s="68" t="str">
        <f t="shared" si="1"/>
        <v>-</v>
      </c>
      <c r="O27" s="68" t="str">
        <f t="shared" si="4"/>
        <v>-</v>
      </c>
      <c r="P27" s="108"/>
    </row>
    <row r="28" spans="1:16" x14ac:dyDescent="0.3">
      <c r="A28" s="201"/>
      <c r="B28" s="184" t="s">
        <v>1</v>
      </c>
      <c r="C28" s="184" t="s">
        <v>570</v>
      </c>
      <c r="D28" s="107">
        <v>0</v>
      </c>
      <c r="E28" s="107">
        <v>0</v>
      </c>
      <c r="F28" s="76">
        <v>0</v>
      </c>
      <c r="G28" s="76">
        <v>0</v>
      </c>
      <c r="H28" s="76">
        <v>0</v>
      </c>
      <c r="I28" s="76">
        <f t="shared" si="5"/>
        <v>0</v>
      </c>
      <c r="J28" s="3">
        <v>0</v>
      </c>
      <c r="K28" s="76">
        <f t="shared" si="2"/>
        <v>0</v>
      </c>
      <c r="L28" s="68" t="str">
        <f t="shared" si="3"/>
        <v>-</v>
      </c>
      <c r="M28" s="68" t="str">
        <f t="shared" si="0"/>
        <v>-</v>
      </c>
      <c r="N28" s="68" t="str">
        <f t="shared" si="1"/>
        <v>-</v>
      </c>
      <c r="O28" s="68" t="str">
        <f t="shared" si="4"/>
        <v>-</v>
      </c>
      <c r="P28" s="70"/>
    </row>
    <row r="29" spans="1:16" x14ac:dyDescent="0.3">
      <c r="A29" s="202"/>
      <c r="B29" s="184" t="s">
        <v>2</v>
      </c>
      <c r="C29" s="184" t="s">
        <v>571</v>
      </c>
      <c r="D29" s="107">
        <v>0</v>
      </c>
      <c r="E29" s="107">
        <v>0</v>
      </c>
      <c r="F29" s="76">
        <v>0</v>
      </c>
      <c r="G29" s="76">
        <v>0</v>
      </c>
      <c r="H29" s="76">
        <v>0</v>
      </c>
      <c r="I29" s="76">
        <f t="shared" si="5"/>
        <v>0</v>
      </c>
      <c r="J29" s="3">
        <v>0</v>
      </c>
      <c r="K29" s="76">
        <f t="shared" si="2"/>
        <v>0</v>
      </c>
      <c r="L29" s="68" t="str">
        <f t="shared" si="3"/>
        <v>-</v>
      </c>
      <c r="M29" s="68" t="str">
        <f t="shared" si="0"/>
        <v>-</v>
      </c>
      <c r="N29" s="68" t="str">
        <f t="shared" si="1"/>
        <v>-</v>
      </c>
      <c r="O29" s="68" t="str">
        <f t="shared" si="4"/>
        <v>-</v>
      </c>
      <c r="P29" s="70"/>
    </row>
    <row r="30" spans="1:16" ht="15.75" customHeight="1" x14ac:dyDescent="0.3">
      <c r="A30" s="200">
        <v>6</v>
      </c>
      <c r="B30" s="185" t="s">
        <v>488</v>
      </c>
      <c r="C30" s="185"/>
      <c r="D30" s="107"/>
      <c r="E30" s="107"/>
      <c r="F30" s="76"/>
      <c r="G30" s="76"/>
      <c r="H30" s="76"/>
      <c r="I30" s="76">
        <f t="shared" si="5"/>
        <v>0</v>
      </c>
      <c r="J30" s="136"/>
      <c r="K30" s="76">
        <f t="shared" si="2"/>
        <v>0</v>
      </c>
      <c r="L30" s="68" t="str">
        <f t="shared" si="3"/>
        <v>-</v>
      </c>
      <c r="M30" s="68" t="str">
        <f t="shared" si="0"/>
        <v>-</v>
      </c>
      <c r="N30" s="68" t="str">
        <f t="shared" si="1"/>
        <v>-</v>
      </c>
      <c r="O30" s="68" t="str">
        <f t="shared" si="4"/>
        <v>-</v>
      </c>
      <c r="P30" s="108"/>
    </row>
    <row r="31" spans="1:16" x14ac:dyDescent="0.3">
      <c r="A31" s="201"/>
      <c r="B31" s="184" t="s">
        <v>1</v>
      </c>
      <c r="C31" s="184" t="s">
        <v>572</v>
      </c>
      <c r="D31" s="107">
        <v>0</v>
      </c>
      <c r="E31" s="107">
        <v>0</v>
      </c>
      <c r="F31" s="76">
        <v>0</v>
      </c>
      <c r="G31" s="76">
        <v>0</v>
      </c>
      <c r="H31" s="76">
        <v>0</v>
      </c>
      <c r="I31" s="76">
        <f t="shared" si="5"/>
        <v>0</v>
      </c>
      <c r="J31" s="3">
        <v>0</v>
      </c>
      <c r="K31" s="76">
        <f t="shared" si="2"/>
        <v>0</v>
      </c>
      <c r="L31" s="68" t="str">
        <f t="shared" si="3"/>
        <v>-</v>
      </c>
      <c r="M31" s="68" t="str">
        <f t="shared" si="0"/>
        <v>-</v>
      </c>
      <c r="N31" s="68" t="str">
        <f t="shared" si="1"/>
        <v>-</v>
      </c>
      <c r="O31" s="68" t="str">
        <f t="shared" si="4"/>
        <v>-</v>
      </c>
      <c r="P31" s="70"/>
    </row>
    <row r="32" spans="1:16" x14ac:dyDescent="0.3">
      <c r="A32" s="201"/>
      <c r="B32" s="184" t="s">
        <v>2</v>
      </c>
      <c r="C32" s="184" t="s">
        <v>573</v>
      </c>
      <c r="D32" s="107">
        <v>0</v>
      </c>
      <c r="E32" s="107">
        <v>0</v>
      </c>
      <c r="F32" s="76">
        <v>0</v>
      </c>
      <c r="G32" s="76">
        <v>0</v>
      </c>
      <c r="H32" s="76">
        <v>0</v>
      </c>
      <c r="I32" s="76">
        <f t="shared" si="5"/>
        <v>0</v>
      </c>
      <c r="J32" s="3">
        <v>0</v>
      </c>
      <c r="K32" s="76">
        <f t="shared" si="2"/>
        <v>0</v>
      </c>
      <c r="L32" s="68" t="str">
        <f t="shared" si="3"/>
        <v>-</v>
      </c>
      <c r="M32" s="68" t="str">
        <f t="shared" si="0"/>
        <v>-</v>
      </c>
      <c r="N32" s="68" t="str">
        <f t="shared" si="1"/>
        <v>-</v>
      </c>
      <c r="O32" s="68" t="str">
        <f t="shared" si="4"/>
        <v>-</v>
      </c>
      <c r="P32" s="70"/>
    </row>
    <row r="33" spans="1:16" x14ac:dyDescent="0.3">
      <c r="A33" s="201"/>
      <c r="B33" s="184" t="s">
        <v>3</v>
      </c>
      <c r="C33" s="184" t="s">
        <v>574</v>
      </c>
      <c r="D33" s="107">
        <v>0</v>
      </c>
      <c r="E33" s="107">
        <v>0</v>
      </c>
      <c r="F33" s="76">
        <v>0</v>
      </c>
      <c r="G33" s="76">
        <v>0</v>
      </c>
      <c r="H33" s="76">
        <v>0</v>
      </c>
      <c r="I33" s="76">
        <f t="shared" si="5"/>
        <v>0</v>
      </c>
      <c r="J33" s="3">
        <v>0</v>
      </c>
      <c r="K33" s="76">
        <f t="shared" si="2"/>
        <v>0</v>
      </c>
      <c r="L33" s="68" t="str">
        <f t="shared" si="3"/>
        <v>-</v>
      </c>
      <c r="M33" s="68" t="str">
        <f t="shared" si="0"/>
        <v>-</v>
      </c>
      <c r="N33" s="68" t="str">
        <f t="shared" si="1"/>
        <v>-</v>
      </c>
      <c r="O33" s="68" t="str">
        <f t="shared" si="4"/>
        <v>-</v>
      </c>
      <c r="P33" s="70"/>
    </row>
    <row r="34" spans="1:16" x14ac:dyDescent="0.3">
      <c r="A34" s="201"/>
      <c r="B34" s="184" t="s">
        <v>4</v>
      </c>
      <c r="C34" s="184" t="s">
        <v>575</v>
      </c>
      <c r="D34" s="107">
        <v>0</v>
      </c>
      <c r="E34" s="107">
        <v>0</v>
      </c>
      <c r="F34" s="76">
        <v>0</v>
      </c>
      <c r="G34" s="76">
        <v>0</v>
      </c>
      <c r="H34" s="76">
        <v>0</v>
      </c>
      <c r="I34" s="76">
        <f t="shared" si="5"/>
        <v>0</v>
      </c>
      <c r="J34" s="3">
        <v>0</v>
      </c>
      <c r="K34" s="76">
        <f t="shared" si="2"/>
        <v>0</v>
      </c>
      <c r="L34" s="68" t="str">
        <f t="shared" si="3"/>
        <v>-</v>
      </c>
      <c r="M34" s="68" t="str">
        <f t="shared" si="0"/>
        <v>-</v>
      </c>
      <c r="N34" s="68" t="str">
        <f t="shared" si="1"/>
        <v>-</v>
      </c>
      <c r="O34" s="68" t="str">
        <f t="shared" si="4"/>
        <v>-</v>
      </c>
      <c r="P34" s="70"/>
    </row>
    <row r="35" spans="1:16" x14ac:dyDescent="0.3">
      <c r="A35" s="202"/>
      <c r="B35" s="184" t="s">
        <v>5</v>
      </c>
      <c r="C35" s="184" t="s">
        <v>576</v>
      </c>
      <c r="D35" s="107">
        <v>0</v>
      </c>
      <c r="E35" s="107">
        <v>0</v>
      </c>
      <c r="F35" s="76">
        <v>0</v>
      </c>
      <c r="G35" s="76">
        <v>0</v>
      </c>
      <c r="H35" s="76">
        <v>0</v>
      </c>
      <c r="I35" s="76">
        <f t="shared" si="5"/>
        <v>0</v>
      </c>
      <c r="J35" s="3">
        <v>0</v>
      </c>
      <c r="K35" s="76">
        <f t="shared" si="2"/>
        <v>0</v>
      </c>
      <c r="L35" s="68" t="str">
        <f t="shared" si="3"/>
        <v>-</v>
      </c>
      <c r="M35" s="68" t="str">
        <f t="shared" si="0"/>
        <v>-</v>
      </c>
      <c r="N35" s="68" t="str">
        <f t="shared" si="1"/>
        <v>-</v>
      </c>
      <c r="O35" s="68" t="str">
        <f t="shared" si="4"/>
        <v>-</v>
      </c>
      <c r="P35" s="70"/>
    </row>
    <row r="36" spans="1:16" ht="15.75" customHeight="1" x14ac:dyDescent="0.3">
      <c r="A36" s="200">
        <v>7</v>
      </c>
      <c r="B36" s="185" t="s">
        <v>489</v>
      </c>
      <c r="C36" s="184"/>
      <c r="D36" s="107"/>
      <c r="E36" s="107"/>
      <c r="F36" s="76"/>
      <c r="G36" s="76"/>
      <c r="H36" s="76"/>
      <c r="I36" s="76">
        <f t="shared" si="5"/>
        <v>0</v>
      </c>
      <c r="J36" s="136"/>
      <c r="K36" s="76">
        <f t="shared" si="2"/>
        <v>0</v>
      </c>
      <c r="L36" s="68" t="str">
        <f t="shared" si="3"/>
        <v>-</v>
      </c>
      <c r="M36" s="68" t="str">
        <f t="shared" si="0"/>
        <v>-</v>
      </c>
      <c r="N36" s="68" t="str">
        <f t="shared" si="1"/>
        <v>-</v>
      </c>
      <c r="O36" s="68" t="str">
        <f t="shared" si="4"/>
        <v>-</v>
      </c>
      <c r="P36" s="108"/>
    </row>
    <row r="37" spans="1:16" x14ac:dyDescent="0.3">
      <c r="A37" s="201"/>
      <c r="B37" s="184" t="s">
        <v>1</v>
      </c>
      <c r="C37" s="184" t="s">
        <v>577</v>
      </c>
      <c r="D37" s="107">
        <v>0</v>
      </c>
      <c r="E37" s="107">
        <v>0</v>
      </c>
      <c r="F37" s="76">
        <v>0</v>
      </c>
      <c r="G37" s="76">
        <v>0</v>
      </c>
      <c r="H37" s="76">
        <v>0</v>
      </c>
      <c r="I37" s="76">
        <f t="shared" si="5"/>
        <v>0</v>
      </c>
      <c r="J37" s="3">
        <v>0</v>
      </c>
      <c r="K37" s="76">
        <f t="shared" si="2"/>
        <v>0</v>
      </c>
      <c r="L37" s="68" t="str">
        <f t="shared" si="3"/>
        <v>-</v>
      </c>
      <c r="M37" s="68" t="str">
        <f t="shared" si="0"/>
        <v>-</v>
      </c>
      <c r="N37" s="68" t="str">
        <f t="shared" si="1"/>
        <v>-</v>
      </c>
      <c r="O37" s="68" t="str">
        <f t="shared" si="4"/>
        <v>-</v>
      </c>
      <c r="P37" s="70"/>
    </row>
    <row r="38" spans="1:16" x14ac:dyDescent="0.3">
      <c r="A38" s="201"/>
      <c r="B38" s="184" t="s">
        <v>2</v>
      </c>
      <c r="C38" s="184" t="s">
        <v>578</v>
      </c>
      <c r="D38" s="107">
        <v>0</v>
      </c>
      <c r="E38" s="107">
        <v>0</v>
      </c>
      <c r="F38" s="76">
        <v>0</v>
      </c>
      <c r="G38" s="76">
        <v>0</v>
      </c>
      <c r="H38" s="76">
        <v>0</v>
      </c>
      <c r="I38" s="76">
        <f t="shared" si="5"/>
        <v>0</v>
      </c>
      <c r="J38" s="3">
        <v>0</v>
      </c>
      <c r="K38" s="76">
        <f t="shared" si="2"/>
        <v>0</v>
      </c>
      <c r="L38" s="68" t="str">
        <f t="shared" si="3"/>
        <v>-</v>
      </c>
      <c r="M38" s="68" t="str">
        <f t="shared" si="0"/>
        <v>-</v>
      </c>
      <c r="N38" s="68" t="str">
        <f t="shared" si="1"/>
        <v>-</v>
      </c>
      <c r="O38" s="68" t="str">
        <f t="shared" si="4"/>
        <v>-</v>
      </c>
      <c r="P38" s="70"/>
    </row>
    <row r="39" spans="1:16" x14ac:dyDescent="0.3">
      <c r="A39" s="201"/>
      <c r="B39" s="184" t="s">
        <v>3</v>
      </c>
      <c r="C39" s="184" t="s">
        <v>579</v>
      </c>
      <c r="D39" s="107">
        <v>0</v>
      </c>
      <c r="E39" s="107">
        <v>0</v>
      </c>
      <c r="F39" s="76">
        <v>0</v>
      </c>
      <c r="G39" s="76">
        <v>0</v>
      </c>
      <c r="H39" s="76">
        <v>0</v>
      </c>
      <c r="I39" s="76">
        <f t="shared" si="5"/>
        <v>0</v>
      </c>
      <c r="J39" s="3">
        <v>0</v>
      </c>
      <c r="K39" s="76">
        <f t="shared" si="2"/>
        <v>0</v>
      </c>
      <c r="L39" s="68" t="str">
        <f t="shared" si="3"/>
        <v>-</v>
      </c>
      <c r="M39" s="68" t="str">
        <f t="shared" si="0"/>
        <v>-</v>
      </c>
      <c r="N39" s="68" t="str">
        <f t="shared" si="1"/>
        <v>-</v>
      </c>
      <c r="O39" s="68" t="str">
        <f t="shared" si="4"/>
        <v>-</v>
      </c>
      <c r="P39" s="70"/>
    </row>
    <row r="40" spans="1:16" x14ac:dyDescent="0.3">
      <c r="A40" s="202"/>
      <c r="B40" s="184" t="s">
        <v>4</v>
      </c>
      <c r="C40" s="184" t="s">
        <v>580</v>
      </c>
      <c r="D40" s="107">
        <v>0</v>
      </c>
      <c r="E40" s="107">
        <v>0</v>
      </c>
      <c r="F40" s="76">
        <v>0</v>
      </c>
      <c r="G40" s="76">
        <v>0</v>
      </c>
      <c r="H40" s="76">
        <v>0</v>
      </c>
      <c r="I40" s="76">
        <f t="shared" si="5"/>
        <v>0</v>
      </c>
      <c r="J40" s="3">
        <v>0</v>
      </c>
      <c r="K40" s="76">
        <f t="shared" si="2"/>
        <v>0</v>
      </c>
      <c r="L40" s="68" t="str">
        <f t="shared" si="3"/>
        <v>-</v>
      </c>
      <c r="M40" s="68" t="str">
        <f t="shared" si="0"/>
        <v>-</v>
      </c>
      <c r="N40" s="68" t="str">
        <f t="shared" si="1"/>
        <v>-</v>
      </c>
      <c r="O40" s="68" t="str">
        <f t="shared" si="4"/>
        <v>-</v>
      </c>
      <c r="P40" s="70"/>
    </row>
    <row r="41" spans="1:16" ht="15.75" customHeight="1" x14ac:dyDescent="0.3">
      <c r="A41" s="200">
        <v>8</v>
      </c>
      <c r="B41" s="185" t="s">
        <v>490</v>
      </c>
      <c r="C41" s="184"/>
      <c r="D41" s="107"/>
      <c r="E41" s="107"/>
      <c r="F41" s="76"/>
      <c r="G41" s="76"/>
      <c r="H41" s="76"/>
      <c r="I41" s="76">
        <f t="shared" si="5"/>
        <v>0</v>
      </c>
      <c r="J41" s="136"/>
      <c r="K41" s="76">
        <f t="shared" si="2"/>
        <v>0</v>
      </c>
      <c r="L41" s="68" t="str">
        <f t="shared" si="3"/>
        <v>-</v>
      </c>
      <c r="M41" s="68" t="str">
        <f t="shared" si="0"/>
        <v>-</v>
      </c>
      <c r="N41" s="68" t="str">
        <f t="shared" si="1"/>
        <v>-</v>
      </c>
      <c r="O41" s="68" t="str">
        <f t="shared" si="4"/>
        <v>-</v>
      </c>
      <c r="P41" s="108"/>
    </row>
    <row r="42" spans="1:16" x14ac:dyDescent="0.3">
      <c r="A42" s="201"/>
      <c r="B42" s="184" t="s">
        <v>1</v>
      </c>
      <c r="C42" s="184" t="s">
        <v>581</v>
      </c>
      <c r="D42" s="107">
        <v>0</v>
      </c>
      <c r="E42" s="107">
        <v>0</v>
      </c>
      <c r="F42" s="76">
        <v>0</v>
      </c>
      <c r="G42" s="76">
        <v>0</v>
      </c>
      <c r="H42" s="76">
        <v>0</v>
      </c>
      <c r="I42" s="76">
        <f t="shared" si="5"/>
        <v>0</v>
      </c>
      <c r="J42" s="3">
        <v>0</v>
      </c>
      <c r="K42" s="76">
        <f t="shared" si="2"/>
        <v>0</v>
      </c>
      <c r="L42" s="68" t="str">
        <f t="shared" si="3"/>
        <v>-</v>
      </c>
      <c r="M42" s="68" t="str">
        <f t="shared" si="0"/>
        <v>-</v>
      </c>
      <c r="N42" s="68" t="str">
        <f t="shared" si="1"/>
        <v>-</v>
      </c>
      <c r="O42" s="68" t="str">
        <f t="shared" si="4"/>
        <v>-</v>
      </c>
      <c r="P42" s="70"/>
    </row>
    <row r="43" spans="1:16" x14ac:dyDescent="0.3">
      <c r="A43" s="202"/>
      <c r="B43" s="184" t="s">
        <v>2</v>
      </c>
      <c r="C43" s="184" t="s">
        <v>582</v>
      </c>
      <c r="D43" s="107">
        <v>0</v>
      </c>
      <c r="E43" s="107">
        <v>0</v>
      </c>
      <c r="F43" s="76">
        <v>0</v>
      </c>
      <c r="G43" s="76">
        <v>0</v>
      </c>
      <c r="H43" s="76">
        <v>0</v>
      </c>
      <c r="I43" s="76">
        <f t="shared" si="5"/>
        <v>0</v>
      </c>
      <c r="J43" s="3">
        <v>0</v>
      </c>
      <c r="K43" s="76">
        <f t="shared" si="2"/>
        <v>0</v>
      </c>
      <c r="L43" s="68" t="str">
        <f t="shared" si="3"/>
        <v>-</v>
      </c>
      <c r="M43" s="68" t="str">
        <f t="shared" si="0"/>
        <v>-</v>
      </c>
      <c r="N43" s="68" t="str">
        <f t="shared" si="1"/>
        <v>-</v>
      </c>
      <c r="O43" s="68" t="str">
        <f t="shared" si="4"/>
        <v>-</v>
      </c>
      <c r="P43" s="70"/>
    </row>
    <row r="44" spans="1:16" ht="15.75" customHeight="1" x14ac:dyDescent="0.3">
      <c r="A44" s="200">
        <v>9</v>
      </c>
      <c r="B44" s="185" t="s">
        <v>491</v>
      </c>
      <c r="C44" s="184"/>
      <c r="D44" s="107"/>
      <c r="E44" s="107"/>
      <c r="F44" s="76"/>
      <c r="G44" s="76"/>
      <c r="H44" s="76"/>
      <c r="I44" s="76">
        <f t="shared" si="5"/>
        <v>0</v>
      </c>
      <c r="J44" s="136"/>
      <c r="K44" s="76">
        <f t="shared" si="2"/>
        <v>0</v>
      </c>
      <c r="L44" s="68" t="str">
        <f t="shared" si="3"/>
        <v>-</v>
      </c>
      <c r="M44" s="68" t="str">
        <f t="shared" si="0"/>
        <v>-</v>
      </c>
      <c r="N44" s="68" t="str">
        <f t="shared" si="1"/>
        <v>-</v>
      </c>
      <c r="O44" s="68" t="str">
        <f t="shared" si="4"/>
        <v>-</v>
      </c>
      <c r="P44" s="108"/>
    </row>
    <row r="45" spans="1:16" x14ac:dyDescent="0.3">
      <c r="A45" s="201"/>
      <c r="B45" s="184" t="s">
        <v>1</v>
      </c>
      <c r="C45" s="184" t="s">
        <v>583</v>
      </c>
      <c r="D45" s="107">
        <v>0</v>
      </c>
      <c r="E45" s="107">
        <v>0</v>
      </c>
      <c r="F45" s="76">
        <v>0</v>
      </c>
      <c r="G45" s="76">
        <v>0</v>
      </c>
      <c r="H45" s="76">
        <v>0</v>
      </c>
      <c r="I45" s="76">
        <f t="shared" si="5"/>
        <v>0</v>
      </c>
      <c r="J45" s="3">
        <v>0</v>
      </c>
      <c r="K45" s="76">
        <f t="shared" si="2"/>
        <v>0</v>
      </c>
      <c r="L45" s="68" t="str">
        <f t="shared" si="3"/>
        <v>-</v>
      </c>
      <c r="M45" s="68" t="str">
        <f t="shared" si="0"/>
        <v>-</v>
      </c>
      <c r="N45" s="68" t="str">
        <f t="shared" si="1"/>
        <v>-</v>
      </c>
      <c r="O45" s="68" t="str">
        <f t="shared" si="4"/>
        <v>-</v>
      </c>
      <c r="P45" s="70"/>
    </row>
    <row r="46" spans="1:16" x14ac:dyDescent="0.3">
      <c r="A46" s="201"/>
      <c r="B46" s="184" t="s">
        <v>2</v>
      </c>
      <c r="C46" s="184" t="s">
        <v>584</v>
      </c>
      <c r="D46" s="107">
        <v>0</v>
      </c>
      <c r="E46" s="107">
        <v>0</v>
      </c>
      <c r="F46" s="76">
        <v>0</v>
      </c>
      <c r="G46" s="76">
        <v>0</v>
      </c>
      <c r="H46" s="76">
        <v>0</v>
      </c>
      <c r="I46" s="76">
        <f t="shared" si="5"/>
        <v>0</v>
      </c>
      <c r="J46" s="3">
        <v>0</v>
      </c>
      <c r="K46" s="76">
        <f t="shared" si="2"/>
        <v>0</v>
      </c>
      <c r="L46" s="68" t="str">
        <f t="shared" si="3"/>
        <v>-</v>
      </c>
      <c r="M46" s="68" t="str">
        <f t="shared" si="0"/>
        <v>-</v>
      </c>
      <c r="N46" s="68" t="str">
        <f t="shared" si="1"/>
        <v>-</v>
      </c>
      <c r="O46" s="68" t="str">
        <f t="shared" si="4"/>
        <v>-</v>
      </c>
      <c r="P46" s="70"/>
    </row>
    <row r="47" spans="1:16" x14ac:dyDescent="0.3">
      <c r="A47" s="201"/>
      <c r="B47" s="184" t="s">
        <v>3</v>
      </c>
      <c r="C47" s="184" t="s">
        <v>585</v>
      </c>
      <c r="D47" s="107">
        <v>0</v>
      </c>
      <c r="E47" s="107">
        <v>0</v>
      </c>
      <c r="F47" s="76">
        <v>0</v>
      </c>
      <c r="G47" s="76">
        <v>0</v>
      </c>
      <c r="H47" s="76">
        <v>0</v>
      </c>
      <c r="I47" s="76">
        <f t="shared" si="5"/>
        <v>0</v>
      </c>
      <c r="J47" s="3">
        <v>0</v>
      </c>
      <c r="K47" s="76">
        <f t="shared" si="2"/>
        <v>0</v>
      </c>
      <c r="L47" s="68" t="str">
        <f t="shared" si="3"/>
        <v>-</v>
      </c>
      <c r="M47" s="68" t="str">
        <f t="shared" si="0"/>
        <v>-</v>
      </c>
      <c r="N47" s="68" t="str">
        <f t="shared" si="1"/>
        <v>-</v>
      </c>
      <c r="O47" s="68" t="str">
        <f t="shared" si="4"/>
        <v>-</v>
      </c>
      <c r="P47" s="70"/>
    </row>
    <row r="48" spans="1:16" x14ac:dyDescent="0.3">
      <c r="A48" s="202"/>
      <c r="B48" s="184" t="s">
        <v>4</v>
      </c>
      <c r="C48" s="184" t="s">
        <v>586</v>
      </c>
      <c r="D48" s="107">
        <v>0</v>
      </c>
      <c r="E48" s="107">
        <v>0</v>
      </c>
      <c r="F48" s="76">
        <v>0</v>
      </c>
      <c r="G48" s="76">
        <v>0</v>
      </c>
      <c r="H48" s="76">
        <v>0</v>
      </c>
      <c r="I48" s="76">
        <f t="shared" si="5"/>
        <v>0</v>
      </c>
      <c r="J48" s="3">
        <v>0</v>
      </c>
      <c r="K48" s="76">
        <f t="shared" si="2"/>
        <v>0</v>
      </c>
      <c r="L48" s="68" t="str">
        <f t="shared" si="3"/>
        <v>-</v>
      </c>
      <c r="M48" s="68" t="str">
        <f t="shared" si="0"/>
        <v>-</v>
      </c>
      <c r="N48" s="68" t="str">
        <f t="shared" si="1"/>
        <v>-</v>
      </c>
      <c r="O48" s="68" t="str">
        <f t="shared" si="4"/>
        <v>-</v>
      </c>
      <c r="P48" s="70"/>
    </row>
    <row r="49" spans="1:16" ht="15.75" customHeight="1" x14ac:dyDescent="0.3">
      <c r="A49" s="200">
        <v>10</v>
      </c>
      <c r="B49" s="185" t="s">
        <v>492</v>
      </c>
      <c r="C49" s="184"/>
      <c r="D49" s="107"/>
      <c r="E49" s="107"/>
      <c r="F49" s="76"/>
      <c r="G49" s="76"/>
      <c r="H49" s="76"/>
      <c r="I49" s="76">
        <f t="shared" si="5"/>
        <v>0</v>
      </c>
      <c r="J49" s="136"/>
      <c r="K49" s="76">
        <f t="shared" si="2"/>
        <v>0</v>
      </c>
      <c r="L49" s="68" t="str">
        <f t="shared" si="3"/>
        <v>-</v>
      </c>
      <c r="M49" s="68" t="str">
        <f t="shared" si="0"/>
        <v>-</v>
      </c>
      <c r="N49" s="68" t="str">
        <f t="shared" si="1"/>
        <v>-</v>
      </c>
      <c r="O49" s="68" t="str">
        <f t="shared" si="4"/>
        <v>-</v>
      </c>
      <c r="P49" s="108"/>
    </row>
    <row r="50" spans="1:16" x14ac:dyDescent="0.3">
      <c r="A50" s="201"/>
      <c r="B50" s="184" t="s">
        <v>1</v>
      </c>
      <c r="C50" s="184" t="s">
        <v>587</v>
      </c>
      <c r="D50" s="107">
        <v>0</v>
      </c>
      <c r="E50" s="107">
        <v>0</v>
      </c>
      <c r="F50" s="76">
        <v>0</v>
      </c>
      <c r="G50" s="76">
        <v>0</v>
      </c>
      <c r="H50" s="76">
        <v>0</v>
      </c>
      <c r="I50" s="76">
        <f t="shared" si="5"/>
        <v>0</v>
      </c>
      <c r="J50" s="3">
        <v>0</v>
      </c>
      <c r="K50" s="76">
        <f t="shared" si="2"/>
        <v>0</v>
      </c>
      <c r="L50" s="68" t="str">
        <f t="shared" si="3"/>
        <v>-</v>
      </c>
      <c r="M50" s="68" t="str">
        <f t="shared" si="0"/>
        <v>-</v>
      </c>
      <c r="N50" s="68" t="str">
        <f t="shared" si="1"/>
        <v>-</v>
      </c>
      <c r="O50" s="68" t="str">
        <f t="shared" si="4"/>
        <v>-</v>
      </c>
      <c r="P50" s="70"/>
    </row>
    <row r="51" spans="1:16" x14ac:dyDescent="0.3">
      <c r="A51" s="201"/>
      <c r="B51" s="184" t="s">
        <v>2</v>
      </c>
      <c r="C51" s="184" t="s">
        <v>588</v>
      </c>
      <c r="D51" s="107">
        <v>0</v>
      </c>
      <c r="E51" s="107">
        <v>0</v>
      </c>
      <c r="F51" s="76">
        <v>0</v>
      </c>
      <c r="G51" s="76">
        <v>0</v>
      </c>
      <c r="H51" s="76">
        <v>0</v>
      </c>
      <c r="I51" s="76">
        <f t="shared" si="5"/>
        <v>0</v>
      </c>
      <c r="J51" s="3">
        <v>0</v>
      </c>
      <c r="K51" s="76">
        <f t="shared" si="2"/>
        <v>0</v>
      </c>
      <c r="L51" s="68" t="str">
        <f t="shared" si="3"/>
        <v>-</v>
      </c>
      <c r="M51" s="68" t="str">
        <f t="shared" si="0"/>
        <v>-</v>
      </c>
      <c r="N51" s="68" t="str">
        <f t="shared" si="1"/>
        <v>-</v>
      </c>
      <c r="O51" s="68" t="str">
        <f t="shared" si="4"/>
        <v>-</v>
      </c>
      <c r="P51" s="70"/>
    </row>
    <row r="52" spans="1:16" x14ac:dyDescent="0.3">
      <c r="A52" s="201"/>
      <c r="B52" s="184" t="s">
        <v>3</v>
      </c>
      <c r="C52" s="184" t="s">
        <v>589</v>
      </c>
      <c r="D52" s="107">
        <v>0</v>
      </c>
      <c r="E52" s="107">
        <v>0</v>
      </c>
      <c r="F52" s="76">
        <v>0</v>
      </c>
      <c r="G52" s="76">
        <v>0</v>
      </c>
      <c r="H52" s="76">
        <v>0</v>
      </c>
      <c r="I52" s="76">
        <f t="shared" si="5"/>
        <v>0</v>
      </c>
      <c r="J52" s="3">
        <v>0</v>
      </c>
      <c r="K52" s="76">
        <f t="shared" si="2"/>
        <v>0</v>
      </c>
      <c r="L52" s="68" t="str">
        <f t="shared" si="3"/>
        <v>-</v>
      </c>
      <c r="M52" s="68" t="str">
        <f t="shared" si="0"/>
        <v>-</v>
      </c>
      <c r="N52" s="68" t="str">
        <f t="shared" si="1"/>
        <v>-</v>
      </c>
      <c r="O52" s="68" t="str">
        <f t="shared" si="4"/>
        <v>-</v>
      </c>
      <c r="P52" s="70"/>
    </row>
    <row r="53" spans="1:16" x14ac:dyDescent="0.3">
      <c r="A53" s="202"/>
      <c r="B53" s="184" t="s">
        <v>4</v>
      </c>
      <c r="C53" s="184" t="s">
        <v>590</v>
      </c>
      <c r="D53" s="107">
        <v>0</v>
      </c>
      <c r="E53" s="107">
        <v>0</v>
      </c>
      <c r="F53" s="76">
        <v>0</v>
      </c>
      <c r="G53" s="76">
        <v>0</v>
      </c>
      <c r="H53" s="76">
        <v>0</v>
      </c>
      <c r="I53" s="76">
        <f t="shared" si="5"/>
        <v>0</v>
      </c>
      <c r="J53" s="3">
        <v>0</v>
      </c>
      <c r="K53" s="76">
        <f t="shared" si="2"/>
        <v>0</v>
      </c>
      <c r="L53" s="68" t="str">
        <f t="shared" si="3"/>
        <v>-</v>
      </c>
      <c r="M53" s="68" t="str">
        <f t="shared" si="0"/>
        <v>-</v>
      </c>
      <c r="N53" s="68" t="str">
        <f t="shared" si="1"/>
        <v>-</v>
      </c>
      <c r="O53" s="68" t="str">
        <f t="shared" si="4"/>
        <v>-</v>
      </c>
      <c r="P53" s="70"/>
    </row>
    <row r="54" spans="1:16" ht="15.75" customHeight="1" x14ac:dyDescent="0.3">
      <c r="A54" s="200">
        <v>11</v>
      </c>
      <c r="B54" s="185" t="s">
        <v>493</v>
      </c>
      <c r="C54" s="184"/>
      <c r="D54" s="107"/>
      <c r="E54" s="107"/>
      <c r="F54" s="76"/>
      <c r="G54" s="76"/>
      <c r="H54" s="76"/>
      <c r="I54" s="76">
        <f t="shared" si="5"/>
        <v>0</v>
      </c>
      <c r="J54" s="136"/>
      <c r="K54" s="76">
        <f t="shared" si="2"/>
        <v>0</v>
      </c>
      <c r="L54" s="68" t="str">
        <f t="shared" si="3"/>
        <v>-</v>
      </c>
      <c r="M54" s="68" t="str">
        <f t="shared" si="0"/>
        <v>-</v>
      </c>
      <c r="N54" s="68" t="str">
        <f t="shared" si="1"/>
        <v>-</v>
      </c>
      <c r="O54" s="68" t="str">
        <f t="shared" si="4"/>
        <v>-</v>
      </c>
      <c r="P54" s="108"/>
    </row>
    <row r="55" spans="1:16" x14ac:dyDescent="0.3">
      <c r="A55" s="201"/>
      <c r="B55" s="184" t="s">
        <v>1</v>
      </c>
      <c r="C55" s="184" t="s">
        <v>591</v>
      </c>
      <c r="D55" s="107">
        <v>0</v>
      </c>
      <c r="E55" s="107">
        <v>0</v>
      </c>
      <c r="F55" s="76">
        <v>0</v>
      </c>
      <c r="G55" s="76">
        <v>0</v>
      </c>
      <c r="H55" s="76">
        <v>0</v>
      </c>
      <c r="I55" s="76">
        <f t="shared" si="5"/>
        <v>0</v>
      </c>
      <c r="J55" s="3">
        <v>0</v>
      </c>
      <c r="K55" s="76">
        <f t="shared" si="2"/>
        <v>0</v>
      </c>
      <c r="L55" s="68" t="str">
        <f t="shared" si="3"/>
        <v>-</v>
      </c>
      <c r="M55" s="68" t="str">
        <f t="shared" si="0"/>
        <v>-</v>
      </c>
      <c r="N55" s="68" t="str">
        <f t="shared" si="1"/>
        <v>-</v>
      </c>
      <c r="O55" s="68" t="str">
        <f t="shared" si="4"/>
        <v>-</v>
      </c>
      <c r="P55" s="70"/>
    </row>
    <row r="56" spans="1:16" x14ac:dyDescent="0.3">
      <c r="A56" s="202"/>
      <c r="B56" s="184" t="s">
        <v>2</v>
      </c>
      <c r="C56" s="184" t="s">
        <v>591</v>
      </c>
      <c r="D56" s="107">
        <v>0</v>
      </c>
      <c r="E56" s="107">
        <v>0</v>
      </c>
      <c r="F56" s="76">
        <v>0</v>
      </c>
      <c r="G56" s="76">
        <v>0</v>
      </c>
      <c r="H56" s="76">
        <v>0</v>
      </c>
      <c r="I56" s="76">
        <f t="shared" si="5"/>
        <v>0</v>
      </c>
      <c r="J56" s="3">
        <v>0</v>
      </c>
      <c r="K56" s="76">
        <f t="shared" si="2"/>
        <v>0</v>
      </c>
      <c r="L56" s="68" t="str">
        <f t="shared" si="3"/>
        <v>-</v>
      </c>
      <c r="M56" s="68" t="str">
        <f t="shared" si="0"/>
        <v>-</v>
      </c>
      <c r="N56" s="68" t="str">
        <f t="shared" si="1"/>
        <v>-</v>
      </c>
      <c r="O56" s="68" t="str">
        <f t="shared" si="4"/>
        <v>-</v>
      </c>
      <c r="P56" s="70"/>
    </row>
    <row r="57" spans="1:16" ht="15.75" customHeight="1" x14ac:dyDescent="0.3">
      <c r="A57" s="200">
        <v>12</v>
      </c>
      <c r="B57" s="185" t="s">
        <v>494</v>
      </c>
      <c r="C57" s="184"/>
      <c r="D57" s="107"/>
      <c r="E57" s="107"/>
      <c r="F57" s="76"/>
      <c r="G57" s="76"/>
      <c r="H57" s="76"/>
      <c r="I57" s="76">
        <f t="shared" si="5"/>
        <v>0</v>
      </c>
      <c r="J57" s="136"/>
      <c r="K57" s="76">
        <f t="shared" si="2"/>
        <v>0</v>
      </c>
      <c r="L57" s="68" t="str">
        <f t="shared" si="3"/>
        <v>-</v>
      </c>
      <c r="M57" s="68" t="str">
        <f t="shared" si="0"/>
        <v>-</v>
      </c>
      <c r="N57" s="68" t="str">
        <f t="shared" si="1"/>
        <v>-</v>
      </c>
      <c r="O57" s="68" t="str">
        <f t="shared" si="4"/>
        <v>-</v>
      </c>
      <c r="P57" s="108"/>
    </row>
    <row r="58" spans="1:16" x14ac:dyDescent="0.3">
      <c r="A58" s="202"/>
      <c r="B58" s="184" t="s">
        <v>1</v>
      </c>
      <c r="C58" s="184" t="s">
        <v>592</v>
      </c>
      <c r="D58" s="107">
        <v>0</v>
      </c>
      <c r="E58" s="107">
        <v>0</v>
      </c>
      <c r="F58" s="76">
        <v>0</v>
      </c>
      <c r="G58" s="76">
        <v>0</v>
      </c>
      <c r="H58" s="76">
        <v>0</v>
      </c>
      <c r="I58" s="76">
        <f t="shared" si="5"/>
        <v>0</v>
      </c>
      <c r="J58" s="3">
        <v>0</v>
      </c>
      <c r="K58" s="76">
        <f t="shared" si="2"/>
        <v>0</v>
      </c>
      <c r="L58" s="68" t="str">
        <f t="shared" si="3"/>
        <v>-</v>
      </c>
      <c r="M58" s="68" t="str">
        <f t="shared" si="0"/>
        <v>-</v>
      </c>
      <c r="N58" s="68" t="str">
        <f t="shared" si="1"/>
        <v>-</v>
      </c>
      <c r="O58" s="68" t="str">
        <f t="shared" si="4"/>
        <v>-</v>
      </c>
      <c r="P58" s="70"/>
    </row>
    <row r="59" spans="1:16" ht="15.75" customHeight="1" x14ac:dyDescent="0.3">
      <c r="A59" s="200">
        <v>13</v>
      </c>
      <c r="B59" s="185" t="s">
        <v>495</v>
      </c>
      <c r="C59" s="184"/>
      <c r="D59" s="107"/>
      <c r="E59" s="107"/>
      <c r="F59" s="76"/>
      <c r="G59" s="76"/>
      <c r="H59" s="76"/>
      <c r="I59" s="76">
        <f t="shared" si="5"/>
        <v>0</v>
      </c>
      <c r="J59" s="136"/>
      <c r="K59" s="76">
        <f t="shared" si="2"/>
        <v>0</v>
      </c>
      <c r="L59" s="68" t="str">
        <f t="shared" si="3"/>
        <v>-</v>
      </c>
      <c r="M59" s="68" t="str">
        <f t="shared" si="0"/>
        <v>-</v>
      </c>
      <c r="N59" s="68" t="str">
        <f t="shared" si="1"/>
        <v>-</v>
      </c>
      <c r="O59" s="68" t="str">
        <f t="shared" si="4"/>
        <v>-</v>
      </c>
      <c r="P59" s="108"/>
    </row>
    <row r="60" spans="1:16" x14ac:dyDescent="0.3">
      <c r="A60" s="201"/>
      <c r="B60" s="184" t="s">
        <v>1</v>
      </c>
      <c r="C60" s="184" t="s">
        <v>593</v>
      </c>
      <c r="D60" s="107">
        <v>0</v>
      </c>
      <c r="E60" s="107">
        <v>0</v>
      </c>
      <c r="F60" s="76">
        <v>0</v>
      </c>
      <c r="G60" s="76">
        <v>0</v>
      </c>
      <c r="H60" s="76">
        <v>0</v>
      </c>
      <c r="I60" s="76">
        <f t="shared" si="5"/>
        <v>0</v>
      </c>
      <c r="J60" s="3">
        <v>0</v>
      </c>
      <c r="K60" s="76">
        <f t="shared" si="2"/>
        <v>0</v>
      </c>
      <c r="L60" s="68" t="str">
        <f t="shared" si="3"/>
        <v>-</v>
      </c>
      <c r="M60" s="68" t="str">
        <f t="shared" si="0"/>
        <v>-</v>
      </c>
      <c r="N60" s="68" t="str">
        <f t="shared" si="1"/>
        <v>-</v>
      </c>
      <c r="O60" s="68" t="str">
        <f t="shared" si="4"/>
        <v>-</v>
      </c>
      <c r="P60" s="70"/>
    </row>
    <row r="61" spans="1:16" x14ac:dyDescent="0.3">
      <c r="A61" s="202"/>
      <c r="B61" s="184" t="s">
        <v>2</v>
      </c>
      <c r="C61" s="184" t="s">
        <v>594</v>
      </c>
      <c r="D61" s="107">
        <v>0</v>
      </c>
      <c r="E61" s="107">
        <v>0</v>
      </c>
      <c r="F61" s="76">
        <v>0</v>
      </c>
      <c r="G61" s="76">
        <v>0</v>
      </c>
      <c r="H61" s="76">
        <v>0</v>
      </c>
      <c r="I61" s="76">
        <f t="shared" si="5"/>
        <v>0</v>
      </c>
      <c r="J61" s="3">
        <v>0</v>
      </c>
      <c r="K61" s="76">
        <f t="shared" si="2"/>
        <v>0</v>
      </c>
      <c r="L61" s="68" t="str">
        <f t="shared" si="3"/>
        <v>-</v>
      </c>
      <c r="M61" s="68" t="str">
        <f t="shared" si="0"/>
        <v>-</v>
      </c>
      <c r="N61" s="68" t="str">
        <f t="shared" si="1"/>
        <v>-</v>
      </c>
      <c r="O61" s="68" t="str">
        <f t="shared" si="4"/>
        <v>-</v>
      </c>
      <c r="P61" s="70"/>
    </row>
    <row r="62" spans="1:16" ht="15.75" customHeight="1" x14ac:dyDescent="0.3">
      <c r="A62" s="200">
        <v>14</v>
      </c>
      <c r="B62" s="185" t="s">
        <v>496</v>
      </c>
      <c r="C62" s="184"/>
      <c r="D62" s="107">
        <v>0</v>
      </c>
      <c r="E62" s="107">
        <v>0</v>
      </c>
      <c r="F62" s="76">
        <v>0</v>
      </c>
      <c r="G62" s="76">
        <v>0</v>
      </c>
      <c r="H62" s="76">
        <v>0</v>
      </c>
      <c r="I62" s="76">
        <f t="shared" si="5"/>
        <v>0</v>
      </c>
      <c r="J62" s="3"/>
      <c r="K62" s="76">
        <f t="shared" si="2"/>
        <v>0</v>
      </c>
      <c r="L62" s="68" t="str">
        <f t="shared" si="3"/>
        <v>-</v>
      </c>
      <c r="M62" s="68" t="str">
        <f t="shared" si="0"/>
        <v>-</v>
      </c>
      <c r="N62" s="68" t="str">
        <f t="shared" si="1"/>
        <v>-</v>
      </c>
      <c r="O62" s="68" t="str">
        <f t="shared" si="4"/>
        <v>-</v>
      </c>
      <c r="P62" s="70"/>
    </row>
    <row r="63" spans="1:16" x14ac:dyDescent="0.3">
      <c r="A63" s="201"/>
      <c r="B63" s="184" t="s">
        <v>1</v>
      </c>
      <c r="C63" s="184" t="s">
        <v>595</v>
      </c>
      <c r="D63" s="107">
        <v>0</v>
      </c>
      <c r="E63" s="107">
        <v>0</v>
      </c>
      <c r="F63" s="76">
        <v>0</v>
      </c>
      <c r="G63" s="76">
        <v>0</v>
      </c>
      <c r="H63" s="76">
        <v>0</v>
      </c>
      <c r="I63" s="76">
        <f t="shared" si="5"/>
        <v>0</v>
      </c>
      <c r="J63" s="3">
        <v>0</v>
      </c>
      <c r="K63" s="76">
        <f t="shared" si="2"/>
        <v>0</v>
      </c>
      <c r="L63" s="68" t="str">
        <f t="shared" si="3"/>
        <v>-</v>
      </c>
      <c r="M63" s="68" t="str">
        <f t="shared" si="0"/>
        <v>-</v>
      </c>
      <c r="N63" s="68" t="str">
        <f t="shared" si="1"/>
        <v>-</v>
      </c>
      <c r="O63" s="68" t="str">
        <f t="shared" si="4"/>
        <v>-</v>
      </c>
      <c r="P63" s="70"/>
    </row>
    <row r="64" spans="1:16" x14ac:dyDescent="0.3">
      <c r="A64" s="202"/>
      <c r="B64" s="184" t="s">
        <v>2</v>
      </c>
      <c r="C64" s="184" t="s">
        <v>596</v>
      </c>
      <c r="D64" s="107">
        <v>0</v>
      </c>
      <c r="E64" s="107">
        <v>0</v>
      </c>
      <c r="F64" s="76">
        <v>0</v>
      </c>
      <c r="G64" s="76">
        <v>0</v>
      </c>
      <c r="H64" s="76">
        <v>0</v>
      </c>
      <c r="I64" s="76">
        <f t="shared" si="5"/>
        <v>0</v>
      </c>
      <c r="J64" s="3">
        <v>0</v>
      </c>
      <c r="K64" s="76">
        <f t="shared" si="2"/>
        <v>0</v>
      </c>
      <c r="L64" s="68" t="str">
        <f t="shared" si="3"/>
        <v>-</v>
      </c>
      <c r="M64" s="68" t="str">
        <f t="shared" si="0"/>
        <v>-</v>
      </c>
      <c r="N64" s="68" t="str">
        <f t="shared" si="1"/>
        <v>-</v>
      </c>
      <c r="O64" s="68" t="str">
        <f t="shared" si="4"/>
        <v>-</v>
      </c>
      <c r="P64" s="70"/>
    </row>
    <row r="65" spans="1:16" ht="15.75" customHeight="1" x14ac:dyDescent="0.3">
      <c r="A65" s="200">
        <v>15</v>
      </c>
      <c r="B65" s="185" t="s">
        <v>497</v>
      </c>
      <c r="C65" s="184"/>
      <c r="D65" s="107"/>
      <c r="E65" s="107"/>
      <c r="F65" s="76"/>
      <c r="G65" s="76"/>
      <c r="H65" s="76"/>
      <c r="I65" s="76">
        <f t="shared" si="5"/>
        <v>0</v>
      </c>
      <c r="J65" s="136"/>
      <c r="K65" s="76">
        <f t="shared" si="2"/>
        <v>0</v>
      </c>
      <c r="L65" s="68" t="str">
        <f t="shared" si="3"/>
        <v>-</v>
      </c>
      <c r="M65" s="68" t="str">
        <f t="shared" si="0"/>
        <v>-</v>
      </c>
      <c r="N65" s="68" t="str">
        <f t="shared" si="1"/>
        <v>-</v>
      </c>
      <c r="O65" s="68" t="str">
        <f t="shared" si="4"/>
        <v>-</v>
      </c>
      <c r="P65" s="108"/>
    </row>
    <row r="66" spans="1:16" x14ac:dyDescent="0.3">
      <c r="A66" s="201"/>
      <c r="B66" s="184" t="s">
        <v>1</v>
      </c>
      <c r="C66" s="184" t="s">
        <v>597</v>
      </c>
      <c r="D66" s="107">
        <v>0</v>
      </c>
      <c r="E66" s="107">
        <v>0</v>
      </c>
      <c r="F66" s="76">
        <v>0</v>
      </c>
      <c r="G66" s="76">
        <v>0</v>
      </c>
      <c r="H66" s="76">
        <v>0</v>
      </c>
      <c r="I66" s="76">
        <f t="shared" si="5"/>
        <v>0</v>
      </c>
      <c r="J66" s="3">
        <v>0</v>
      </c>
      <c r="K66" s="76">
        <f t="shared" si="2"/>
        <v>0</v>
      </c>
      <c r="L66" s="68" t="str">
        <f t="shared" si="3"/>
        <v>-</v>
      </c>
      <c r="M66" s="68" t="str">
        <f t="shared" si="0"/>
        <v>-</v>
      </c>
      <c r="N66" s="68" t="str">
        <f t="shared" si="1"/>
        <v>-</v>
      </c>
      <c r="O66" s="68" t="str">
        <f t="shared" si="4"/>
        <v>-</v>
      </c>
      <c r="P66" s="70"/>
    </row>
    <row r="67" spans="1:16" x14ac:dyDescent="0.3">
      <c r="A67" s="202"/>
      <c r="B67" s="184" t="s">
        <v>2</v>
      </c>
      <c r="C67" s="184" t="s">
        <v>598</v>
      </c>
      <c r="D67" s="107">
        <v>0</v>
      </c>
      <c r="E67" s="107">
        <v>0</v>
      </c>
      <c r="F67" s="76">
        <v>0</v>
      </c>
      <c r="G67" s="76">
        <v>0</v>
      </c>
      <c r="H67" s="76">
        <v>0</v>
      </c>
      <c r="I67" s="76">
        <f t="shared" si="5"/>
        <v>0</v>
      </c>
      <c r="J67" s="3">
        <v>0</v>
      </c>
      <c r="K67" s="76">
        <f t="shared" si="2"/>
        <v>0</v>
      </c>
      <c r="L67" s="68" t="str">
        <f t="shared" si="3"/>
        <v>-</v>
      </c>
      <c r="M67" s="68" t="str">
        <f t="shared" si="0"/>
        <v>-</v>
      </c>
      <c r="N67" s="68" t="str">
        <f t="shared" si="1"/>
        <v>-</v>
      </c>
      <c r="O67" s="68" t="str">
        <f t="shared" si="4"/>
        <v>-</v>
      </c>
      <c r="P67" s="70"/>
    </row>
    <row r="68" spans="1:16" s="112" customFormat="1" ht="15" customHeight="1" x14ac:dyDescent="0.3">
      <c r="A68" s="99" t="s">
        <v>51</v>
      </c>
      <c r="B68" s="100"/>
      <c r="C68" s="111"/>
      <c r="D68" s="107"/>
      <c r="E68" s="107"/>
      <c r="F68" s="76"/>
      <c r="G68" s="76"/>
      <c r="H68" s="76"/>
      <c r="I68" s="76"/>
      <c r="J68" s="102"/>
      <c r="K68" s="76"/>
      <c r="L68" s="68"/>
      <c r="M68" s="68"/>
      <c r="N68" s="68"/>
      <c r="O68" s="68"/>
      <c r="P68" s="105"/>
    </row>
    <row r="69" spans="1:16" s="106" customFormat="1" ht="20.25" customHeight="1" x14ac:dyDescent="0.3">
      <c r="A69" s="3">
        <v>16</v>
      </c>
      <c r="B69" s="196" t="s">
        <v>498</v>
      </c>
      <c r="C69" s="197"/>
      <c r="D69" s="76">
        <v>0</v>
      </c>
      <c r="E69" s="76">
        <v>1</v>
      </c>
      <c r="F69" s="76">
        <v>0</v>
      </c>
      <c r="G69" s="76">
        <v>0</v>
      </c>
      <c r="H69" s="76">
        <v>0</v>
      </c>
      <c r="I69" s="76">
        <f t="shared" si="5"/>
        <v>0</v>
      </c>
      <c r="J69" s="3">
        <v>0</v>
      </c>
      <c r="K69" s="76">
        <f t="shared" si="2"/>
        <v>1</v>
      </c>
      <c r="L69" s="68">
        <f t="shared" si="3"/>
        <v>0</v>
      </c>
      <c r="M69" s="68">
        <f>IF(E69=0,"-",(J69/E69))</f>
        <v>0</v>
      </c>
      <c r="N69" s="68">
        <f>IF(E69=0,"-",(K69/E69))</f>
        <v>1</v>
      </c>
      <c r="O69" s="68">
        <f t="shared" si="4"/>
        <v>1</v>
      </c>
      <c r="P69" s="6"/>
    </row>
    <row r="70" spans="1:16" s="106" customFormat="1" ht="30.75" customHeight="1" x14ac:dyDescent="0.3">
      <c r="A70" s="3">
        <v>17</v>
      </c>
      <c r="B70" s="196" t="s">
        <v>499</v>
      </c>
      <c r="C70" s="197"/>
      <c r="D70" s="76">
        <v>178</v>
      </c>
      <c r="E70" s="76">
        <v>80</v>
      </c>
      <c r="F70" s="76">
        <v>0</v>
      </c>
      <c r="G70" s="76">
        <v>0</v>
      </c>
      <c r="H70" s="76">
        <v>0</v>
      </c>
      <c r="I70" s="76">
        <f t="shared" si="5"/>
        <v>0</v>
      </c>
      <c r="J70" s="3">
        <v>0</v>
      </c>
      <c r="K70" s="76">
        <f t="shared" si="2"/>
        <v>80</v>
      </c>
      <c r="L70" s="68">
        <f t="shared" si="3"/>
        <v>0</v>
      </c>
      <c r="M70" s="68">
        <f t="shared" si="0"/>
        <v>0</v>
      </c>
      <c r="N70" s="68">
        <f t="shared" ref="N70:N133" si="6">IF(E70=0,"-",(K70/E70))</f>
        <v>1</v>
      </c>
      <c r="O70" s="68">
        <f t="shared" si="4"/>
        <v>1</v>
      </c>
      <c r="P70" s="14"/>
    </row>
    <row r="71" spans="1:16" x14ac:dyDescent="0.3">
      <c r="A71" s="3">
        <v>18</v>
      </c>
      <c r="B71" s="196" t="s">
        <v>500</v>
      </c>
      <c r="C71" s="197"/>
      <c r="D71" s="76">
        <v>92</v>
      </c>
      <c r="E71" s="76">
        <v>144</v>
      </c>
      <c r="F71" s="76">
        <v>0</v>
      </c>
      <c r="G71" s="76">
        <v>0</v>
      </c>
      <c r="H71" s="76">
        <v>0</v>
      </c>
      <c r="I71" s="76">
        <f t="shared" si="5"/>
        <v>0</v>
      </c>
      <c r="J71" s="3">
        <v>0</v>
      </c>
      <c r="K71" s="76">
        <f t="shared" si="2"/>
        <v>144</v>
      </c>
      <c r="L71" s="68">
        <f t="shared" si="3"/>
        <v>0</v>
      </c>
      <c r="M71" s="68">
        <f t="shared" ref="M71:M134" si="7">IF(E71=0,"-",(J71/E71))</f>
        <v>0</v>
      </c>
      <c r="N71" s="68">
        <f t="shared" si="6"/>
        <v>1</v>
      </c>
      <c r="O71" s="68">
        <f t="shared" si="4"/>
        <v>1</v>
      </c>
      <c r="P71" s="84"/>
    </row>
    <row r="72" spans="1:16" x14ac:dyDescent="0.3">
      <c r="A72" s="3">
        <v>19</v>
      </c>
      <c r="B72" s="196" t="s">
        <v>501</v>
      </c>
      <c r="C72" s="197"/>
      <c r="D72" s="76">
        <v>19</v>
      </c>
      <c r="E72" s="76">
        <v>91</v>
      </c>
      <c r="F72" s="76">
        <v>0</v>
      </c>
      <c r="G72" s="76">
        <v>0</v>
      </c>
      <c r="H72" s="76">
        <v>0</v>
      </c>
      <c r="I72" s="76">
        <f t="shared" si="5"/>
        <v>0</v>
      </c>
      <c r="J72" s="3">
        <v>0</v>
      </c>
      <c r="K72" s="76">
        <f t="shared" ref="K72:K135" si="8">SUM(E72-I72-J72)</f>
        <v>91</v>
      </c>
      <c r="L72" s="68">
        <f t="shared" ref="L72:L135" si="9">IF(E72=0,"-",(I72/E72))</f>
        <v>0</v>
      </c>
      <c r="M72" s="68">
        <f t="shared" si="7"/>
        <v>0</v>
      </c>
      <c r="N72" s="68">
        <f t="shared" si="6"/>
        <v>1</v>
      </c>
      <c r="O72" s="68">
        <f t="shared" ref="O72:O135" si="10">N72</f>
        <v>1</v>
      </c>
      <c r="P72" s="15"/>
    </row>
    <row r="73" spans="1:16" ht="37.5" customHeight="1" x14ac:dyDescent="0.3">
      <c r="A73" s="3">
        <v>20</v>
      </c>
      <c r="B73" s="196" t="s">
        <v>502</v>
      </c>
      <c r="C73" s="197"/>
      <c r="D73" s="76">
        <v>94</v>
      </c>
      <c r="E73" s="76">
        <v>93</v>
      </c>
      <c r="F73" s="76">
        <v>0</v>
      </c>
      <c r="G73" s="76">
        <v>0</v>
      </c>
      <c r="H73" s="76">
        <v>0</v>
      </c>
      <c r="I73" s="76">
        <f t="shared" si="5"/>
        <v>0</v>
      </c>
      <c r="J73" s="3">
        <v>0</v>
      </c>
      <c r="K73" s="76">
        <f t="shared" si="8"/>
        <v>93</v>
      </c>
      <c r="L73" s="68">
        <f t="shared" si="9"/>
        <v>0</v>
      </c>
      <c r="M73" s="68">
        <f t="shared" si="7"/>
        <v>0</v>
      </c>
      <c r="N73" s="68">
        <f t="shared" si="6"/>
        <v>1</v>
      </c>
      <c r="O73" s="68">
        <f t="shared" si="10"/>
        <v>1</v>
      </c>
      <c r="P73" s="124" t="s">
        <v>118</v>
      </c>
    </row>
    <row r="74" spans="1:16" ht="20.25" customHeight="1" x14ac:dyDescent="0.3">
      <c r="A74" s="3">
        <v>21</v>
      </c>
      <c r="B74" s="196" t="s">
        <v>503</v>
      </c>
      <c r="C74" s="197"/>
      <c r="D74" s="76">
        <v>0</v>
      </c>
      <c r="E74" s="76">
        <v>0</v>
      </c>
      <c r="F74" s="76">
        <v>0</v>
      </c>
      <c r="G74" s="76">
        <v>0</v>
      </c>
      <c r="H74" s="76">
        <v>0</v>
      </c>
      <c r="I74" s="76">
        <f t="shared" si="5"/>
        <v>0</v>
      </c>
      <c r="J74" s="3">
        <v>0</v>
      </c>
      <c r="K74" s="76">
        <f t="shared" si="8"/>
        <v>0</v>
      </c>
      <c r="L74" s="68" t="str">
        <f t="shared" si="9"/>
        <v>-</v>
      </c>
      <c r="M74" s="68" t="str">
        <f t="shared" si="7"/>
        <v>-</v>
      </c>
      <c r="N74" s="68" t="str">
        <f t="shared" si="6"/>
        <v>-</v>
      </c>
      <c r="O74" s="68" t="str">
        <f t="shared" si="10"/>
        <v>-</v>
      </c>
      <c r="P74" s="60"/>
    </row>
    <row r="75" spans="1:16" s="106" customFormat="1" x14ac:dyDescent="0.3">
      <c r="A75" s="3">
        <v>22</v>
      </c>
      <c r="B75" s="196" t="s">
        <v>504</v>
      </c>
      <c r="C75" s="197"/>
      <c r="D75" s="76">
        <v>3</v>
      </c>
      <c r="E75" s="76">
        <v>2</v>
      </c>
      <c r="F75" s="76">
        <v>0</v>
      </c>
      <c r="G75" s="76">
        <v>0</v>
      </c>
      <c r="H75" s="76">
        <v>0</v>
      </c>
      <c r="I75" s="76">
        <f t="shared" si="5"/>
        <v>0</v>
      </c>
      <c r="J75" s="3">
        <v>0</v>
      </c>
      <c r="K75" s="76">
        <f t="shared" si="8"/>
        <v>2</v>
      </c>
      <c r="L75" s="68">
        <f t="shared" si="9"/>
        <v>0</v>
      </c>
      <c r="M75" s="68">
        <f t="shared" si="7"/>
        <v>0</v>
      </c>
      <c r="N75" s="68">
        <f t="shared" si="6"/>
        <v>1</v>
      </c>
      <c r="O75" s="68">
        <f t="shared" si="10"/>
        <v>1</v>
      </c>
      <c r="P75" s="124" t="s">
        <v>118</v>
      </c>
    </row>
    <row r="76" spans="1:16" ht="20.25" customHeight="1" x14ac:dyDescent="0.3">
      <c r="A76" s="3">
        <v>23</v>
      </c>
      <c r="B76" s="196" t="s">
        <v>505</v>
      </c>
      <c r="C76" s="197"/>
      <c r="D76" s="76">
        <v>0</v>
      </c>
      <c r="E76" s="76">
        <v>0</v>
      </c>
      <c r="F76" s="76">
        <v>0</v>
      </c>
      <c r="G76" s="76">
        <v>0</v>
      </c>
      <c r="H76" s="76">
        <v>0</v>
      </c>
      <c r="I76" s="76">
        <f t="shared" si="5"/>
        <v>0</v>
      </c>
      <c r="J76" s="3"/>
      <c r="K76" s="76">
        <f t="shared" si="8"/>
        <v>0</v>
      </c>
      <c r="L76" s="68" t="str">
        <f t="shared" si="9"/>
        <v>-</v>
      </c>
      <c r="M76" s="68" t="str">
        <f t="shared" si="7"/>
        <v>-</v>
      </c>
      <c r="N76" s="68" t="str">
        <f t="shared" si="6"/>
        <v>-</v>
      </c>
      <c r="O76" s="68" t="str">
        <f t="shared" si="10"/>
        <v>-</v>
      </c>
      <c r="P76" s="70"/>
    </row>
    <row r="77" spans="1:16" s="106" customFormat="1" x14ac:dyDescent="0.3">
      <c r="A77" s="3">
        <v>24</v>
      </c>
      <c r="B77" s="196" t="s">
        <v>506</v>
      </c>
      <c r="C77" s="197"/>
      <c r="D77" s="76">
        <v>0</v>
      </c>
      <c r="E77" s="76">
        <v>0</v>
      </c>
      <c r="F77" s="76">
        <v>0</v>
      </c>
      <c r="G77" s="76">
        <v>0</v>
      </c>
      <c r="H77" s="76">
        <v>0</v>
      </c>
      <c r="I77" s="76">
        <f t="shared" si="5"/>
        <v>0</v>
      </c>
      <c r="J77" s="3">
        <v>0</v>
      </c>
      <c r="K77" s="76">
        <f t="shared" si="8"/>
        <v>0</v>
      </c>
      <c r="L77" s="68" t="str">
        <f t="shared" si="9"/>
        <v>-</v>
      </c>
      <c r="M77" s="68" t="str">
        <f t="shared" si="7"/>
        <v>-</v>
      </c>
      <c r="N77" s="68" t="str">
        <f t="shared" si="6"/>
        <v>-</v>
      </c>
      <c r="O77" s="68" t="str">
        <f t="shared" si="10"/>
        <v>-</v>
      </c>
      <c r="P77" s="6"/>
    </row>
    <row r="78" spans="1:16" s="106" customFormat="1" ht="33.75" customHeight="1" x14ac:dyDescent="0.3">
      <c r="A78" s="3">
        <v>25</v>
      </c>
      <c r="B78" s="196" t="s">
        <v>507</v>
      </c>
      <c r="C78" s="197"/>
      <c r="D78" s="76">
        <v>0</v>
      </c>
      <c r="E78" s="76">
        <v>9</v>
      </c>
      <c r="F78" s="76">
        <v>1</v>
      </c>
      <c r="G78" s="76">
        <v>0</v>
      </c>
      <c r="H78" s="76">
        <v>0</v>
      </c>
      <c r="I78" s="76">
        <f t="shared" ref="I78:I80" si="11">SUM(F78:H78)</f>
        <v>1</v>
      </c>
      <c r="J78" s="3">
        <v>0</v>
      </c>
      <c r="K78" s="76">
        <f t="shared" si="8"/>
        <v>8</v>
      </c>
      <c r="L78" s="68">
        <f t="shared" si="9"/>
        <v>0.1111111111111111</v>
      </c>
      <c r="M78" s="68">
        <f t="shared" si="7"/>
        <v>0</v>
      </c>
      <c r="N78" s="68">
        <f t="shared" si="6"/>
        <v>0.88888888888888884</v>
      </c>
      <c r="O78" s="68">
        <f t="shared" si="10"/>
        <v>0.88888888888888884</v>
      </c>
      <c r="P78" s="124" t="s">
        <v>660</v>
      </c>
    </row>
    <row r="79" spans="1:16" ht="15.75" customHeight="1" x14ac:dyDescent="0.3">
      <c r="A79" s="3">
        <v>26</v>
      </c>
      <c r="B79" s="196" t="s">
        <v>508</v>
      </c>
      <c r="C79" s="197"/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f t="shared" si="11"/>
        <v>0</v>
      </c>
      <c r="J79" s="3"/>
      <c r="K79" s="76">
        <f t="shared" si="8"/>
        <v>0</v>
      </c>
      <c r="L79" s="68" t="str">
        <f t="shared" si="9"/>
        <v>-</v>
      </c>
      <c r="M79" s="68" t="str">
        <f t="shared" si="7"/>
        <v>-</v>
      </c>
      <c r="N79" s="68" t="str">
        <f t="shared" si="6"/>
        <v>-</v>
      </c>
      <c r="O79" s="68" t="str">
        <f t="shared" si="10"/>
        <v>-</v>
      </c>
      <c r="P79" s="70"/>
    </row>
    <row r="80" spans="1:16" s="106" customFormat="1" ht="30.75" customHeight="1" x14ac:dyDescent="0.3">
      <c r="A80" s="3">
        <v>27</v>
      </c>
      <c r="B80" s="196" t="s">
        <v>509</v>
      </c>
      <c r="C80" s="197"/>
      <c r="D80" s="76">
        <v>108</v>
      </c>
      <c r="E80" s="76">
        <v>70</v>
      </c>
      <c r="F80" s="76">
        <v>0</v>
      </c>
      <c r="G80" s="76">
        <v>0</v>
      </c>
      <c r="H80" s="76">
        <v>0</v>
      </c>
      <c r="I80" s="76">
        <f t="shared" si="11"/>
        <v>0</v>
      </c>
      <c r="J80" s="3">
        <v>0</v>
      </c>
      <c r="K80" s="76">
        <f t="shared" si="8"/>
        <v>70</v>
      </c>
      <c r="L80" s="68">
        <f t="shared" si="9"/>
        <v>0</v>
      </c>
      <c r="M80" s="68">
        <f t="shared" si="7"/>
        <v>0</v>
      </c>
      <c r="N80" s="68">
        <f t="shared" si="6"/>
        <v>1</v>
      </c>
      <c r="O80" s="68">
        <f t="shared" si="10"/>
        <v>1</v>
      </c>
      <c r="P80" s="57"/>
    </row>
    <row r="81" spans="1:16" s="112" customFormat="1" ht="14.25" customHeight="1" x14ac:dyDescent="0.3">
      <c r="A81" s="99" t="s">
        <v>52</v>
      </c>
      <c r="B81" s="100"/>
      <c r="C81" s="100"/>
      <c r="D81" s="100">
        <v>0</v>
      </c>
      <c r="E81" s="100">
        <v>0</v>
      </c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11"/>
    </row>
    <row r="82" spans="1:16" x14ac:dyDescent="0.3">
      <c r="A82" s="3">
        <v>28</v>
      </c>
      <c r="B82" s="198" t="s">
        <v>510</v>
      </c>
      <c r="C82" s="199"/>
      <c r="D82" s="76">
        <v>135</v>
      </c>
      <c r="E82" s="76">
        <v>191</v>
      </c>
      <c r="F82" s="76">
        <v>2</v>
      </c>
      <c r="G82" s="76">
        <v>0</v>
      </c>
      <c r="H82" s="76">
        <v>0</v>
      </c>
      <c r="I82" s="76">
        <f t="shared" ref="I82:I141" si="12">SUM(F82:H82)</f>
        <v>2</v>
      </c>
      <c r="J82" s="3">
        <v>0</v>
      </c>
      <c r="K82" s="76">
        <f t="shared" si="8"/>
        <v>189</v>
      </c>
      <c r="L82" s="68">
        <f t="shared" si="9"/>
        <v>1.0471204188481676E-2</v>
      </c>
      <c r="M82" s="68">
        <f t="shared" si="7"/>
        <v>0</v>
      </c>
      <c r="N82" s="68">
        <f t="shared" si="6"/>
        <v>0.98952879581151831</v>
      </c>
      <c r="O82" s="68">
        <f t="shared" si="10"/>
        <v>0.98952879581151831</v>
      </c>
      <c r="P82" s="57" t="s">
        <v>661</v>
      </c>
    </row>
    <row r="83" spans="1:16" ht="15.75" customHeight="1" x14ac:dyDescent="0.3">
      <c r="A83" s="19">
        <v>29</v>
      </c>
      <c r="B83" s="198" t="s">
        <v>511</v>
      </c>
      <c r="C83" s="199"/>
      <c r="D83" s="76">
        <v>5</v>
      </c>
      <c r="E83" s="76">
        <v>0</v>
      </c>
      <c r="F83" s="76">
        <v>0</v>
      </c>
      <c r="G83" s="76">
        <v>0</v>
      </c>
      <c r="H83" s="76">
        <v>0</v>
      </c>
      <c r="I83" s="76">
        <f t="shared" si="12"/>
        <v>0</v>
      </c>
      <c r="J83" s="3"/>
      <c r="K83" s="76">
        <f t="shared" si="8"/>
        <v>0</v>
      </c>
      <c r="L83" s="68" t="str">
        <f t="shared" si="9"/>
        <v>-</v>
      </c>
      <c r="M83" s="68" t="str">
        <f t="shared" si="7"/>
        <v>-</v>
      </c>
      <c r="N83" s="68" t="str">
        <f t="shared" si="6"/>
        <v>-</v>
      </c>
      <c r="O83" s="68" t="str">
        <f t="shared" si="10"/>
        <v>-</v>
      </c>
      <c r="P83" s="163"/>
    </row>
    <row r="84" spans="1:16" ht="15.75" customHeight="1" x14ac:dyDescent="0.3">
      <c r="A84" s="3">
        <v>30</v>
      </c>
      <c r="B84" s="198" t="s">
        <v>512</v>
      </c>
      <c r="C84" s="199"/>
      <c r="D84" s="76">
        <v>0</v>
      </c>
      <c r="E84" s="76">
        <v>0</v>
      </c>
      <c r="F84" s="76">
        <v>0</v>
      </c>
      <c r="G84" s="76">
        <v>0</v>
      </c>
      <c r="H84" s="76">
        <v>0</v>
      </c>
      <c r="I84" s="76">
        <f t="shared" si="12"/>
        <v>0</v>
      </c>
      <c r="J84" s="3"/>
      <c r="K84" s="76">
        <f t="shared" si="8"/>
        <v>0</v>
      </c>
      <c r="L84" s="68" t="str">
        <f t="shared" si="9"/>
        <v>-</v>
      </c>
      <c r="M84" s="68" t="str">
        <f t="shared" si="7"/>
        <v>-</v>
      </c>
      <c r="N84" s="68" t="str">
        <f t="shared" si="6"/>
        <v>-</v>
      </c>
      <c r="O84" s="68" t="str">
        <f t="shared" si="10"/>
        <v>-</v>
      </c>
      <c r="P84" s="70"/>
    </row>
    <row r="85" spans="1:16" ht="15.75" customHeight="1" x14ac:dyDescent="0.3">
      <c r="A85" s="3">
        <v>31</v>
      </c>
      <c r="B85" s="198" t="s">
        <v>513</v>
      </c>
      <c r="C85" s="199"/>
      <c r="D85" s="76">
        <v>0</v>
      </c>
      <c r="E85" s="76">
        <v>1</v>
      </c>
      <c r="F85" s="76">
        <v>0</v>
      </c>
      <c r="G85" s="76">
        <v>0</v>
      </c>
      <c r="H85" s="76">
        <v>0</v>
      </c>
      <c r="I85" s="76">
        <f t="shared" si="12"/>
        <v>0</v>
      </c>
      <c r="J85" s="3"/>
      <c r="K85" s="76">
        <f t="shared" si="8"/>
        <v>1</v>
      </c>
      <c r="L85" s="68">
        <f t="shared" si="9"/>
        <v>0</v>
      </c>
      <c r="M85" s="68">
        <f t="shared" si="7"/>
        <v>0</v>
      </c>
      <c r="N85" s="68">
        <f t="shared" si="6"/>
        <v>1</v>
      </c>
      <c r="O85" s="68">
        <f t="shared" si="10"/>
        <v>1</v>
      </c>
      <c r="P85" s="163"/>
    </row>
    <row r="86" spans="1:16" ht="21" customHeight="1" x14ac:dyDescent="0.3">
      <c r="A86" s="19">
        <v>32</v>
      </c>
      <c r="B86" s="198" t="s">
        <v>514</v>
      </c>
      <c r="C86" s="199"/>
      <c r="D86" s="76">
        <v>52</v>
      </c>
      <c r="E86" s="76">
        <v>42</v>
      </c>
      <c r="F86" s="76">
        <v>0</v>
      </c>
      <c r="G86" s="76">
        <v>0</v>
      </c>
      <c r="H86" s="76">
        <v>0</v>
      </c>
      <c r="I86" s="76">
        <f t="shared" si="12"/>
        <v>0</v>
      </c>
      <c r="J86" s="3">
        <v>0</v>
      </c>
      <c r="K86" s="76">
        <f t="shared" si="8"/>
        <v>42</v>
      </c>
      <c r="L86" s="68">
        <f t="shared" si="9"/>
        <v>0</v>
      </c>
      <c r="M86" s="68">
        <f t="shared" si="7"/>
        <v>0</v>
      </c>
      <c r="N86" s="68">
        <f t="shared" si="6"/>
        <v>1</v>
      </c>
      <c r="O86" s="68">
        <f t="shared" si="10"/>
        <v>1</v>
      </c>
      <c r="P86" s="57"/>
    </row>
    <row r="87" spans="1:16" ht="15.75" customHeight="1" x14ac:dyDescent="0.3">
      <c r="A87" s="3">
        <v>33</v>
      </c>
      <c r="B87" s="198" t="s">
        <v>515</v>
      </c>
      <c r="C87" s="199"/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f t="shared" si="12"/>
        <v>0</v>
      </c>
      <c r="J87" s="3"/>
      <c r="K87" s="76">
        <f t="shared" si="8"/>
        <v>0</v>
      </c>
      <c r="L87" s="68" t="str">
        <f t="shared" si="9"/>
        <v>-</v>
      </c>
      <c r="M87" s="68" t="str">
        <f t="shared" si="7"/>
        <v>-</v>
      </c>
      <c r="N87" s="68" t="str">
        <f t="shared" si="6"/>
        <v>-</v>
      </c>
      <c r="O87" s="68" t="str">
        <f t="shared" si="10"/>
        <v>-</v>
      </c>
      <c r="P87" s="70"/>
    </row>
    <row r="88" spans="1:16" s="112" customFormat="1" ht="15" customHeight="1" x14ac:dyDescent="0.3">
      <c r="A88" s="99" t="s">
        <v>53</v>
      </c>
      <c r="B88" s="100"/>
      <c r="C88" s="100"/>
      <c r="D88" s="100">
        <v>0</v>
      </c>
      <c r="E88" s="100">
        <v>0</v>
      </c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11"/>
    </row>
    <row r="89" spans="1:16" ht="24" customHeight="1" x14ac:dyDescent="0.3">
      <c r="A89" s="19">
        <v>34</v>
      </c>
      <c r="B89" s="196" t="s">
        <v>516</v>
      </c>
      <c r="C89" s="197"/>
      <c r="D89" s="76">
        <v>28</v>
      </c>
      <c r="E89" s="76">
        <v>29</v>
      </c>
      <c r="F89" s="76">
        <v>0</v>
      </c>
      <c r="G89" s="76">
        <v>0</v>
      </c>
      <c r="H89" s="76">
        <v>0</v>
      </c>
      <c r="I89" s="76">
        <f t="shared" si="12"/>
        <v>0</v>
      </c>
      <c r="J89" s="3">
        <v>0</v>
      </c>
      <c r="K89" s="76">
        <f t="shared" si="8"/>
        <v>29</v>
      </c>
      <c r="L89" s="68">
        <f t="shared" si="9"/>
        <v>0</v>
      </c>
      <c r="M89" s="68">
        <f t="shared" si="7"/>
        <v>0</v>
      </c>
      <c r="N89" s="68">
        <f t="shared" si="6"/>
        <v>1</v>
      </c>
      <c r="O89" s="68">
        <f t="shared" si="10"/>
        <v>1</v>
      </c>
      <c r="P89" s="6"/>
    </row>
    <row r="90" spans="1:16" ht="30.6" x14ac:dyDescent="0.3">
      <c r="A90" s="113">
        <v>35</v>
      </c>
      <c r="B90" s="196" t="s">
        <v>517</v>
      </c>
      <c r="C90" s="197"/>
      <c r="D90" s="76">
        <v>445</v>
      </c>
      <c r="E90" s="76">
        <v>386</v>
      </c>
      <c r="F90" s="76">
        <v>0</v>
      </c>
      <c r="G90" s="76">
        <v>0</v>
      </c>
      <c r="H90" s="76">
        <v>0</v>
      </c>
      <c r="I90" s="76">
        <f t="shared" si="12"/>
        <v>0</v>
      </c>
      <c r="J90" s="9">
        <v>0</v>
      </c>
      <c r="K90" s="76">
        <f t="shared" si="8"/>
        <v>386</v>
      </c>
      <c r="L90" s="68">
        <f t="shared" si="9"/>
        <v>0</v>
      </c>
      <c r="M90" s="68">
        <f t="shared" si="7"/>
        <v>0</v>
      </c>
      <c r="N90" s="68">
        <f t="shared" si="6"/>
        <v>1</v>
      </c>
      <c r="O90" s="68">
        <f t="shared" si="10"/>
        <v>1</v>
      </c>
      <c r="P90" s="175" t="s">
        <v>116</v>
      </c>
    </row>
    <row r="91" spans="1:16" ht="30" x14ac:dyDescent="0.3">
      <c r="A91" s="3">
        <v>36</v>
      </c>
      <c r="B91" s="196" t="s">
        <v>518</v>
      </c>
      <c r="C91" s="197"/>
      <c r="D91" s="76">
        <v>127</v>
      </c>
      <c r="E91" s="76">
        <v>124</v>
      </c>
      <c r="F91" s="76">
        <v>1</v>
      </c>
      <c r="G91" s="76">
        <v>0</v>
      </c>
      <c r="H91" s="76">
        <v>0</v>
      </c>
      <c r="I91" s="76">
        <f t="shared" si="12"/>
        <v>1</v>
      </c>
      <c r="J91" s="3">
        <v>0</v>
      </c>
      <c r="K91" s="76">
        <f t="shared" si="8"/>
        <v>123</v>
      </c>
      <c r="L91" s="68">
        <f t="shared" si="9"/>
        <v>8.0645161290322578E-3</v>
      </c>
      <c r="M91" s="68">
        <f t="shared" si="7"/>
        <v>0</v>
      </c>
      <c r="N91" s="68">
        <f t="shared" si="6"/>
        <v>0.99193548387096775</v>
      </c>
      <c r="O91" s="68">
        <f t="shared" si="10"/>
        <v>0.99193548387096775</v>
      </c>
      <c r="P91" s="57" t="s">
        <v>90</v>
      </c>
    </row>
    <row r="92" spans="1:16" ht="30.6" x14ac:dyDescent="0.3">
      <c r="A92" s="19">
        <v>37</v>
      </c>
      <c r="B92" s="196" t="s">
        <v>519</v>
      </c>
      <c r="C92" s="197"/>
      <c r="D92" s="76">
        <v>657</v>
      </c>
      <c r="E92" s="76">
        <v>503</v>
      </c>
      <c r="F92" s="76">
        <v>0</v>
      </c>
      <c r="G92" s="76">
        <v>0</v>
      </c>
      <c r="H92" s="76">
        <v>0</v>
      </c>
      <c r="I92" s="76">
        <f t="shared" si="12"/>
        <v>0</v>
      </c>
      <c r="J92" s="114">
        <v>0</v>
      </c>
      <c r="K92" s="76">
        <f t="shared" si="8"/>
        <v>503</v>
      </c>
      <c r="L92" s="68">
        <f t="shared" si="9"/>
        <v>0</v>
      </c>
      <c r="M92" s="68">
        <f t="shared" si="7"/>
        <v>0</v>
      </c>
      <c r="N92" s="68">
        <f t="shared" si="6"/>
        <v>1</v>
      </c>
      <c r="O92" s="68">
        <f t="shared" si="10"/>
        <v>1</v>
      </c>
      <c r="P92" s="175" t="s">
        <v>117</v>
      </c>
    </row>
    <row r="93" spans="1:16" ht="15.75" customHeight="1" x14ac:dyDescent="0.3">
      <c r="A93" s="113">
        <v>38</v>
      </c>
      <c r="B93" s="196" t="s">
        <v>520</v>
      </c>
      <c r="C93" s="197"/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f t="shared" si="12"/>
        <v>0</v>
      </c>
      <c r="J93" s="3">
        <v>0</v>
      </c>
      <c r="K93" s="76">
        <f t="shared" si="8"/>
        <v>0</v>
      </c>
      <c r="L93" s="68" t="str">
        <f t="shared" si="9"/>
        <v>-</v>
      </c>
      <c r="M93" s="68" t="str">
        <f t="shared" si="7"/>
        <v>-</v>
      </c>
      <c r="N93" s="68" t="str">
        <f t="shared" si="6"/>
        <v>-</v>
      </c>
      <c r="O93" s="68" t="str">
        <f t="shared" si="10"/>
        <v>-</v>
      </c>
      <c r="P93" s="57"/>
    </row>
    <row r="94" spans="1:16" ht="15" customHeight="1" x14ac:dyDescent="0.3">
      <c r="A94" s="3">
        <v>39</v>
      </c>
      <c r="B94" s="196" t="s">
        <v>521</v>
      </c>
      <c r="C94" s="197"/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f t="shared" si="12"/>
        <v>0</v>
      </c>
      <c r="J94" s="3">
        <v>0</v>
      </c>
      <c r="K94" s="76">
        <f t="shared" si="8"/>
        <v>0</v>
      </c>
      <c r="L94" s="68" t="str">
        <f t="shared" si="9"/>
        <v>-</v>
      </c>
      <c r="M94" s="68" t="str">
        <f t="shared" si="7"/>
        <v>-</v>
      </c>
      <c r="N94" s="68" t="str">
        <f t="shared" si="6"/>
        <v>-</v>
      </c>
      <c r="O94" s="68" t="str">
        <f t="shared" si="10"/>
        <v>-</v>
      </c>
      <c r="P94" s="70"/>
    </row>
    <row r="95" spans="1:16" x14ac:dyDescent="0.3">
      <c r="A95" s="19">
        <v>40</v>
      </c>
      <c r="B95" s="196" t="s">
        <v>522</v>
      </c>
      <c r="C95" s="197"/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f t="shared" si="12"/>
        <v>0</v>
      </c>
      <c r="J95" s="3">
        <v>0</v>
      </c>
      <c r="K95" s="76">
        <f t="shared" si="8"/>
        <v>0</v>
      </c>
      <c r="L95" s="68" t="str">
        <f t="shared" si="9"/>
        <v>-</v>
      </c>
      <c r="M95" s="68" t="str">
        <f t="shared" si="7"/>
        <v>-</v>
      </c>
      <c r="N95" s="68" t="str">
        <f t="shared" si="6"/>
        <v>-</v>
      </c>
      <c r="O95" s="68" t="str">
        <f t="shared" si="10"/>
        <v>-</v>
      </c>
      <c r="P95" s="57"/>
    </row>
    <row r="96" spans="1:16" ht="15.75" customHeight="1" x14ac:dyDescent="0.3">
      <c r="A96" s="113">
        <v>41</v>
      </c>
      <c r="B96" s="196" t="s">
        <v>523</v>
      </c>
      <c r="C96" s="197"/>
      <c r="D96" s="76">
        <v>18</v>
      </c>
      <c r="E96" s="76">
        <v>18</v>
      </c>
      <c r="F96" s="76">
        <v>0</v>
      </c>
      <c r="G96" s="76">
        <v>0</v>
      </c>
      <c r="H96" s="76">
        <v>0</v>
      </c>
      <c r="I96" s="76">
        <f t="shared" si="12"/>
        <v>0</v>
      </c>
      <c r="J96" s="3">
        <v>0</v>
      </c>
      <c r="K96" s="76">
        <f t="shared" si="8"/>
        <v>18</v>
      </c>
      <c r="L96" s="68">
        <f t="shared" si="9"/>
        <v>0</v>
      </c>
      <c r="M96" s="68">
        <f t="shared" si="7"/>
        <v>0</v>
      </c>
      <c r="N96" s="68">
        <f t="shared" si="6"/>
        <v>1</v>
      </c>
      <c r="O96" s="68">
        <f t="shared" si="10"/>
        <v>1</v>
      </c>
      <c r="P96" s="50"/>
    </row>
    <row r="97" spans="1:16" s="106" customFormat="1" x14ac:dyDescent="0.3">
      <c r="A97" s="3">
        <v>42</v>
      </c>
      <c r="B97" s="196" t="s">
        <v>524</v>
      </c>
      <c r="C97" s="197"/>
      <c r="D97" s="76">
        <v>18</v>
      </c>
      <c r="E97" s="76">
        <v>18</v>
      </c>
      <c r="F97" s="76">
        <v>0</v>
      </c>
      <c r="G97" s="76">
        <v>0</v>
      </c>
      <c r="H97" s="76">
        <v>0</v>
      </c>
      <c r="I97" s="76">
        <f t="shared" si="12"/>
        <v>0</v>
      </c>
      <c r="J97" s="3">
        <v>0</v>
      </c>
      <c r="K97" s="76">
        <f t="shared" si="8"/>
        <v>18</v>
      </c>
      <c r="L97" s="68">
        <f t="shared" si="9"/>
        <v>0</v>
      </c>
      <c r="M97" s="68">
        <f t="shared" si="7"/>
        <v>0</v>
      </c>
      <c r="N97" s="68">
        <f t="shared" si="6"/>
        <v>1</v>
      </c>
      <c r="O97" s="68">
        <f t="shared" si="10"/>
        <v>1</v>
      </c>
      <c r="P97" s="57"/>
    </row>
    <row r="98" spans="1:16" x14ac:dyDescent="0.3">
      <c r="A98" s="19">
        <v>43</v>
      </c>
      <c r="B98" s="196" t="s">
        <v>525</v>
      </c>
      <c r="C98" s="197"/>
      <c r="D98" s="76">
        <v>40</v>
      </c>
      <c r="E98" s="76">
        <v>25</v>
      </c>
      <c r="F98" s="76">
        <v>0</v>
      </c>
      <c r="G98" s="76">
        <v>0</v>
      </c>
      <c r="H98" s="76">
        <v>0</v>
      </c>
      <c r="I98" s="76">
        <f t="shared" si="12"/>
        <v>0</v>
      </c>
      <c r="J98" s="3">
        <v>0</v>
      </c>
      <c r="K98" s="76">
        <f t="shared" si="8"/>
        <v>25</v>
      </c>
      <c r="L98" s="68">
        <f t="shared" si="9"/>
        <v>0</v>
      </c>
      <c r="M98" s="68">
        <f t="shared" si="7"/>
        <v>0</v>
      </c>
      <c r="N98" s="68">
        <f t="shared" si="6"/>
        <v>1</v>
      </c>
      <c r="O98" s="68">
        <f t="shared" si="10"/>
        <v>1</v>
      </c>
      <c r="P98" s="55"/>
    </row>
    <row r="99" spans="1:16" ht="30.6" x14ac:dyDescent="0.3">
      <c r="A99" s="9">
        <v>44</v>
      </c>
      <c r="B99" s="196" t="s">
        <v>526</v>
      </c>
      <c r="C99" s="197"/>
      <c r="D99" s="76">
        <v>1465</v>
      </c>
      <c r="E99" s="76">
        <v>891</v>
      </c>
      <c r="F99" s="76">
        <v>2</v>
      </c>
      <c r="G99" s="76">
        <v>0</v>
      </c>
      <c r="H99" s="76">
        <v>0</v>
      </c>
      <c r="I99" s="76">
        <f t="shared" si="12"/>
        <v>2</v>
      </c>
      <c r="J99" s="3">
        <v>0</v>
      </c>
      <c r="K99" s="76">
        <f t="shared" si="8"/>
        <v>889</v>
      </c>
      <c r="L99" s="68">
        <f t="shared" si="9"/>
        <v>2.2446689113355782E-3</v>
      </c>
      <c r="M99" s="68">
        <f t="shared" si="7"/>
        <v>0</v>
      </c>
      <c r="N99" s="68">
        <f t="shared" si="6"/>
        <v>0.99775533108866443</v>
      </c>
      <c r="O99" s="68">
        <f t="shared" si="10"/>
        <v>0.99775533108866443</v>
      </c>
      <c r="P99" s="175" t="s">
        <v>103</v>
      </c>
    </row>
    <row r="100" spans="1:16" x14ac:dyDescent="0.3">
      <c r="A100" s="3">
        <v>45</v>
      </c>
      <c r="B100" s="196" t="s">
        <v>527</v>
      </c>
      <c r="C100" s="197"/>
      <c r="D100" s="76">
        <v>48</v>
      </c>
      <c r="E100" s="76">
        <v>58</v>
      </c>
      <c r="F100" s="76">
        <v>0</v>
      </c>
      <c r="G100" s="76">
        <v>0</v>
      </c>
      <c r="H100" s="76">
        <v>0</v>
      </c>
      <c r="I100" s="76">
        <f t="shared" si="12"/>
        <v>0</v>
      </c>
      <c r="J100" s="3">
        <v>0</v>
      </c>
      <c r="K100" s="76">
        <f t="shared" si="8"/>
        <v>58</v>
      </c>
      <c r="L100" s="68">
        <f t="shared" si="9"/>
        <v>0</v>
      </c>
      <c r="M100" s="68">
        <f t="shared" si="7"/>
        <v>0</v>
      </c>
      <c r="N100" s="68">
        <f t="shared" si="6"/>
        <v>1</v>
      </c>
      <c r="O100" s="68">
        <f t="shared" si="10"/>
        <v>1</v>
      </c>
      <c r="P100" s="138"/>
    </row>
    <row r="101" spans="1:16" ht="15" customHeight="1" x14ac:dyDescent="0.3">
      <c r="A101" s="19">
        <v>46</v>
      </c>
      <c r="B101" s="196" t="s">
        <v>528</v>
      </c>
      <c r="C101" s="197"/>
      <c r="D101" s="76">
        <v>0</v>
      </c>
      <c r="E101" s="76">
        <v>8</v>
      </c>
      <c r="F101" s="76">
        <v>0</v>
      </c>
      <c r="G101" s="76">
        <v>0</v>
      </c>
      <c r="H101" s="76">
        <v>0</v>
      </c>
      <c r="I101" s="76">
        <f t="shared" si="12"/>
        <v>0</v>
      </c>
      <c r="J101" s="3">
        <v>0</v>
      </c>
      <c r="K101" s="76">
        <f t="shared" si="8"/>
        <v>8</v>
      </c>
      <c r="L101" s="68">
        <f t="shared" si="9"/>
        <v>0</v>
      </c>
      <c r="M101" s="68">
        <f t="shared" si="7"/>
        <v>0</v>
      </c>
      <c r="N101" s="68">
        <f t="shared" si="6"/>
        <v>1</v>
      </c>
      <c r="O101" s="68">
        <f t="shared" si="10"/>
        <v>1</v>
      </c>
      <c r="P101" s="70"/>
    </row>
    <row r="102" spans="1:16" ht="15" customHeight="1" x14ac:dyDescent="0.3">
      <c r="A102" s="113">
        <v>47</v>
      </c>
      <c r="B102" s="196" t="s">
        <v>529</v>
      </c>
      <c r="C102" s="197"/>
      <c r="D102" s="76">
        <v>108</v>
      </c>
      <c r="E102" s="76">
        <v>51</v>
      </c>
      <c r="F102" s="76">
        <v>0</v>
      </c>
      <c r="G102" s="76">
        <v>0</v>
      </c>
      <c r="H102" s="76">
        <v>0</v>
      </c>
      <c r="I102" s="76">
        <f t="shared" si="12"/>
        <v>0</v>
      </c>
      <c r="J102" s="3">
        <v>0</v>
      </c>
      <c r="K102" s="76">
        <f t="shared" si="8"/>
        <v>51</v>
      </c>
      <c r="L102" s="68">
        <f t="shared" si="9"/>
        <v>0</v>
      </c>
      <c r="M102" s="68">
        <f t="shared" si="7"/>
        <v>0</v>
      </c>
      <c r="N102" s="68">
        <f t="shared" si="6"/>
        <v>1</v>
      </c>
      <c r="O102" s="68">
        <f t="shared" si="10"/>
        <v>1</v>
      </c>
      <c r="P102" s="70"/>
    </row>
    <row r="103" spans="1:16" x14ac:dyDescent="0.3">
      <c r="A103" s="3">
        <v>48</v>
      </c>
      <c r="B103" s="196" t="s">
        <v>530</v>
      </c>
      <c r="C103" s="197"/>
      <c r="D103" s="76">
        <v>0</v>
      </c>
      <c r="E103" s="76">
        <v>0</v>
      </c>
      <c r="F103" s="76">
        <v>0</v>
      </c>
      <c r="G103" s="76">
        <v>0</v>
      </c>
      <c r="H103" s="76">
        <v>0</v>
      </c>
      <c r="I103" s="76">
        <f t="shared" si="12"/>
        <v>0</v>
      </c>
      <c r="J103" s="3">
        <v>0</v>
      </c>
      <c r="K103" s="76">
        <f t="shared" si="8"/>
        <v>0</v>
      </c>
      <c r="L103" s="68" t="str">
        <f t="shared" si="9"/>
        <v>-</v>
      </c>
      <c r="M103" s="68" t="str">
        <f t="shared" si="7"/>
        <v>-</v>
      </c>
      <c r="N103" s="68" t="str">
        <f t="shared" si="6"/>
        <v>-</v>
      </c>
      <c r="O103" s="68" t="str">
        <f t="shared" si="10"/>
        <v>-</v>
      </c>
      <c r="P103" s="57"/>
    </row>
    <row r="104" spans="1:16" ht="15.75" customHeight="1" x14ac:dyDescent="0.3">
      <c r="A104" s="19">
        <v>49</v>
      </c>
      <c r="B104" s="196" t="s">
        <v>531</v>
      </c>
      <c r="C104" s="197"/>
      <c r="D104" s="76">
        <v>0</v>
      </c>
      <c r="E104" s="76">
        <v>0</v>
      </c>
      <c r="F104" s="76">
        <v>0</v>
      </c>
      <c r="G104" s="76">
        <v>0</v>
      </c>
      <c r="H104" s="76">
        <v>0</v>
      </c>
      <c r="I104" s="76">
        <f t="shared" si="12"/>
        <v>0</v>
      </c>
      <c r="J104" s="3">
        <v>0</v>
      </c>
      <c r="K104" s="76">
        <f t="shared" si="8"/>
        <v>0</v>
      </c>
      <c r="L104" s="68" t="str">
        <f t="shared" si="9"/>
        <v>-</v>
      </c>
      <c r="M104" s="68" t="str">
        <f t="shared" si="7"/>
        <v>-</v>
      </c>
      <c r="N104" s="68" t="str">
        <f t="shared" si="6"/>
        <v>-</v>
      </c>
      <c r="O104" s="68" t="str">
        <f t="shared" si="10"/>
        <v>-</v>
      </c>
      <c r="P104" s="115"/>
    </row>
    <row r="105" spans="1:16" ht="15" customHeight="1" x14ac:dyDescent="0.3">
      <c r="A105" s="113">
        <v>50</v>
      </c>
      <c r="B105" s="196" t="s">
        <v>532</v>
      </c>
      <c r="C105" s="197"/>
      <c r="D105" s="76">
        <v>0</v>
      </c>
      <c r="E105" s="76">
        <v>0</v>
      </c>
      <c r="F105" s="76">
        <v>0</v>
      </c>
      <c r="G105" s="76">
        <v>0</v>
      </c>
      <c r="H105" s="76">
        <v>0</v>
      </c>
      <c r="I105" s="76">
        <f t="shared" si="12"/>
        <v>0</v>
      </c>
      <c r="J105" s="3">
        <v>0</v>
      </c>
      <c r="K105" s="76">
        <f t="shared" si="8"/>
        <v>0</v>
      </c>
      <c r="L105" s="68" t="str">
        <f t="shared" si="9"/>
        <v>-</v>
      </c>
      <c r="M105" s="68" t="str">
        <f t="shared" si="7"/>
        <v>-</v>
      </c>
      <c r="N105" s="68" t="str">
        <f t="shared" si="6"/>
        <v>-</v>
      </c>
      <c r="O105" s="68" t="str">
        <f t="shared" si="10"/>
        <v>-</v>
      </c>
      <c r="P105" s="70"/>
    </row>
    <row r="106" spans="1:16" ht="25.5" customHeight="1" x14ac:dyDescent="0.3">
      <c r="A106" s="3">
        <v>51</v>
      </c>
      <c r="B106" s="196" t="s">
        <v>533</v>
      </c>
      <c r="C106" s="197"/>
      <c r="D106" s="76">
        <v>536</v>
      </c>
      <c r="E106" s="76">
        <v>401</v>
      </c>
      <c r="F106" s="76">
        <v>0</v>
      </c>
      <c r="G106" s="76">
        <v>0</v>
      </c>
      <c r="H106" s="76">
        <v>0</v>
      </c>
      <c r="I106" s="76">
        <f t="shared" si="12"/>
        <v>0</v>
      </c>
      <c r="J106" s="116">
        <v>0</v>
      </c>
      <c r="K106" s="76">
        <f t="shared" si="8"/>
        <v>401</v>
      </c>
      <c r="L106" s="68">
        <f t="shared" si="9"/>
        <v>0</v>
      </c>
      <c r="M106" s="68">
        <f t="shared" si="7"/>
        <v>0</v>
      </c>
      <c r="N106" s="68">
        <f t="shared" si="6"/>
        <v>1</v>
      </c>
      <c r="O106" s="68">
        <f t="shared" si="10"/>
        <v>1</v>
      </c>
      <c r="P106" s="138"/>
    </row>
    <row r="107" spans="1:16" x14ac:dyDescent="0.3">
      <c r="A107" s="19">
        <v>52</v>
      </c>
      <c r="B107" s="196" t="s">
        <v>534</v>
      </c>
      <c r="C107" s="197"/>
      <c r="D107" s="76">
        <v>0</v>
      </c>
      <c r="E107" s="76">
        <v>0</v>
      </c>
      <c r="F107" s="76">
        <v>0</v>
      </c>
      <c r="G107" s="76">
        <v>0</v>
      </c>
      <c r="H107" s="76">
        <v>0</v>
      </c>
      <c r="I107" s="76">
        <f t="shared" si="12"/>
        <v>0</v>
      </c>
      <c r="J107" s="3">
        <v>0</v>
      </c>
      <c r="K107" s="76">
        <f t="shared" si="8"/>
        <v>0</v>
      </c>
      <c r="L107" s="68" t="str">
        <f t="shared" si="9"/>
        <v>-</v>
      </c>
      <c r="M107" s="68" t="str">
        <f t="shared" si="7"/>
        <v>-</v>
      </c>
      <c r="N107" s="68" t="str">
        <f t="shared" si="6"/>
        <v>-</v>
      </c>
      <c r="O107" s="68" t="str">
        <f t="shared" si="10"/>
        <v>-</v>
      </c>
      <c r="P107" s="57"/>
    </row>
    <row r="108" spans="1:16" s="106" customFormat="1" ht="26.25" customHeight="1" x14ac:dyDescent="0.3">
      <c r="A108" s="99" t="s">
        <v>54</v>
      </c>
      <c r="B108" s="100"/>
      <c r="C108" s="100"/>
      <c r="D108" s="100">
        <v>0</v>
      </c>
      <c r="E108" s="100">
        <v>0</v>
      </c>
      <c r="F108" s="100"/>
      <c r="G108" s="100"/>
      <c r="H108" s="100"/>
      <c r="I108" s="100"/>
      <c r="J108" s="100"/>
      <c r="K108" s="100"/>
      <c r="L108" s="100"/>
      <c r="M108" s="100"/>
      <c r="N108" s="100"/>
      <c r="O108" s="100"/>
      <c r="P108" s="111"/>
    </row>
    <row r="109" spans="1:16" x14ac:dyDescent="0.3">
      <c r="A109" s="3">
        <v>53</v>
      </c>
      <c r="B109" s="192" t="s">
        <v>535</v>
      </c>
      <c r="C109" s="193"/>
      <c r="D109" s="76">
        <v>1527</v>
      </c>
      <c r="E109" s="76">
        <v>1394</v>
      </c>
      <c r="F109" s="76">
        <v>0</v>
      </c>
      <c r="G109" s="76">
        <v>0</v>
      </c>
      <c r="H109" s="76">
        <v>0</v>
      </c>
      <c r="I109" s="76">
        <f t="shared" si="12"/>
        <v>0</v>
      </c>
      <c r="J109" s="3">
        <v>0</v>
      </c>
      <c r="K109" s="76">
        <f t="shared" si="8"/>
        <v>1394</v>
      </c>
      <c r="L109" s="68">
        <f t="shared" si="9"/>
        <v>0</v>
      </c>
      <c r="M109" s="68">
        <f t="shared" si="7"/>
        <v>0</v>
      </c>
      <c r="N109" s="68">
        <f t="shared" si="6"/>
        <v>1</v>
      </c>
      <c r="O109" s="68">
        <f t="shared" si="10"/>
        <v>1</v>
      </c>
      <c r="P109" s="138"/>
    </row>
    <row r="110" spans="1:16" x14ac:dyDescent="0.3">
      <c r="A110" s="3">
        <v>54</v>
      </c>
      <c r="B110" s="192" t="s">
        <v>536</v>
      </c>
      <c r="C110" s="193"/>
      <c r="D110" s="76">
        <v>80</v>
      </c>
      <c r="E110" s="76">
        <v>176</v>
      </c>
      <c r="F110" s="76">
        <v>0</v>
      </c>
      <c r="G110" s="76">
        <v>0</v>
      </c>
      <c r="H110" s="76">
        <v>0</v>
      </c>
      <c r="I110" s="76">
        <f t="shared" si="12"/>
        <v>0</v>
      </c>
      <c r="J110" s="3">
        <v>0</v>
      </c>
      <c r="K110" s="76">
        <f t="shared" si="8"/>
        <v>176</v>
      </c>
      <c r="L110" s="68">
        <f t="shared" si="9"/>
        <v>0</v>
      </c>
      <c r="M110" s="68">
        <f t="shared" si="7"/>
        <v>0</v>
      </c>
      <c r="N110" s="68">
        <f t="shared" si="6"/>
        <v>1</v>
      </c>
      <c r="O110" s="68">
        <f t="shared" si="10"/>
        <v>1</v>
      </c>
      <c r="P110" s="57"/>
    </row>
    <row r="111" spans="1:16" x14ac:dyDescent="0.3">
      <c r="A111" s="3">
        <v>55</v>
      </c>
      <c r="B111" s="192" t="s">
        <v>537</v>
      </c>
      <c r="C111" s="193"/>
      <c r="D111" s="76">
        <v>12</v>
      </c>
      <c r="E111" s="76">
        <v>9</v>
      </c>
      <c r="F111" s="76">
        <v>0</v>
      </c>
      <c r="G111" s="76">
        <v>0</v>
      </c>
      <c r="H111" s="76">
        <v>0</v>
      </c>
      <c r="I111" s="76">
        <f t="shared" si="12"/>
        <v>0</v>
      </c>
      <c r="J111" s="3">
        <v>0</v>
      </c>
      <c r="K111" s="76">
        <f t="shared" si="8"/>
        <v>9</v>
      </c>
      <c r="L111" s="68">
        <f t="shared" si="9"/>
        <v>0</v>
      </c>
      <c r="M111" s="68">
        <f t="shared" si="7"/>
        <v>0</v>
      </c>
      <c r="N111" s="68">
        <f t="shared" si="6"/>
        <v>1</v>
      </c>
      <c r="O111" s="68">
        <f t="shared" si="10"/>
        <v>1</v>
      </c>
      <c r="P111" s="57"/>
    </row>
    <row r="112" spans="1:16" x14ac:dyDescent="0.3">
      <c r="A112" s="3">
        <v>56</v>
      </c>
      <c r="B112" s="192" t="s">
        <v>538</v>
      </c>
      <c r="C112" s="193"/>
      <c r="D112" s="76">
        <v>156</v>
      </c>
      <c r="E112" s="76">
        <v>135</v>
      </c>
      <c r="F112" s="76">
        <v>0</v>
      </c>
      <c r="G112" s="76">
        <v>0</v>
      </c>
      <c r="H112" s="76">
        <v>0</v>
      </c>
      <c r="I112" s="76">
        <f t="shared" si="12"/>
        <v>0</v>
      </c>
      <c r="J112" s="3">
        <v>0</v>
      </c>
      <c r="K112" s="76">
        <f t="shared" si="8"/>
        <v>135</v>
      </c>
      <c r="L112" s="68">
        <f t="shared" si="9"/>
        <v>0</v>
      </c>
      <c r="M112" s="68">
        <f t="shared" si="7"/>
        <v>0</v>
      </c>
      <c r="N112" s="68">
        <f t="shared" si="6"/>
        <v>1</v>
      </c>
      <c r="O112" s="68">
        <f t="shared" si="10"/>
        <v>1</v>
      </c>
      <c r="P112" s="138"/>
    </row>
    <row r="113" spans="1:16" x14ac:dyDescent="0.3">
      <c r="A113" s="3">
        <v>57</v>
      </c>
      <c r="B113" s="192" t="s">
        <v>539</v>
      </c>
      <c r="C113" s="193"/>
      <c r="D113" s="76">
        <v>0</v>
      </c>
      <c r="E113" s="76">
        <v>16</v>
      </c>
      <c r="F113" s="76">
        <v>0</v>
      </c>
      <c r="G113" s="76">
        <v>0</v>
      </c>
      <c r="H113" s="76">
        <v>0</v>
      </c>
      <c r="I113" s="76">
        <f t="shared" si="12"/>
        <v>0</v>
      </c>
      <c r="J113" s="3">
        <v>0</v>
      </c>
      <c r="K113" s="76">
        <f t="shared" si="8"/>
        <v>16</v>
      </c>
      <c r="L113" s="68">
        <f t="shared" si="9"/>
        <v>0</v>
      </c>
      <c r="M113" s="68">
        <f t="shared" si="7"/>
        <v>0</v>
      </c>
      <c r="N113" s="68">
        <f t="shared" si="6"/>
        <v>1</v>
      </c>
      <c r="O113" s="68">
        <f t="shared" si="10"/>
        <v>1</v>
      </c>
      <c r="P113" s="138"/>
    </row>
    <row r="114" spans="1:16" s="106" customFormat="1" x14ac:dyDescent="0.3">
      <c r="A114" s="3">
        <v>58</v>
      </c>
      <c r="B114" s="192" t="s">
        <v>540</v>
      </c>
      <c r="C114" s="193"/>
      <c r="D114" s="76">
        <v>240</v>
      </c>
      <c r="E114" s="76">
        <v>202</v>
      </c>
      <c r="F114" s="76">
        <v>0</v>
      </c>
      <c r="G114" s="76">
        <v>0</v>
      </c>
      <c r="H114" s="76">
        <v>0</v>
      </c>
      <c r="I114" s="76">
        <f t="shared" si="12"/>
        <v>0</v>
      </c>
      <c r="J114" s="3">
        <v>0</v>
      </c>
      <c r="K114" s="76">
        <f t="shared" si="8"/>
        <v>202</v>
      </c>
      <c r="L114" s="68">
        <f t="shared" si="9"/>
        <v>0</v>
      </c>
      <c r="M114" s="68">
        <f t="shared" si="7"/>
        <v>0</v>
      </c>
      <c r="N114" s="68">
        <f t="shared" si="6"/>
        <v>1</v>
      </c>
      <c r="O114" s="68">
        <f t="shared" si="10"/>
        <v>1</v>
      </c>
      <c r="P114" s="138"/>
    </row>
    <row r="115" spans="1:16" x14ac:dyDescent="0.3">
      <c r="A115" s="3">
        <v>59</v>
      </c>
      <c r="B115" s="192" t="s">
        <v>541</v>
      </c>
      <c r="C115" s="193"/>
      <c r="D115" s="76">
        <v>7</v>
      </c>
      <c r="E115" s="76">
        <v>18</v>
      </c>
      <c r="F115" s="76">
        <v>0</v>
      </c>
      <c r="G115" s="76">
        <v>0</v>
      </c>
      <c r="H115" s="76">
        <v>0</v>
      </c>
      <c r="I115" s="76">
        <f t="shared" si="12"/>
        <v>0</v>
      </c>
      <c r="J115" s="3">
        <v>0</v>
      </c>
      <c r="K115" s="76">
        <f t="shared" si="8"/>
        <v>18</v>
      </c>
      <c r="L115" s="68">
        <f t="shared" si="9"/>
        <v>0</v>
      </c>
      <c r="M115" s="68">
        <f t="shared" si="7"/>
        <v>0</v>
      </c>
      <c r="N115" s="68">
        <f t="shared" si="6"/>
        <v>1</v>
      </c>
      <c r="O115" s="68">
        <f t="shared" si="10"/>
        <v>1</v>
      </c>
      <c r="P115" s="57"/>
    </row>
    <row r="116" spans="1:16" x14ac:dyDescent="0.3">
      <c r="A116" s="3">
        <v>60</v>
      </c>
      <c r="B116" s="192" t="s">
        <v>542</v>
      </c>
      <c r="C116" s="193"/>
      <c r="D116" s="76">
        <v>263</v>
      </c>
      <c r="E116" s="76">
        <v>156</v>
      </c>
      <c r="F116" s="76">
        <v>0</v>
      </c>
      <c r="G116" s="76">
        <v>0</v>
      </c>
      <c r="H116" s="76">
        <v>0</v>
      </c>
      <c r="I116" s="76">
        <f t="shared" si="12"/>
        <v>0</v>
      </c>
      <c r="J116" s="3">
        <v>0</v>
      </c>
      <c r="K116" s="76">
        <f t="shared" si="8"/>
        <v>156</v>
      </c>
      <c r="L116" s="68">
        <f t="shared" si="9"/>
        <v>0</v>
      </c>
      <c r="M116" s="68">
        <f t="shared" si="7"/>
        <v>0</v>
      </c>
      <c r="N116" s="68">
        <f t="shared" si="6"/>
        <v>1</v>
      </c>
      <c r="O116" s="68">
        <f t="shared" si="10"/>
        <v>1</v>
      </c>
      <c r="P116" s="138"/>
    </row>
    <row r="117" spans="1:16" ht="23.25" customHeight="1" x14ac:dyDescent="0.3">
      <c r="A117" s="3">
        <v>61</v>
      </c>
      <c r="B117" s="192" t="s">
        <v>543</v>
      </c>
      <c r="C117" s="193"/>
      <c r="D117" s="76">
        <v>64</v>
      </c>
      <c r="E117" s="76">
        <v>88</v>
      </c>
      <c r="F117" s="76">
        <v>0</v>
      </c>
      <c r="G117" s="76">
        <v>0</v>
      </c>
      <c r="H117" s="76">
        <v>0</v>
      </c>
      <c r="I117" s="76">
        <f t="shared" si="12"/>
        <v>0</v>
      </c>
      <c r="J117" s="3">
        <v>0</v>
      </c>
      <c r="K117" s="76">
        <f t="shared" si="8"/>
        <v>88</v>
      </c>
      <c r="L117" s="68">
        <f t="shared" si="9"/>
        <v>0</v>
      </c>
      <c r="M117" s="68">
        <f t="shared" si="7"/>
        <v>0</v>
      </c>
      <c r="N117" s="68">
        <f t="shared" si="6"/>
        <v>1</v>
      </c>
      <c r="O117" s="68">
        <f t="shared" si="10"/>
        <v>1</v>
      </c>
      <c r="P117" s="57"/>
    </row>
    <row r="118" spans="1:16" s="106" customFormat="1" ht="30.75" customHeight="1" x14ac:dyDescent="0.3">
      <c r="A118" s="3">
        <v>62</v>
      </c>
      <c r="B118" s="192" t="s">
        <v>544</v>
      </c>
      <c r="C118" s="193"/>
      <c r="D118" s="76">
        <v>9</v>
      </c>
      <c r="E118" s="76">
        <v>5</v>
      </c>
      <c r="F118" s="76">
        <v>0</v>
      </c>
      <c r="G118" s="76">
        <v>0</v>
      </c>
      <c r="H118" s="76">
        <v>0</v>
      </c>
      <c r="I118" s="76">
        <f t="shared" si="12"/>
        <v>0</v>
      </c>
      <c r="J118" s="3">
        <v>0</v>
      </c>
      <c r="K118" s="76">
        <f t="shared" si="8"/>
        <v>5</v>
      </c>
      <c r="L118" s="68">
        <f t="shared" si="9"/>
        <v>0</v>
      </c>
      <c r="M118" s="68">
        <f t="shared" si="7"/>
        <v>0</v>
      </c>
      <c r="N118" s="68">
        <f t="shared" si="6"/>
        <v>1</v>
      </c>
      <c r="O118" s="68">
        <f t="shared" si="10"/>
        <v>1</v>
      </c>
      <c r="P118" s="6"/>
    </row>
    <row r="119" spans="1:16" s="106" customFormat="1" ht="20.25" customHeight="1" x14ac:dyDescent="0.3">
      <c r="A119" s="3">
        <v>63</v>
      </c>
      <c r="B119" s="194" t="s">
        <v>545</v>
      </c>
      <c r="C119" s="195"/>
      <c r="D119" s="76">
        <v>2</v>
      </c>
      <c r="E119" s="76">
        <v>2</v>
      </c>
      <c r="F119" s="76">
        <v>0</v>
      </c>
      <c r="G119" s="76">
        <v>0</v>
      </c>
      <c r="H119" s="76">
        <v>0</v>
      </c>
      <c r="I119" s="76">
        <f t="shared" si="12"/>
        <v>0</v>
      </c>
      <c r="J119" s="3">
        <v>0</v>
      </c>
      <c r="K119" s="76">
        <f t="shared" si="8"/>
        <v>2</v>
      </c>
      <c r="L119" s="68">
        <f t="shared" si="9"/>
        <v>0</v>
      </c>
      <c r="M119" s="68">
        <f t="shared" si="7"/>
        <v>0</v>
      </c>
      <c r="N119" s="68">
        <f t="shared" si="6"/>
        <v>1</v>
      </c>
      <c r="O119" s="68">
        <f t="shared" si="10"/>
        <v>1</v>
      </c>
      <c r="P119" s="57"/>
    </row>
    <row r="120" spans="1:16" x14ac:dyDescent="0.3">
      <c r="A120" s="3">
        <v>64</v>
      </c>
      <c r="B120" s="194" t="s">
        <v>546</v>
      </c>
      <c r="C120" s="195"/>
      <c r="D120" s="76">
        <v>171</v>
      </c>
      <c r="E120" s="76">
        <v>50</v>
      </c>
      <c r="F120" s="76">
        <v>0</v>
      </c>
      <c r="G120" s="76">
        <v>0</v>
      </c>
      <c r="H120" s="76">
        <v>0</v>
      </c>
      <c r="I120" s="76">
        <f t="shared" si="12"/>
        <v>0</v>
      </c>
      <c r="J120" s="3">
        <v>0</v>
      </c>
      <c r="K120" s="76">
        <f t="shared" si="8"/>
        <v>50</v>
      </c>
      <c r="L120" s="68">
        <f t="shared" si="9"/>
        <v>0</v>
      </c>
      <c r="M120" s="68">
        <f t="shared" si="7"/>
        <v>0</v>
      </c>
      <c r="N120" s="68">
        <f t="shared" si="6"/>
        <v>1</v>
      </c>
      <c r="O120" s="68">
        <f t="shared" si="10"/>
        <v>1</v>
      </c>
      <c r="P120" s="138"/>
    </row>
    <row r="121" spans="1:16" x14ac:dyDescent="0.3">
      <c r="A121" s="3">
        <v>65</v>
      </c>
      <c r="B121" s="194" t="s">
        <v>547</v>
      </c>
      <c r="C121" s="195"/>
      <c r="D121" s="76">
        <v>1742</v>
      </c>
      <c r="E121" s="76">
        <v>2196</v>
      </c>
      <c r="F121" s="76">
        <v>0</v>
      </c>
      <c r="G121" s="76">
        <v>0</v>
      </c>
      <c r="H121" s="76">
        <v>0</v>
      </c>
      <c r="I121" s="76">
        <f t="shared" si="12"/>
        <v>0</v>
      </c>
      <c r="J121" s="3">
        <v>0</v>
      </c>
      <c r="K121" s="76">
        <f t="shared" si="8"/>
        <v>2196</v>
      </c>
      <c r="L121" s="68">
        <f t="shared" si="9"/>
        <v>0</v>
      </c>
      <c r="M121" s="68">
        <f t="shared" si="7"/>
        <v>0</v>
      </c>
      <c r="N121" s="68">
        <f t="shared" si="6"/>
        <v>1</v>
      </c>
      <c r="O121" s="68">
        <f t="shared" si="10"/>
        <v>1</v>
      </c>
      <c r="P121" s="138"/>
    </row>
    <row r="122" spans="1:16" s="106" customFormat="1" x14ac:dyDescent="0.3">
      <c r="A122" s="3">
        <v>66</v>
      </c>
      <c r="B122" s="194" t="s">
        <v>548</v>
      </c>
      <c r="C122" s="195"/>
      <c r="D122" s="76">
        <v>2</v>
      </c>
      <c r="E122" s="76">
        <v>3</v>
      </c>
      <c r="F122" s="76">
        <v>0</v>
      </c>
      <c r="G122" s="76">
        <v>0</v>
      </c>
      <c r="H122" s="76">
        <v>0</v>
      </c>
      <c r="I122" s="76">
        <f t="shared" si="12"/>
        <v>0</v>
      </c>
      <c r="J122" s="3">
        <v>0</v>
      </c>
      <c r="K122" s="76">
        <f t="shared" si="8"/>
        <v>3</v>
      </c>
      <c r="L122" s="68">
        <f t="shared" si="9"/>
        <v>0</v>
      </c>
      <c r="M122" s="68">
        <f t="shared" si="7"/>
        <v>0</v>
      </c>
      <c r="N122" s="68">
        <f t="shared" si="6"/>
        <v>1</v>
      </c>
      <c r="O122" s="68">
        <f t="shared" si="10"/>
        <v>1</v>
      </c>
      <c r="P122" s="57"/>
    </row>
    <row r="123" spans="1:16" s="106" customFormat="1" x14ac:dyDescent="0.3">
      <c r="A123" s="3">
        <v>67</v>
      </c>
      <c r="B123" s="190" t="s">
        <v>549</v>
      </c>
      <c r="C123" s="191"/>
      <c r="D123" s="76">
        <v>53</v>
      </c>
      <c r="E123" s="76">
        <v>94</v>
      </c>
      <c r="F123" s="76">
        <v>0</v>
      </c>
      <c r="G123" s="76">
        <v>0</v>
      </c>
      <c r="H123" s="76">
        <v>0</v>
      </c>
      <c r="I123" s="76">
        <f t="shared" si="12"/>
        <v>0</v>
      </c>
      <c r="J123" s="3">
        <v>0</v>
      </c>
      <c r="K123" s="76">
        <f t="shared" si="8"/>
        <v>94</v>
      </c>
      <c r="L123" s="68">
        <f t="shared" si="9"/>
        <v>0</v>
      </c>
      <c r="M123" s="68">
        <f t="shared" si="7"/>
        <v>0</v>
      </c>
      <c r="N123" s="68">
        <f t="shared" si="6"/>
        <v>1</v>
      </c>
      <c r="O123" s="68">
        <f t="shared" si="10"/>
        <v>1</v>
      </c>
      <c r="P123" s="57"/>
    </row>
    <row r="124" spans="1:16" x14ac:dyDescent="0.3">
      <c r="A124" s="3">
        <v>68</v>
      </c>
      <c r="B124" s="190" t="s">
        <v>550</v>
      </c>
      <c r="C124" s="191"/>
      <c r="D124" s="76">
        <v>36</v>
      </c>
      <c r="E124" s="76">
        <v>64</v>
      </c>
      <c r="F124" s="76">
        <v>0</v>
      </c>
      <c r="G124" s="76">
        <v>0</v>
      </c>
      <c r="H124" s="76">
        <v>0</v>
      </c>
      <c r="I124" s="76">
        <f t="shared" si="12"/>
        <v>0</v>
      </c>
      <c r="J124" s="3">
        <v>0</v>
      </c>
      <c r="K124" s="76">
        <f t="shared" si="8"/>
        <v>64</v>
      </c>
      <c r="L124" s="68">
        <f t="shared" si="9"/>
        <v>0</v>
      </c>
      <c r="M124" s="68">
        <f t="shared" si="7"/>
        <v>0</v>
      </c>
      <c r="N124" s="68">
        <f t="shared" si="6"/>
        <v>1</v>
      </c>
      <c r="O124" s="68">
        <f t="shared" si="10"/>
        <v>1</v>
      </c>
      <c r="P124" s="57"/>
    </row>
    <row r="125" spans="1:16" s="106" customFormat="1" x14ac:dyDescent="0.3">
      <c r="A125" s="3">
        <v>69</v>
      </c>
      <c r="B125" s="190" t="s">
        <v>551</v>
      </c>
      <c r="C125" s="191"/>
      <c r="D125" s="76">
        <v>31</v>
      </c>
      <c r="E125" s="76">
        <v>6</v>
      </c>
      <c r="F125" s="76">
        <v>0</v>
      </c>
      <c r="G125" s="76">
        <v>0</v>
      </c>
      <c r="H125" s="76">
        <v>0</v>
      </c>
      <c r="I125" s="76">
        <f t="shared" si="12"/>
        <v>0</v>
      </c>
      <c r="J125" s="3">
        <v>0</v>
      </c>
      <c r="K125" s="76">
        <f t="shared" si="8"/>
        <v>6</v>
      </c>
      <c r="L125" s="68">
        <f t="shared" si="9"/>
        <v>0</v>
      </c>
      <c r="M125" s="68">
        <f t="shared" si="7"/>
        <v>0</v>
      </c>
      <c r="N125" s="68">
        <f t="shared" si="6"/>
        <v>1</v>
      </c>
      <c r="O125" s="68">
        <f t="shared" si="10"/>
        <v>1</v>
      </c>
      <c r="P125" s="57"/>
    </row>
    <row r="126" spans="1:16" ht="18" customHeight="1" x14ac:dyDescent="0.3">
      <c r="A126" s="3">
        <v>70</v>
      </c>
      <c r="B126" s="190" t="s">
        <v>599</v>
      </c>
      <c r="C126" s="191"/>
      <c r="D126" s="76">
        <v>11</v>
      </c>
      <c r="E126" s="76">
        <v>43</v>
      </c>
      <c r="F126" s="76">
        <v>0</v>
      </c>
      <c r="G126" s="76">
        <v>0</v>
      </c>
      <c r="H126" s="76">
        <v>0</v>
      </c>
      <c r="I126" s="76">
        <f t="shared" si="12"/>
        <v>0</v>
      </c>
      <c r="J126" s="3">
        <v>0</v>
      </c>
      <c r="K126" s="76">
        <f t="shared" si="8"/>
        <v>43</v>
      </c>
      <c r="L126" s="68">
        <f t="shared" si="9"/>
        <v>0</v>
      </c>
      <c r="M126" s="68">
        <f t="shared" si="7"/>
        <v>0</v>
      </c>
      <c r="N126" s="68">
        <f t="shared" si="6"/>
        <v>1</v>
      </c>
      <c r="O126" s="68">
        <f t="shared" si="10"/>
        <v>1</v>
      </c>
      <c r="P126" s="57"/>
    </row>
    <row r="127" spans="1:16" s="106" customFormat="1" x14ac:dyDescent="0.3">
      <c r="A127" s="3">
        <v>71</v>
      </c>
      <c r="B127" s="190" t="s">
        <v>600</v>
      </c>
      <c r="C127" s="191"/>
      <c r="D127" s="76">
        <v>151</v>
      </c>
      <c r="E127" s="76">
        <v>97</v>
      </c>
      <c r="F127" s="76">
        <v>0</v>
      </c>
      <c r="G127" s="76">
        <v>0</v>
      </c>
      <c r="H127" s="76">
        <v>0</v>
      </c>
      <c r="I127" s="76">
        <f t="shared" si="12"/>
        <v>0</v>
      </c>
      <c r="J127" s="3">
        <v>0</v>
      </c>
      <c r="K127" s="76">
        <f t="shared" si="8"/>
        <v>97</v>
      </c>
      <c r="L127" s="68">
        <f t="shared" si="9"/>
        <v>0</v>
      </c>
      <c r="M127" s="68">
        <f t="shared" si="7"/>
        <v>0</v>
      </c>
      <c r="N127" s="68">
        <f t="shared" si="6"/>
        <v>1</v>
      </c>
      <c r="O127" s="68">
        <f t="shared" si="10"/>
        <v>1</v>
      </c>
      <c r="P127" s="57"/>
    </row>
    <row r="128" spans="1:16" s="106" customFormat="1" ht="15.75" customHeight="1" x14ac:dyDescent="0.3">
      <c r="A128" s="3">
        <v>72</v>
      </c>
      <c r="B128" s="190" t="s">
        <v>601</v>
      </c>
      <c r="C128" s="191"/>
      <c r="D128" s="76">
        <v>0</v>
      </c>
      <c r="E128" s="76">
        <v>0</v>
      </c>
      <c r="F128" s="76">
        <v>0</v>
      </c>
      <c r="G128" s="76">
        <v>0</v>
      </c>
      <c r="H128" s="76">
        <v>0</v>
      </c>
      <c r="I128" s="76">
        <f t="shared" si="12"/>
        <v>0</v>
      </c>
      <c r="J128" s="3">
        <v>0</v>
      </c>
      <c r="K128" s="76">
        <f t="shared" si="8"/>
        <v>0</v>
      </c>
      <c r="L128" s="68" t="str">
        <f t="shared" si="9"/>
        <v>-</v>
      </c>
      <c r="M128" s="68" t="str">
        <f t="shared" si="7"/>
        <v>-</v>
      </c>
      <c r="N128" s="68" t="str">
        <f t="shared" si="6"/>
        <v>-</v>
      </c>
      <c r="O128" s="68" t="str">
        <f t="shared" si="10"/>
        <v>-</v>
      </c>
      <c r="P128" s="69"/>
    </row>
    <row r="129" spans="1:16" s="106" customFormat="1" ht="21" customHeight="1" x14ac:dyDescent="0.3">
      <c r="A129" s="3">
        <v>73</v>
      </c>
      <c r="B129" s="190" t="s">
        <v>602</v>
      </c>
      <c r="C129" s="191"/>
      <c r="D129" s="76">
        <v>523</v>
      </c>
      <c r="E129" s="76">
        <v>496</v>
      </c>
      <c r="F129" s="76">
        <v>0</v>
      </c>
      <c r="G129" s="76">
        <v>0</v>
      </c>
      <c r="H129" s="76">
        <v>0</v>
      </c>
      <c r="I129" s="76">
        <f t="shared" si="12"/>
        <v>0</v>
      </c>
      <c r="J129" s="3">
        <v>0</v>
      </c>
      <c r="K129" s="76">
        <f t="shared" si="8"/>
        <v>496</v>
      </c>
      <c r="L129" s="68">
        <f t="shared" si="9"/>
        <v>0</v>
      </c>
      <c r="M129" s="68">
        <f t="shared" si="7"/>
        <v>0</v>
      </c>
      <c r="N129" s="68">
        <f t="shared" si="6"/>
        <v>1</v>
      </c>
      <c r="O129" s="68">
        <f t="shared" si="10"/>
        <v>1</v>
      </c>
      <c r="P129" s="57"/>
    </row>
    <row r="130" spans="1:16" x14ac:dyDescent="0.3">
      <c r="A130" s="3">
        <v>74</v>
      </c>
      <c r="B130" s="190" t="s">
        <v>603</v>
      </c>
      <c r="C130" s="191"/>
      <c r="D130" s="76">
        <v>467</v>
      </c>
      <c r="E130" s="76">
        <v>667</v>
      </c>
      <c r="F130" s="76">
        <v>0</v>
      </c>
      <c r="G130" s="76">
        <v>0</v>
      </c>
      <c r="H130" s="76">
        <v>0</v>
      </c>
      <c r="I130" s="76">
        <f t="shared" si="12"/>
        <v>0</v>
      </c>
      <c r="J130" s="3">
        <v>0</v>
      </c>
      <c r="K130" s="76">
        <f t="shared" si="8"/>
        <v>667</v>
      </c>
      <c r="L130" s="68">
        <f t="shared" si="9"/>
        <v>0</v>
      </c>
      <c r="M130" s="68">
        <f t="shared" si="7"/>
        <v>0</v>
      </c>
      <c r="N130" s="68">
        <f t="shared" si="6"/>
        <v>1</v>
      </c>
      <c r="O130" s="68">
        <f t="shared" si="10"/>
        <v>1</v>
      </c>
      <c r="P130" s="138"/>
    </row>
    <row r="131" spans="1:16" x14ac:dyDescent="0.3">
      <c r="A131" s="3">
        <v>75</v>
      </c>
      <c r="B131" s="190" t="s">
        <v>604</v>
      </c>
      <c r="C131" s="191"/>
      <c r="D131" s="76">
        <v>1139</v>
      </c>
      <c r="E131" s="76">
        <v>1295</v>
      </c>
      <c r="F131" s="76">
        <v>0</v>
      </c>
      <c r="G131" s="76">
        <v>0</v>
      </c>
      <c r="H131" s="76">
        <v>0</v>
      </c>
      <c r="I131" s="76">
        <f t="shared" si="12"/>
        <v>0</v>
      </c>
      <c r="J131" s="3">
        <v>0</v>
      </c>
      <c r="K131" s="76">
        <f t="shared" si="8"/>
        <v>1295</v>
      </c>
      <c r="L131" s="68">
        <f t="shared" si="9"/>
        <v>0</v>
      </c>
      <c r="M131" s="68">
        <f t="shared" si="7"/>
        <v>0</v>
      </c>
      <c r="N131" s="68">
        <f t="shared" si="6"/>
        <v>1</v>
      </c>
      <c r="O131" s="68">
        <f t="shared" si="10"/>
        <v>1</v>
      </c>
      <c r="P131" s="138"/>
    </row>
    <row r="132" spans="1:16" ht="15" customHeight="1" x14ac:dyDescent="0.3">
      <c r="A132" s="3">
        <v>76</v>
      </c>
      <c r="B132" s="190" t="s">
        <v>605</v>
      </c>
      <c r="C132" s="191"/>
      <c r="D132" s="76">
        <v>0</v>
      </c>
      <c r="E132" s="76">
        <v>125</v>
      </c>
      <c r="F132" s="76">
        <v>0</v>
      </c>
      <c r="G132" s="76">
        <v>0</v>
      </c>
      <c r="H132" s="76">
        <v>0</v>
      </c>
      <c r="I132" s="76">
        <f t="shared" si="12"/>
        <v>0</v>
      </c>
      <c r="J132" s="3">
        <v>0</v>
      </c>
      <c r="K132" s="76">
        <f t="shared" si="8"/>
        <v>125</v>
      </c>
      <c r="L132" s="68">
        <f t="shared" si="9"/>
        <v>0</v>
      </c>
      <c r="M132" s="68">
        <f>IF(E132=0,"-",(J132/E132))</f>
        <v>0</v>
      </c>
      <c r="N132" s="68">
        <f t="shared" si="6"/>
        <v>1</v>
      </c>
      <c r="O132" s="68">
        <f t="shared" si="10"/>
        <v>1</v>
      </c>
      <c r="P132" s="164"/>
    </row>
    <row r="133" spans="1:16" s="118" customFormat="1" x14ac:dyDescent="0.3">
      <c r="A133" s="3">
        <v>77</v>
      </c>
      <c r="B133" s="190" t="s">
        <v>606</v>
      </c>
      <c r="C133" s="191"/>
      <c r="D133" s="76">
        <v>16</v>
      </c>
      <c r="E133" s="76">
        <v>14</v>
      </c>
      <c r="F133" s="76">
        <v>0</v>
      </c>
      <c r="G133" s="76">
        <v>0</v>
      </c>
      <c r="H133" s="76">
        <v>0</v>
      </c>
      <c r="I133" s="76">
        <f t="shared" si="12"/>
        <v>0</v>
      </c>
      <c r="J133" s="3">
        <v>0</v>
      </c>
      <c r="K133" s="76">
        <f t="shared" si="8"/>
        <v>14</v>
      </c>
      <c r="L133" s="68">
        <f t="shared" si="9"/>
        <v>0</v>
      </c>
      <c r="M133" s="68">
        <f t="shared" si="7"/>
        <v>0</v>
      </c>
      <c r="N133" s="68">
        <f t="shared" si="6"/>
        <v>1</v>
      </c>
      <c r="O133" s="68">
        <f t="shared" si="10"/>
        <v>1</v>
      </c>
      <c r="P133" s="57"/>
    </row>
    <row r="134" spans="1:16" ht="15.75" customHeight="1" x14ac:dyDescent="0.3">
      <c r="A134" s="3">
        <v>78</v>
      </c>
      <c r="B134" s="190" t="s">
        <v>607</v>
      </c>
      <c r="C134" s="191"/>
      <c r="D134" s="76">
        <v>0</v>
      </c>
      <c r="E134" s="76">
        <v>0</v>
      </c>
      <c r="F134" s="76">
        <v>0</v>
      </c>
      <c r="G134" s="76">
        <v>0</v>
      </c>
      <c r="H134" s="76">
        <v>0</v>
      </c>
      <c r="I134" s="76">
        <f t="shared" si="12"/>
        <v>0</v>
      </c>
      <c r="J134" s="3">
        <v>0</v>
      </c>
      <c r="K134" s="76">
        <f t="shared" si="8"/>
        <v>0</v>
      </c>
      <c r="L134" s="68" t="str">
        <f t="shared" si="9"/>
        <v>-</v>
      </c>
      <c r="M134" s="68" t="str">
        <f t="shared" si="7"/>
        <v>-</v>
      </c>
      <c r="N134" s="68" t="str">
        <f t="shared" ref="N134:N159" si="13">IF(E134=0,"-",(K134/E134))</f>
        <v>-</v>
      </c>
      <c r="O134" s="68" t="str">
        <f t="shared" si="10"/>
        <v>-</v>
      </c>
      <c r="P134" s="57"/>
    </row>
    <row r="135" spans="1:16" ht="15.75" customHeight="1" x14ac:dyDescent="0.3">
      <c r="A135" s="3">
        <v>79</v>
      </c>
      <c r="B135" s="190" t="s">
        <v>608</v>
      </c>
      <c r="C135" s="191"/>
      <c r="D135" s="76">
        <v>8</v>
      </c>
      <c r="E135" s="76">
        <v>0</v>
      </c>
      <c r="F135" s="76">
        <v>0</v>
      </c>
      <c r="G135" s="76">
        <v>0</v>
      </c>
      <c r="H135" s="76">
        <v>0</v>
      </c>
      <c r="I135" s="76">
        <f t="shared" si="12"/>
        <v>0</v>
      </c>
      <c r="J135" s="3">
        <v>0</v>
      </c>
      <c r="K135" s="76">
        <f t="shared" si="8"/>
        <v>0</v>
      </c>
      <c r="L135" s="68" t="str">
        <f t="shared" si="9"/>
        <v>-</v>
      </c>
      <c r="M135" s="68" t="str">
        <f t="shared" ref="M135:M159" si="14">IF(E135=0,"-",(J135/E135))</f>
        <v>-</v>
      </c>
      <c r="N135" s="68" t="str">
        <f t="shared" si="13"/>
        <v>-</v>
      </c>
      <c r="O135" s="68" t="str">
        <f t="shared" si="10"/>
        <v>-</v>
      </c>
      <c r="P135" s="164"/>
    </row>
    <row r="136" spans="1:16" x14ac:dyDescent="0.3">
      <c r="A136" s="3">
        <v>80</v>
      </c>
      <c r="B136" s="190" t="s">
        <v>609</v>
      </c>
      <c r="C136" s="191"/>
      <c r="D136" s="76">
        <v>176</v>
      </c>
      <c r="E136" s="76">
        <v>51</v>
      </c>
      <c r="F136" s="76">
        <v>0</v>
      </c>
      <c r="G136" s="76">
        <v>0</v>
      </c>
      <c r="H136" s="76">
        <v>0</v>
      </c>
      <c r="I136" s="76">
        <f t="shared" si="12"/>
        <v>0</v>
      </c>
      <c r="J136" s="3">
        <v>0</v>
      </c>
      <c r="K136" s="76">
        <f t="shared" ref="K136:K164" si="15">SUM(E136-I136-J136)</f>
        <v>51</v>
      </c>
      <c r="L136" s="68">
        <f t="shared" ref="L136:L159" si="16">IF(E136=0,"-",(I136/E136))</f>
        <v>0</v>
      </c>
      <c r="M136" s="68">
        <f t="shared" si="14"/>
        <v>0</v>
      </c>
      <c r="N136" s="68">
        <f t="shared" si="13"/>
        <v>1</v>
      </c>
      <c r="O136" s="68">
        <f t="shared" ref="O136:O159" si="17">N136</f>
        <v>1</v>
      </c>
      <c r="P136" s="57"/>
    </row>
    <row r="137" spans="1:16" x14ac:dyDescent="0.3">
      <c r="A137" s="3">
        <v>81</v>
      </c>
      <c r="B137" s="190" t="s">
        <v>610</v>
      </c>
      <c r="C137" s="191"/>
      <c r="D137" s="76">
        <v>70</v>
      </c>
      <c r="E137" s="76">
        <v>101</v>
      </c>
      <c r="F137" s="76">
        <v>0</v>
      </c>
      <c r="G137" s="76">
        <v>0</v>
      </c>
      <c r="H137" s="76">
        <v>0</v>
      </c>
      <c r="I137" s="76">
        <f t="shared" si="12"/>
        <v>0</v>
      </c>
      <c r="J137" s="3">
        <v>0</v>
      </c>
      <c r="K137" s="76">
        <f t="shared" si="15"/>
        <v>101</v>
      </c>
      <c r="L137" s="68">
        <f t="shared" si="16"/>
        <v>0</v>
      </c>
      <c r="M137" s="68">
        <f t="shared" si="14"/>
        <v>0</v>
      </c>
      <c r="N137" s="68">
        <f t="shared" si="13"/>
        <v>1</v>
      </c>
      <c r="O137" s="68">
        <f t="shared" si="17"/>
        <v>1</v>
      </c>
      <c r="P137" s="57"/>
    </row>
    <row r="138" spans="1:16" x14ac:dyDescent="0.3">
      <c r="A138" s="3">
        <v>82</v>
      </c>
      <c r="B138" s="190" t="s">
        <v>611</v>
      </c>
      <c r="C138" s="191"/>
      <c r="D138" s="76">
        <v>227</v>
      </c>
      <c r="E138" s="76">
        <v>74</v>
      </c>
      <c r="F138" s="76">
        <v>0</v>
      </c>
      <c r="G138" s="76">
        <v>0</v>
      </c>
      <c r="H138" s="76">
        <v>0</v>
      </c>
      <c r="I138" s="76">
        <f t="shared" si="12"/>
        <v>0</v>
      </c>
      <c r="J138" s="3">
        <v>0</v>
      </c>
      <c r="K138" s="76">
        <f t="shared" si="15"/>
        <v>74</v>
      </c>
      <c r="L138" s="68">
        <f t="shared" si="16"/>
        <v>0</v>
      </c>
      <c r="M138" s="68">
        <f t="shared" si="14"/>
        <v>0</v>
      </c>
      <c r="N138" s="68">
        <f t="shared" si="13"/>
        <v>1</v>
      </c>
      <c r="O138" s="68">
        <f t="shared" si="17"/>
        <v>1</v>
      </c>
      <c r="P138" s="57"/>
    </row>
    <row r="139" spans="1:16" ht="15.75" customHeight="1" x14ac:dyDescent="0.3">
      <c r="A139" s="3">
        <v>83</v>
      </c>
      <c r="B139" s="190" t="s">
        <v>612</v>
      </c>
      <c r="C139" s="191"/>
      <c r="D139" s="76">
        <v>0</v>
      </c>
      <c r="E139" s="76">
        <v>38</v>
      </c>
      <c r="F139" s="76">
        <v>0</v>
      </c>
      <c r="G139" s="76">
        <v>0</v>
      </c>
      <c r="H139" s="76">
        <v>0</v>
      </c>
      <c r="I139" s="76">
        <f t="shared" si="12"/>
        <v>0</v>
      </c>
      <c r="J139" s="3">
        <v>0</v>
      </c>
      <c r="K139" s="76">
        <f t="shared" si="15"/>
        <v>38</v>
      </c>
      <c r="L139" s="68">
        <f t="shared" si="16"/>
        <v>0</v>
      </c>
      <c r="M139" s="68">
        <f t="shared" si="14"/>
        <v>0</v>
      </c>
      <c r="N139" s="68">
        <f t="shared" si="13"/>
        <v>1</v>
      </c>
      <c r="O139" s="68">
        <f t="shared" si="17"/>
        <v>1</v>
      </c>
      <c r="P139" s="55"/>
    </row>
    <row r="140" spans="1:16" ht="15" customHeight="1" x14ac:dyDescent="0.3">
      <c r="A140" s="3">
        <v>84</v>
      </c>
      <c r="B140" s="190" t="s">
        <v>613</v>
      </c>
      <c r="C140" s="191"/>
      <c r="D140" s="76">
        <v>7</v>
      </c>
      <c r="E140" s="76">
        <v>8</v>
      </c>
      <c r="F140" s="76">
        <v>0</v>
      </c>
      <c r="G140" s="76">
        <v>0</v>
      </c>
      <c r="H140" s="76">
        <v>0</v>
      </c>
      <c r="I140" s="76">
        <f t="shared" si="12"/>
        <v>0</v>
      </c>
      <c r="J140" s="3">
        <v>0</v>
      </c>
      <c r="K140" s="76">
        <f t="shared" si="15"/>
        <v>8</v>
      </c>
      <c r="L140" s="68">
        <f t="shared" si="16"/>
        <v>0</v>
      </c>
      <c r="M140" s="68">
        <f t="shared" si="14"/>
        <v>0</v>
      </c>
      <c r="N140" s="68">
        <f t="shared" si="13"/>
        <v>1</v>
      </c>
      <c r="O140" s="68">
        <f t="shared" si="17"/>
        <v>1</v>
      </c>
      <c r="P140" s="57"/>
    </row>
    <row r="141" spans="1:16" ht="15.75" customHeight="1" x14ac:dyDescent="0.3">
      <c r="A141" s="3">
        <v>85</v>
      </c>
      <c r="B141" s="190" t="s">
        <v>614</v>
      </c>
      <c r="C141" s="191"/>
      <c r="D141" s="76">
        <v>0</v>
      </c>
      <c r="E141" s="76">
        <v>0</v>
      </c>
      <c r="F141" s="76">
        <v>0</v>
      </c>
      <c r="G141" s="76">
        <v>0</v>
      </c>
      <c r="H141" s="76">
        <v>0</v>
      </c>
      <c r="I141" s="76">
        <f t="shared" si="12"/>
        <v>0</v>
      </c>
      <c r="J141" s="3">
        <v>0</v>
      </c>
      <c r="K141" s="76">
        <f t="shared" si="15"/>
        <v>0</v>
      </c>
      <c r="L141" s="68" t="str">
        <f t="shared" si="16"/>
        <v>-</v>
      </c>
      <c r="M141" s="68" t="str">
        <f t="shared" si="14"/>
        <v>-</v>
      </c>
      <c r="N141" s="68" t="str">
        <f t="shared" si="13"/>
        <v>-</v>
      </c>
      <c r="O141" s="68" t="str">
        <f t="shared" si="17"/>
        <v>-</v>
      </c>
      <c r="P141" s="119"/>
    </row>
    <row r="142" spans="1:16" ht="15.75" customHeight="1" x14ac:dyDescent="0.3">
      <c r="A142" s="3">
        <v>86</v>
      </c>
      <c r="B142" s="190" t="s">
        <v>615</v>
      </c>
      <c r="C142" s="191"/>
      <c r="D142" s="76">
        <v>0</v>
      </c>
      <c r="E142" s="76">
        <v>0</v>
      </c>
      <c r="F142" s="76">
        <v>0</v>
      </c>
      <c r="G142" s="76">
        <v>0</v>
      </c>
      <c r="H142" s="76">
        <v>0</v>
      </c>
      <c r="I142" s="76">
        <f t="shared" ref="I142:I186" si="18">SUM(F142:H142)</f>
        <v>0</v>
      </c>
      <c r="J142" s="3">
        <v>0</v>
      </c>
      <c r="K142" s="76">
        <f t="shared" si="15"/>
        <v>0</v>
      </c>
      <c r="L142" s="68" t="str">
        <f t="shared" si="16"/>
        <v>-</v>
      </c>
      <c r="M142" s="68" t="str">
        <f t="shared" si="14"/>
        <v>-</v>
      </c>
      <c r="N142" s="68" t="str">
        <f t="shared" si="13"/>
        <v>-</v>
      </c>
      <c r="O142" s="68" t="str">
        <f t="shared" si="17"/>
        <v>-</v>
      </c>
      <c r="P142" s="120"/>
    </row>
    <row r="143" spans="1:16" ht="15.75" customHeight="1" x14ac:dyDescent="0.3">
      <c r="A143" s="3">
        <v>87</v>
      </c>
      <c r="B143" s="190" t="s">
        <v>616</v>
      </c>
      <c r="C143" s="191"/>
      <c r="D143" s="76">
        <v>13</v>
      </c>
      <c r="E143" s="76">
        <v>16</v>
      </c>
      <c r="F143" s="76">
        <v>0</v>
      </c>
      <c r="G143" s="76">
        <v>0</v>
      </c>
      <c r="H143" s="76">
        <v>0</v>
      </c>
      <c r="I143" s="76">
        <f t="shared" si="18"/>
        <v>0</v>
      </c>
      <c r="J143" s="76">
        <v>0</v>
      </c>
      <c r="K143" s="76">
        <f t="shared" si="15"/>
        <v>16</v>
      </c>
      <c r="L143" s="68">
        <f t="shared" si="16"/>
        <v>0</v>
      </c>
      <c r="M143" s="68">
        <f t="shared" si="14"/>
        <v>0</v>
      </c>
      <c r="N143" s="68">
        <f t="shared" si="13"/>
        <v>1</v>
      </c>
      <c r="O143" s="68">
        <f t="shared" si="17"/>
        <v>1</v>
      </c>
      <c r="P143" s="138"/>
    </row>
    <row r="144" spans="1:16" ht="15.75" customHeight="1" x14ac:dyDescent="0.3">
      <c r="A144" s="3">
        <v>88</v>
      </c>
      <c r="B144" s="190" t="s">
        <v>617</v>
      </c>
      <c r="C144" s="191"/>
      <c r="D144" s="76">
        <v>0</v>
      </c>
      <c r="E144" s="76">
        <v>0</v>
      </c>
      <c r="F144" s="76">
        <v>0</v>
      </c>
      <c r="G144" s="76">
        <v>0</v>
      </c>
      <c r="H144" s="76">
        <v>0</v>
      </c>
      <c r="I144" s="76">
        <f t="shared" si="18"/>
        <v>0</v>
      </c>
      <c r="J144" s="76">
        <v>0</v>
      </c>
      <c r="K144" s="76">
        <f t="shared" si="15"/>
        <v>0</v>
      </c>
      <c r="L144" s="68" t="str">
        <f t="shared" si="16"/>
        <v>-</v>
      </c>
      <c r="M144" s="68" t="str">
        <f t="shared" si="14"/>
        <v>-</v>
      </c>
      <c r="N144" s="68" t="str">
        <f t="shared" si="13"/>
        <v>-</v>
      </c>
      <c r="O144" s="68" t="str">
        <f t="shared" si="17"/>
        <v>-</v>
      </c>
      <c r="P144" s="120"/>
    </row>
    <row r="145" spans="1:16" ht="15.75" customHeight="1" x14ac:dyDescent="0.3">
      <c r="A145" s="3">
        <v>89</v>
      </c>
      <c r="B145" s="190" t="s">
        <v>618</v>
      </c>
      <c r="C145" s="191"/>
      <c r="D145" s="76">
        <v>0</v>
      </c>
      <c r="E145" s="76">
        <v>0</v>
      </c>
      <c r="F145" s="76">
        <v>0</v>
      </c>
      <c r="G145" s="76">
        <v>0</v>
      </c>
      <c r="H145" s="76">
        <v>0</v>
      </c>
      <c r="I145" s="76">
        <f t="shared" si="18"/>
        <v>0</v>
      </c>
      <c r="J145" s="76">
        <v>0</v>
      </c>
      <c r="K145" s="76">
        <f t="shared" si="15"/>
        <v>0</v>
      </c>
      <c r="L145" s="68" t="str">
        <f t="shared" si="16"/>
        <v>-</v>
      </c>
      <c r="M145" s="68" t="str">
        <f t="shared" si="14"/>
        <v>-</v>
      </c>
      <c r="N145" s="68" t="str">
        <f t="shared" si="13"/>
        <v>-</v>
      </c>
      <c r="O145" s="68" t="str">
        <f t="shared" si="17"/>
        <v>-</v>
      </c>
      <c r="P145" s="120"/>
    </row>
    <row r="146" spans="1:16" ht="15.75" customHeight="1" x14ac:dyDescent="0.3">
      <c r="A146" s="3">
        <v>90</v>
      </c>
      <c r="B146" s="190" t="s">
        <v>619</v>
      </c>
      <c r="C146" s="191"/>
      <c r="D146" s="76">
        <v>0</v>
      </c>
      <c r="E146" s="76">
        <v>0</v>
      </c>
      <c r="F146" s="76">
        <v>0</v>
      </c>
      <c r="G146" s="76">
        <v>0</v>
      </c>
      <c r="H146" s="76">
        <v>0</v>
      </c>
      <c r="I146" s="76">
        <f t="shared" si="18"/>
        <v>0</v>
      </c>
      <c r="J146" s="76"/>
      <c r="K146" s="76">
        <f t="shared" si="15"/>
        <v>0</v>
      </c>
      <c r="L146" s="68" t="str">
        <f t="shared" si="16"/>
        <v>-</v>
      </c>
      <c r="M146" s="68" t="str">
        <f t="shared" si="14"/>
        <v>-</v>
      </c>
      <c r="N146" s="68" t="str">
        <f t="shared" si="13"/>
        <v>-</v>
      </c>
      <c r="O146" s="68" t="str">
        <f t="shared" si="17"/>
        <v>-</v>
      </c>
      <c r="P146" s="120"/>
    </row>
    <row r="147" spans="1:16" x14ac:dyDescent="0.3">
      <c r="A147" s="3">
        <v>91</v>
      </c>
      <c r="B147" s="190" t="s">
        <v>620</v>
      </c>
      <c r="C147" s="191"/>
      <c r="D147" s="76">
        <v>0</v>
      </c>
      <c r="E147" s="76">
        <v>0</v>
      </c>
      <c r="F147" s="76">
        <v>0</v>
      </c>
      <c r="G147" s="76">
        <v>0</v>
      </c>
      <c r="H147" s="76">
        <v>0</v>
      </c>
      <c r="I147" s="76">
        <f t="shared" si="18"/>
        <v>0</v>
      </c>
      <c r="J147" s="76">
        <f>SUM(J1:J146)</f>
        <v>0</v>
      </c>
      <c r="K147" s="76">
        <f t="shared" si="15"/>
        <v>0</v>
      </c>
      <c r="L147" s="68" t="str">
        <f t="shared" si="16"/>
        <v>-</v>
      </c>
      <c r="M147" s="68" t="str">
        <f t="shared" si="14"/>
        <v>-</v>
      </c>
      <c r="N147" s="68" t="str">
        <f t="shared" si="13"/>
        <v>-</v>
      </c>
      <c r="O147" s="68" t="str">
        <f t="shared" si="17"/>
        <v>-</v>
      </c>
      <c r="P147" s="55"/>
    </row>
    <row r="148" spans="1:16" x14ac:dyDescent="0.3">
      <c r="A148" s="3">
        <v>92</v>
      </c>
      <c r="B148" s="190" t="s">
        <v>621</v>
      </c>
      <c r="C148" s="191"/>
      <c r="D148" s="76">
        <v>0</v>
      </c>
      <c r="E148" s="76">
        <v>0</v>
      </c>
      <c r="F148" s="76">
        <v>0</v>
      </c>
      <c r="G148" s="76">
        <v>0</v>
      </c>
      <c r="H148" s="76">
        <v>0</v>
      </c>
      <c r="I148" s="76">
        <f t="shared" si="18"/>
        <v>0</v>
      </c>
      <c r="J148" s="121">
        <v>0</v>
      </c>
      <c r="K148" s="76">
        <f t="shared" si="15"/>
        <v>0</v>
      </c>
      <c r="L148" s="68" t="str">
        <f t="shared" si="16"/>
        <v>-</v>
      </c>
      <c r="M148" s="68" t="str">
        <f t="shared" si="14"/>
        <v>-</v>
      </c>
      <c r="N148" s="68" t="str">
        <f t="shared" si="13"/>
        <v>-</v>
      </c>
      <c r="O148" s="68" t="str">
        <f t="shared" si="17"/>
        <v>-</v>
      </c>
      <c r="P148" s="55"/>
    </row>
    <row r="149" spans="1:16" x14ac:dyDescent="0.3">
      <c r="A149" s="3">
        <v>93</v>
      </c>
      <c r="B149" s="190" t="s">
        <v>622</v>
      </c>
      <c r="C149" s="191"/>
      <c r="D149" s="76">
        <v>31</v>
      </c>
      <c r="E149" s="76">
        <v>77</v>
      </c>
      <c r="F149" s="76">
        <v>0</v>
      </c>
      <c r="G149" s="76">
        <v>0</v>
      </c>
      <c r="H149" s="76">
        <v>0</v>
      </c>
      <c r="I149" s="76">
        <f t="shared" si="18"/>
        <v>0</v>
      </c>
      <c r="J149" s="121">
        <v>0</v>
      </c>
      <c r="K149" s="76">
        <f t="shared" si="15"/>
        <v>77</v>
      </c>
      <c r="L149" s="68">
        <f t="shared" si="16"/>
        <v>0</v>
      </c>
      <c r="M149" s="68">
        <f t="shared" si="14"/>
        <v>0</v>
      </c>
      <c r="N149" s="68">
        <f t="shared" si="13"/>
        <v>1</v>
      </c>
      <c r="O149" s="68">
        <f t="shared" si="17"/>
        <v>1</v>
      </c>
      <c r="P149" s="57"/>
    </row>
    <row r="150" spans="1:16" x14ac:dyDescent="0.3">
      <c r="A150" s="3">
        <v>94</v>
      </c>
      <c r="B150" s="190" t="s">
        <v>623</v>
      </c>
      <c r="C150" s="191"/>
      <c r="D150" s="76">
        <v>32</v>
      </c>
      <c r="E150" s="76">
        <v>32</v>
      </c>
      <c r="F150" s="76">
        <v>0</v>
      </c>
      <c r="G150" s="76">
        <v>0</v>
      </c>
      <c r="H150" s="76">
        <v>0</v>
      </c>
      <c r="I150" s="76">
        <f t="shared" si="18"/>
        <v>0</v>
      </c>
      <c r="J150" s="76">
        <v>0</v>
      </c>
      <c r="K150" s="76">
        <f t="shared" si="15"/>
        <v>32</v>
      </c>
      <c r="L150" s="68">
        <f t="shared" si="16"/>
        <v>0</v>
      </c>
      <c r="M150" s="68">
        <f t="shared" si="14"/>
        <v>0</v>
      </c>
      <c r="N150" s="68">
        <f t="shared" si="13"/>
        <v>1</v>
      </c>
      <c r="O150" s="68">
        <f t="shared" si="17"/>
        <v>1</v>
      </c>
      <c r="P150" s="133"/>
    </row>
    <row r="151" spans="1:16" s="1" customFormat="1" ht="15" x14ac:dyDescent="0.3">
      <c r="A151" s="3">
        <v>95</v>
      </c>
      <c r="B151" s="190" t="s">
        <v>624</v>
      </c>
      <c r="C151" s="191"/>
      <c r="D151" s="76">
        <v>32</v>
      </c>
      <c r="E151" s="76">
        <v>32</v>
      </c>
      <c r="F151" s="76">
        <v>0</v>
      </c>
      <c r="G151" s="76">
        <v>0</v>
      </c>
      <c r="H151" s="76">
        <v>0</v>
      </c>
      <c r="I151" s="76">
        <f t="shared" si="18"/>
        <v>0</v>
      </c>
      <c r="J151" s="67">
        <v>0</v>
      </c>
      <c r="K151" s="76">
        <f t="shared" si="15"/>
        <v>32</v>
      </c>
      <c r="L151" s="68">
        <f t="shared" si="16"/>
        <v>0</v>
      </c>
      <c r="M151" s="68">
        <f t="shared" si="14"/>
        <v>0</v>
      </c>
      <c r="N151" s="68">
        <f t="shared" si="13"/>
        <v>1</v>
      </c>
      <c r="O151" s="68">
        <f t="shared" si="17"/>
        <v>1</v>
      </c>
      <c r="P151" s="124"/>
    </row>
    <row r="152" spans="1:16" s="106" customFormat="1" x14ac:dyDescent="0.3">
      <c r="A152" s="3">
        <v>96</v>
      </c>
      <c r="B152" s="190" t="s">
        <v>625</v>
      </c>
      <c r="C152" s="191"/>
      <c r="D152" s="76">
        <v>228</v>
      </c>
      <c r="E152" s="76">
        <v>190</v>
      </c>
      <c r="F152" s="76">
        <v>0</v>
      </c>
      <c r="G152" s="76">
        <v>0</v>
      </c>
      <c r="H152" s="76">
        <v>0</v>
      </c>
      <c r="I152" s="76">
        <f t="shared" si="18"/>
        <v>0</v>
      </c>
      <c r="J152" s="76">
        <v>0</v>
      </c>
      <c r="K152" s="76">
        <f t="shared" si="15"/>
        <v>190</v>
      </c>
      <c r="L152" s="68">
        <f t="shared" si="16"/>
        <v>0</v>
      </c>
      <c r="M152" s="68">
        <f t="shared" si="14"/>
        <v>0</v>
      </c>
      <c r="N152" s="68">
        <f t="shared" si="13"/>
        <v>1</v>
      </c>
      <c r="O152" s="68">
        <f t="shared" si="17"/>
        <v>1</v>
      </c>
      <c r="P152" s="57"/>
    </row>
    <row r="153" spans="1:16" s="106" customFormat="1" x14ac:dyDescent="0.3">
      <c r="A153" s="3">
        <v>97</v>
      </c>
      <c r="B153" s="190" t="s">
        <v>626</v>
      </c>
      <c r="C153" s="191"/>
      <c r="D153" s="76">
        <v>16</v>
      </c>
      <c r="E153" s="76">
        <v>0</v>
      </c>
      <c r="F153" s="76">
        <v>0</v>
      </c>
      <c r="G153" s="76">
        <v>0</v>
      </c>
      <c r="H153" s="76">
        <v>0</v>
      </c>
      <c r="I153" s="76">
        <f t="shared" si="18"/>
        <v>0</v>
      </c>
      <c r="J153" s="76">
        <v>0</v>
      </c>
      <c r="K153" s="76">
        <f t="shared" si="15"/>
        <v>0</v>
      </c>
      <c r="L153" s="68" t="str">
        <f t="shared" si="16"/>
        <v>-</v>
      </c>
      <c r="M153" s="68" t="str">
        <f t="shared" si="14"/>
        <v>-</v>
      </c>
      <c r="N153" s="68" t="str">
        <f t="shared" si="13"/>
        <v>-</v>
      </c>
      <c r="O153" s="68" t="str">
        <f t="shared" si="17"/>
        <v>-</v>
      </c>
      <c r="P153" s="57"/>
    </row>
    <row r="154" spans="1:16" x14ac:dyDescent="0.3">
      <c r="A154" s="3">
        <v>98</v>
      </c>
      <c r="B154" s="190" t="s">
        <v>627</v>
      </c>
      <c r="C154" s="191"/>
      <c r="D154" s="76">
        <v>3804</v>
      </c>
      <c r="E154" s="76">
        <v>4579</v>
      </c>
      <c r="F154" s="76">
        <v>0</v>
      </c>
      <c r="G154" s="76">
        <v>0</v>
      </c>
      <c r="H154" s="76">
        <v>0</v>
      </c>
      <c r="I154" s="76">
        <f t="shared" si="18"/>
        <v>0</v>
      </c>
      <c r="J154" s="121">
        <v>0</v>
      </c>
      <c r="K154" s="76">
        <f t="shared" si="15"/>
        <v>4579</v>
      </c>
      <c r="L154" s="68">
        <f t="shared" si="16"/>
        <v>0</v>
      </c>
      <c r="M154" s="68">
        <f t="shared" si="14"/>
        <v>0</v>
      </c>
      <c r="N154" s="68">
        <f t="shared" si="13"/>
        <v>1</v>
      </c>
      <c r="O154" s="68">
        <f t="shared" si="17"/>
        <v>1</v>
      </c>
      <c r="P154" s="117"/>
    </row>
    <row r="155" spans="1:16" x14ac:dyDescent="0.3">
      <c r="A155" s="3">
        <v>99</v>
      </c>
      <c r="B155" s="190" t="s">
        <v>628</v>
      </c>
      <c r="C155" s="191"/>
      <c r="D155" s="76">
        <v>38</v>
      </c>
      <c r="E155" s="76">
        <v>106</v>
      </c>
      <c r="F155" s="76">
        <v>0</v>
      </c>
      <c r="G155" s="76">
        <v>0</v>
      </c>
      <c r="H155" s="76">
        <v>0</v>
      </c>
      <c r="I155" s="76">
        <f t="shared" si="18"/>
        <v>0</v>
      </c>
      <c r="J155" s="121">
        <v>0</v>
      </c>
      <c r="K155" s="76">
        <f t="shared" si="15"/>
        <v>106</v>
      </c>
      <c r="L155" s="68">
        <f t="shared" si="16"/>
        <v>0</v>
      </c>
      <c r="M155" s="68">
        <f t="shared" si="14"/>
        <v>0</v>
      </c>
      <c r="N155" s="68">
        <f t="shared" si="13"/>
        <v>1</v>
      </c>
      <c r="O155" s="68">
        <f t="shared" si="17"/>
        <v>1</v>
      </c>
      <c r="P155" s="117"/>
    </row>
    <row r="156" spans="1:16" s="106" customFormat="1" ht="30" x14ac:dyDescent="0.3">
      <c r="A156" s="3">
        <v>100</v>
      </c>
      <c r="B156" s="190" t="s">
        <v>629</v>
      </c>
      <c r="C156" s="191"/>
      <c r="D156" s="76">
        <v>398</v>
      </c>
      <c r="E156" s="76">
        <v>897</v>
      </c>
      <c r="F156" s="76">
        <v>0</v>
      </c>
      <c r="G156" s="76">
        <v>0</v>
      </c>
      <c r="H156" s="76">
        <v>0</v>
      </c>
      <c r="I156" s="76">
        <f t="shared" si="18"/>
        <v>0</v>
      </c>
      <c r="J156" s="121">
        <v>0</v>
      </c>
      <c r="K156" s="76">
        <f t="shared" si="15"/>
        <v>897</v>
      </c>
      <c r="L156" s="68">
        <f t="shared" si="16"/>
        <v>0</v>
      </c>
      <c r="M156" s="68">
        <f t="shared" si="14"/>
        <v>0</v>
      </c>
      <c r="N156" s="68">
        <f t="shared" si="13"/>
        <v>1</v>
      </c>
      <c r="O156" s="68">
        <f t="shared" si="17"/>
        <v>1</v>
      </c>
      <c r="P156" s="182" t="s">
        <v>119</v>
      </c>
    </row>
    <row r="157" spans="1:16" x14ac:dyDescent="0.3">
      <c r="A157" s="3">
        <v>101</v>
      </c>
      <c r="B157" s="188" t="s">
        <v>630</v>
      </c>
      <c r="C157" s="189"/>
      <c r="D157" s="76">
        <v>6</v>
      </c>
      <c r="E157" s="76">
        <v>18</v>
      </c>
      <c r="F157" s="76">
        <v>0</v>
      </c>
      <c r="G157" s="76">
        <v>0</v>
      </c>
      <c r="H157" s="76">
        <v>0</v>
      </c>
      <c r="I157" s="76">
        <f t="shared" si="18"/>
        <v>0</v>
      </c>
      <c r="J157" s="121">
        <v>0</v>
      </c>
      <c r="K157" s="76">
        <f t="shared" si="15"/>
        <v>18</v>
      </c>
      <c r="L157" s="68">
        <f t="shared" si="16"/>
        <v>0</v>
      </c>
      <c r="M157" s="68">
        <f t="shared" si="14"/>
        <v>0</v>
      </c>
      <c r="N157" s="68">
        <f t="shared" si="13"/>
        <v>1</v>
      </c>
      <c r="O157" s="68">
        <f t="shared" si="17"/>
        <v>1</v>
      </c>
      <c r="P157" s="138"/>
    </row>
    <row r="158" spans="1:16" x14ac:dyDescent="0.3">
      <c r="A158" s="3">
        <v>102</v>
      </c>
      <c r="B158" s="188" t="s">
        <v>631</v>
      </c>
      <c r="C158" s="189"/>
      <c r="D158" s="76">
        <v>0</v>
      </c>
      <c r="E158" s="76">
        <v>0</v>
      </c>
      <c r="F158" s="76">
        <v>0</v>
      </c>
      <c r="G158" s="76">
        <v>0</v>
      </c>
      <c r="H158" s="76">
        <v>0</v>
      </c>
      <c r="I158" s="76">
        <f t="shared" si="18"/>
        <v>0</v>
      </c>
      <c r="J158" s="121">
        <v>0</v>
      </c>
      <c r="K158" s="76">
        <f t="shared" si="15"/>
        <v>0</v>
      </c>
      <c r="L158" s="68" t="str">
        <f t="shared" si="16"/>
        <v>-</v>
      </c>
      <c r="M158" s="68" t="str">
        <f t="shared" si="14"/>
        <v>-</v>
      </c>
      <c r="N158" s="68" t="str">
        <f t="shared" si="13"/>
        <v>-</v>
      </c>
      <c r="O158" s="68" t="str">
        <f t="shared" si="17"/>
        <v>-</v>
      </c>
      <c r="P158" s="50"/>
    </row>
    <row r="159" spans="1:16" x14ac:dyDescent="0.3">
      <c r="A159" s="3">
        <v>103</v>
      </c>
      <c r="B159" s="188" t="s">
        <v>632</v>
      </c>
      <c r="C159" s="189"/>
      <c r="D159" s="76">
        <v>10</v>
      </c>
      <c r="E159" s="76">
        <v>6</v>
      </c>
      <c r="F159" s="76">
        <v>0</v>
      </c>
      <c r="G159" s="76">
        <v>0</v>
      </c>
      <c r="H159" s="76">
        <v>0</v>
      </c>
      <c r="I159" s="76">
        <f t="shared" si="18"/>
        <v>0</v>
      </c>
      <c r="J159" s="121">
        <v>0</v>
      </c>
      <c r="K159" s="76">
        <f t="shared" si="15"/>
        <v>6</v>
      </c>
      <c r="L159" s="68">
        <f t="shared" si="16"/>
        <v>0</v>
      </c>
      <c r="M159" s="68">
        <f t="shared" si="14"/>
        <v>0</v>
      </c>
      <c r="N159" s="68">
        <f t="shared" si="13"/>
        <v>1</v>
      </c>
      <c r="O159" s="68">
        <f t="shared" si="17"/>
        <v>1</v>
      </c>
      <c r="P159" s="50"/>
    </row>
    <row r="160" spans="1:16" ht="25.5" customHeight="1" x14ac:dyDescent="0.3">
      <c r="A160" s="3">
        <v>104</v>
      </c>
      <c r="B160" s="186" t="s">
        <v>633</v>
      </c>
      <c r="C160" s="187"/>
      <c r="D160" s="76">
        <v>504</v>
      </c>
      <c r="E160" s="76">
        <v>581</v>
      </c>
      <c r="F160" s="76">
        <v>0</v>
      </c>
      <c r="G160" s="76">
        <v>0</v>
      </c>
      <c r="H160" s="76">
        <v>0</v>
      </c>
      <c r="I160" s="76">
        <f t="shared" si="18"/>
        <v>0</v>
      </c>
      <c r="J160" s="121">
        <v>0</v>
      </c>
      <c r="K160" s="76">
        <f t="shared" si="15"/>
        <v>581</v>
      </c>
      <c r="L160" s="68">
        <f t="shared" ref="L160" si="19">IF(E160=0,"-",(I160/E160))</f>
        <v>0</v>
      </c>
      <c r="M160" s="68">
        <f t="shared" ref="M160" si="20">IF(E160=0,"-",(J160/E160))</f>
        <v>0</v>
      </c>
      <c r="N160" s="68">
        <f t="shared" ref="N160" si="21">IF(E160=0,"-",(K160/E160))</f>
        <v>1</v>
      </c>
      <c r="O160" s="68">
        <f t="shared" ref="O160" si="22">N160</f>
        <v>1</v>
      </c>
      <c r="P160" s="10"/>
    </row>
    <row r="161" spans="1:16" ht="19.5" customHeight="1" x14ac:dyDescent="0.3">
      <c r="A161" s="3">
        <v>105</v>
      </c>
      <c r="B161" s="186" t="s">
        <v>634</v>
      </c>
      <c r="C161" s="187"/>
      <c r="D161" s="4">
        <v>96</v>
      </c>
      <c r="E161" s="76">
        <v>77</v>
      </c>
      <c r="F161" s="76">
        <v>0</v>
      </c>
      <c r="G161" s="76">
        <v>0</v>
      </c>
      <c r="H161" s="76">
        <v>0</v>
      </c>
      <c r="I161" s="76">
        <f t="shared" si="18"/>
        <v>0</v>
      </c>
      <c r="J161" s="121">
        <v>0</v>
      </c>
      <c r="K161" s="76">
        <f t="shared" si="15"/>
        <v>77</v>
      </c>
      <c r="L161" s="68">
        <f t="shared" ref="L161:L164" si="23">IF(E161=0,"-",(I161/E161))</f>
        <v>0</v>
      </c>
      <c r="M161" s="68">
        <f t="shared" ref="M161:M164" si="24">IF(E161=0,"-",(J161/E161))</f>
        <v>0</v>
      </c>
      <c r="N161" s="68">
        <f t="shared" ref="N161:N164" si="25">IF(E161=0,"-",(K161/E161))</f>
        <v>1</v>
      </c>
      <c r="O161" s="68">
        <f t="shared" ref="O161:O164" si="26">N161</f>
        <v>1</v>
      </c>
      <c r="P161" s="122"/>
    </row>
    <row r="162" spans="1:16" ht="19.5" customHeight="1" x14ac:dyDescent="0.3">
      <c r="A162" s="3">
        <v>106</v>
      </c>
      <c r="B162" s="186" t="s">
        <v>635</v>
      </c>
      <c r="C162" s="187"/>
      <c r="D162" s="4">
        <v>0</v>
      </c>
      <c r="E162" s="76">
        <v>0</v>
      </c>
      <c r="F162" s="76">
        <v>0</v>
      </c>
      <c r="G162" s="76">
        <v>0</v>
      </c>
      <c r="H162" s="76">
        <v>0</v>
      </c>
      <c r="I162" s="76">
        <f t="shared" si="18"/>
        <v>0</v>
      </c>
      <c r="J162" s="121">
        <v>0</v>
      </c>
      <c r="K162" s="76">
        <f t="shared" si="15"/>
        <v>0</v>
      </c>
      <c r="L162" s="68" t="str">
        <f t="shared" si="23"/>
        <v>-</v>
      </c>
      <c r="M162" s="68" t="str">
        <f t="shared" si="24"/>
        <v>-</v>
      </c>
      <c r="N162" s="68" t="str">
        <f t="shared" si="25"/>
        <v>-</v>
      </c>
      <c r="O162" s="68" t="str">
        <f t="shared" si="26"/>
        <v>-</v>
      </c>
      <c r="P162" s="10"/>
    </row>
    <row r="163" spans="1:16" s="106" customFormat="1" ht="30" x14ac:dyDescent="0.3">
      <c r="A163" s="3">
        <v>107</v>
      </c>
      <c r="B163" s="186" t="s">
        <v>636</v>
      </c>
      <c r="C163" s="187"/>
      <c r="D163" s="4">
        <v>36</v>
      </c>
      <c r="E163" s="4">
        <v>35</v>
      </c>
      <c r="F163" s="76">
        <v>2</v>
      </c>
      <c r="G163" s="76">
        <v>0</v>
      </c>
      <c r="H163" s="76">
        <v>0</v>
      </c>
      <c r="I163" s="76">
        <f t="shared" ref="I163" si="27">SUM(F163:H163)</f>
        <v>2</v>
      </c>
      <c r="J163" s="121">
        <v>0</v>
      </c>
      <c r="K163" s="76">
        <f t="shared" si="15"/>
        <v>33</v>
      </c>
      <c r="L163" s="68">
        <f t="shared" si="23"/>
        <v>5.7142857142857141E-2</v>
      </c>
      <c r="M163" s="68">
        <f t="shared" si="24"/>
        <v>0</v>
      </c>
      <c r="N163" s="68">
        <f t="shared" si="25"/>
        <v>0.94285714285714284</v>
      </c>
      <c r="O163" s="68">
        <f t="shared" si="26"/>
        <v>0.94285714285714284</v>
      </c>
      <c r="P163" s="10" t="s">
        <v>461</v>
      </c>
    </row>
    <row r="164" spans="1:16" ht="29.25" customHeight="1" x14ac:dyDescent="0.3">
      <c r="A164" s="3">
        <v>108</v>
      </c>
      <c r="B164" s="186" t="s">
        <v>637</v>
      </c>
      <c r="C164" s="187"/>
      <c r="D164" s="4">
        <v>0</v>
      </c>
      <c r="E164" s="76">
        <v>117</v>
      </c>
      <c r="F164" s="76">
        <v>0</v>
      </c>
      <c r="G164" s="76">
        <v>0</v>
      </c>
      <c r="H164" s="76">
        <v>0</v>
      </c>
      <c r="I164" s="76">
        <f t="shared" si="18"/>
        <v>0</v>
      </c>
      <c r="J164" s="121">
        <v>0</v>
      </c>
      <c r="K164" s="76">
        <f t="shared" si="15"/>
        <v>117</v>
      </c>
      <c r="L164" s="68">
        <f t="shared" si="23"/>
        <v>0</v>
      </c>
      <c r="M164" s="68">
        <f t="shared" si="24"/>
        <v>0</v>
      </c>
      <c r="N164" s="68">
        <f t="shared" si="25"/>
        <v>1</v>
      </c>
      <c r="O164" s="68">
        <f t="shared" si="26"/>
        <v>1</v>
      </c>
      <c r="P164" s="10"/>
    </row>
    <row r="165" spans="1:16" ht="24" customHeight="1" x14ac:dyDescent="0.3">
      <c r="A165" s="3">
        <v>109</v>
      </c>
      <c r="B165" s="186" t="s">
        <v>638</v>
      </c>
      <c r="C165" s="187"/>
      <c r="D165" s="4">
        <v>3</v>
      </c>
      <c r="E165" s="76">
        <v>2</v>
      </c>
      <c r="F165" s="76">
        <v>0</v>
      </c>
      <c r="G165" s="76">
        <v>0</v>
      </c>
      <c r="H165" s="76">
        <v>0</v>
      </c>
      <c r="I165" s="76">
        <f t="shared" si="18"/>
        <v>0</v>
      </c>
      <c r="J165" s="121">
        <v>0</v>
      </c>
      <c r="K165" s="76">
        <f t="shared" ref="K165:K167" si="28">SUM(E165-I165-J165)</f>
        <v>2</v>
      </c>
      <c r="L165" s="68">
        <f t="shared" ref="L165:L167" si="29">IF(E165=0,"-",(I165/E165))</f>
        <v>0</v>
      </c>
      <c r="M165" s="68">
        <f t="shared" ref="M165:M167" si="30">IF(E165=0,"-",(J165/E165))</f>
        <v>0</v>
      </c>
      <c r="N165" s="68">
        <f t="shared" ref="N165:N167" si="31">IF(E165=0,"-",(K165/E165))</f>
        <v>1</v>
      </c>
      <c r="O165" s="68">
        <f t="shared" ref="O165:O167" si="32">N165</f>
        <v>1</v>
      </c>
      <c r="P165" s="124"/>
    </row>
    <row r="166" spans="1:16" ht="19.5" customHeight="1" x14ac:dyDescent="0.3">
      <c r="A166" s="3">
        <v>110</v>
      </c>
      <c r="B166" s="186" t="s">
        <v>639</v>
      </c>
      <c r="C166" s="187"/>
      <c r="D166" s="4">
        <v>0</v>
      </c>
      <c r="E166" s="76">
        <v>1</v>
      </c>
      <c r="F166" s="76">
        <v>1</v>
      </c>
      <c r="G166" s="76">
        <v>0</v>
      </c>
      <c r="H166" s="76">
        <v>0</v>
      </c>
      <c r="I166" s="76">
        <f t="shared" si="18"/>
        <v>1</v>
      </c>
      <c r="J166" s="121">
        <v>0</v>
      </c>
      <c r="K166" s="76">
        <f t="shared" si="28"/>
        <v>0</v>
      </c>
      <c r="L166" s="68">
        <f t="shared" si="29"/>
        <v>1</v>
      </c>
      <c r="M166" s="68">
        <f t="shared" si="30"/>
        <v>0</v>
      </c>
      <c r="N166" s="68">
        <f t="shared" si="31"/>
        <v>0</v>
      </c>
      <c r="O166" s="68">
        <f t="shared" si="32"/>
        <v>0</v>
      </c>
      <c r="P166" s="11" t="s">
        <v>88</v>
      </c>
    </row>
    <row r="167" spans="1:16" ht="30" customHeight="1" x14ac:dyDescent="0.3">
      <c r="A167" s="3">
        <v>111</v>
      </c>
      <c r="B167" s="186" t="s">
        <v>640</v>
      </c>
      <c r="C167" s="187"/>
      <c r="D167" s="4">
        <v>0</v>
      </c>
      <c r="E167" s="76">
        <v>2</v>
      </c>
      <c r="F167" s="76">
        <v>0</v>
      </c>
      <c r="G167" s="76">
        <v>0</v>
      </c>
      <c r="H167" s="76">
        <v>0</v>
      </c>
      <c r="I167" s="76">
        <f t="shared" si="18"/>
        <v>0</v>
      </c>
      <c r="J167" s="121">
        <v>0</v>
      </c>
      <c r="K167" s="76">
        <f t="shared" si="28"/>
        <v>2</v>
      </c>
      <c r="L167" s="68">
        <f t="shared" si="29"/>
        <v>0</v>
      </c>
      <c r="M167" s="68">
        <f t="shared" si="30"/>
        <v>0</v>
      </c>
      <c r="N167" s="68">
        <f t="shared" si="31"/>
        <v>1</v>
      </c>
      <c r="O167" s="68">
        <f t="shared" si="32"/>
        <v>1</v>
      </c>
      <c r="P167" s="124" t="s">
        <v>120</v>
      </c>
    </row>
    <row r="168" spans="1:16" ht="33.75" customHeight="1" x14ac:dyDescent="0.3">
      <c r="A168" s="3">
        <v>112</v>
      </c>
      <c r="B168" s="186" t="s">
        <v>641</v>
      </c>
      <c r="C168" s="187"/>
      <c r="D168" s="4">
        <v>0</v>
      </c>
      <c r="E168" s="76">
        <v>6</v>
      </c>
      <c r="F168" s="76">
        <v>0</v>
      </c>
      <c r="G168" s="76">
        <v>0</v>
      </c>
      <c r="H168" s="76">
        <v>0</v>
      </c>
      <c r="I168" s="76">
        <f t="shared" si="18"/>
        <v>0</v>
      </c>
      <c r="J168" s="121">
        <v>0</v>
      </c>
      <c r="K168" s="76">
        <f t="shared" ref="K168:K186" si="33">SUM(E168-I168-J168)</f>
        <v>6</v>
      </c>
      <c r="L168" s="68">
        <f t="shared" ref="L168:L186" si="34">IF(E168=0,"-",(I168/E168))</f>
        <v>0</v>
      </c>
      <c r="M168" s="68">
        <f t="shared" ref="M168:M186" si="35">IF(E168=0,"-",(J168/E168))</f>
        <v>0</v>
      </c>
      <c r="N168" s="68">
        <f t="shared" ref="N168:N186" si="36">IF(E168=0,"-",(K168/E168))</f>
        <v>1</v>
      </c>
      <c r="O168" s="68">
        <f t="shared" ref="O168:O186" si="37">N168</f>
        <v>1</v>
      </c>
      <c r="P168" s="124"/>
    </row>
    <row r="169" spans="1:16" ht="33.75" customHeight="1" x14ac:dyDescent="0.3">
      <c r="A169" s="3">
        <v>113</v>
      </c>
      <c r="B169" s="186" t="s">
        <v>642</v>
      </c>
      <c r="C169" s="187"/>
      <c r="D169" s="4">
        <v>18</v>
      </c>
      <c r="E169" s="76">
        <v>23</v>
      </c>
      <c r="F169" s="76">
        <v>0</v>
      </c>
      <c r="G169" s="76">
        <v>0</v>
      </c>
      <c r="H169" s="76">
        <v>0</v>
      </c>
      <c r="I169" s="76">
        <f t="shared" si="18"/>
        <v>0</v>
      </c>
      <c r="J169" s="121">
        <v>0</v>
      </c>
      <c r="K169" s="76">
        <f t="shared" si="33"/>
        <v>23</v>
      </c>
      <c r="L169" s="68">
        <f t="shared" si="34"/>
        <v>0</v>
      </c>
      <c r="M169" s="68">
        <f t="shared" si="35"/>
        <v>0</v>
      </c>
      <c r="N169" s="68">
        <f t="shared" si="36"/>
        <v>1</v>
      </c>
      <c r="O169" s="68">
        <f t="shared" si="37"/>
        <v>1</v>
      </c>
      <c r="P169" s="124"/>
    </row>
    <row r="170" spans="1:16" ht="33.75" customHeight="1" x14ac:dyDescent="0.3">
      <c r="A170" s="3">
        <v>114</v>
      </c>
      <c r="B170" s="186" t="s">
        <v>643</v>
      </c>
      <c r="C170" s="187"/>
      <c r="D170" s="4">
        <v>24</v>
      </c>
      <c r="E170" s="76">
        <v>26</v>
      </c>
      <c r="F170" s="76">
        <v>0</v>
      </c>
      <c r="G170" s="76">
        <v>0</v>
      </c>
      <c r="H170" s="76">
        <v>0</v>
      </c>
      <c r="I170" s="76">
        <f t="shared" si="18"/>
        <v>0</v>
      </c>
      <c r="J170" s="121">
        <v>0</v>
      </c>
      <c r="K170" s="76">
        <f t="shared" si="33"/>
        <v>26</v>
      </c>
      <c r="L170" s="68">
        <f t="shared" si="34"/>
        <v>0</v>
      </c>
      <c r="M170" s="68">
        <f t="shared" si="35"/>
        <v>0</v>
      </c>
      <c r="N170" s="68">
        <f t="shared" si="36"/>
        <v>1</v>
      </c>
      <c r="O170" s="68">
        <f t="shared" si="37"/>
        <v>1</v>
      </c>
      <c r="P170" s="124"/>
    </row>
    <row r="171" spans="1:16" ht="33.75" customHeight="1" x14ac:dyDescent="0.3">
      <c r="A171" s="3">
        <v>115</v>
      </c>
      <c r="B171" s="186" t="s">
        <v>644</v>
      </c>
      <c r="C171" s="187"/>
      <c r="D171" s="4">
        <v>24</v>
      </c>
      <c r="E171" s="76">
        <v>24</v>
      </c>
      <c r="F171" s="76">
        <v>0</v>
      </c>
      <c r="G171" s="76">
        <v>0</v>
      </c>
      <c r="H171" s="76">
        <v>0</v>
      </c>
      <c r="I171" s="76">
        <f t="shared" si="18"/>
        <v>0</v>
      </c>
      <c r="J171" s="121">
        <v>0</v>
      </c>
      <c r="K171" s="76">
        <f t="shared" si="33"/>
        <v>24</v>
      </c>
      <c r="L171" s="68">
        <f t="shared" si="34"/>
        <v>0</v>
      </c>
      <c r="M171" s="68">
        <f t="shared" si="35"/>
        <v>0</v>
      </c>
      <c r="N171" s="68">
        <f t="shared" si="36"/>
        <v>1</v>
      </c>
      <c r="O171" s="68">
        <f t="shared" si="37"/>
        <v>1</v>
      </c>
      <c r="P171" s="124"/>
    </row>
    <row r="172" spans="1:16" ht="33.75" customHeight="1" x14ac:dyDescent="0.3">
      <c r="A172" s="3">
        <v>116</v>
      </c>
      <c r="B172" s="186" t="s">
        <v>645</v>
      </c>
      <c r="C172" s="187"/>
      <c r="D172" s="4">
        <v>0</v>
      </c>
      <c r="E172" s="76">
        <v>53</v>
      </c>
      <c r="F172" s="76">
        <v>0</v>
      </c>
      <c r="G172" s="76">
        <v>0</v>
      </c>
      <c r="H172" s="76">
        <v>0</v>
      </c>
      <c r="I172" s="76">
        <f t="shared" si="18"/>
        <v>0</v>
      </c>
      <c r="J172" s="121">
        <v>0</v>
      </c>
      <c r="K172" s="76">
        <f t="shared" si="33"/>
        <v>53</v>
      </c>
      <c r="L172" s="68">
        <f t="shared" si="34"/>
        <v>0</v>
      </c>
      <c r="M172" s="68">
        <f t="shared" si="35"/>
        <v>0</v>
      </c>
      <c r="N172" s="68">
        <f t="shared" si="36"/>
        <v>1</v>
      </c>
      <c r="O172" s="68">
        <f t="shared" si="37"/>
        <v>1</v>
      </c>
      <c r="P172" s="124"/>
    </row>
    <row r="173" spans="1:16" ht="33.75" customHeight="1" x14ac:dyDescent="0.3">
      <c r="A173" s="3">
        <v>117</v>
      </c>
      <c r="B173" s="186" t="s">
        <v>646</v>
      </c>
      <c r="C173" s="187"/>
      <c r="D173" s="4">
        <v>18</v>
      </c>
      <c r="E173" s="76">
        <v>58</v>
      </c>
      <c r="F173" s="76">
        <v>0</v>
      </c>
      <c r="G173" s="76">
        <v>0</v>
      </c>
      <c r="H173" s="76">
        <v>0</v>
      </c>
      <c r="I173" s="76">
        <f t="shared" si="18"/>
        <v>0</v>
      </c>
      <c r="J173" s="121">
        <v>0</v>
      </c>
      <c r="K173" s="76">
        <f t="shared" si="33"/>
        <v>58</v>
      </c>
      <c r="L173" s="68">
        <f t="shared" si="34"/>
        <v>0</v>
      </c>
      <c r="M173" s="68">
        <f t="shared" si="35"/>
        <v>0</v>
      </c>
      <c r="N173" s="68">
        <f t="shared" si="36"/>
        <v>1</v>
      </c>
      <c r="O173" s="68">
        <f t="shared" si="37"/>
        <v>1</v>
      </c>
      <c r="P173" s="124"/>
    </row>
    <row r="174" spans="1:16" ht="33.75" customHeight="1" x14ac:dyDescent="0.3">
      <c r="A174" s="3">
        <v>118</v>
      </c>
      <c r="B174" s="186" t="s">
        <v>647</v>
      </c>
      <c r="C174" s="187"/>
      <c r="D174" s="4">
        <v>1</v>
      </c>
      <c r="E174" s="76">
        <v>1</v>
      </c>
      <c r="F174" s="76">
        <v>0</v>
      </c>
      <c r="G174" s="76">
        <v>0</v>
      </c>
      <c r="H174" s="76">
        <v>0</v>
      </c>
      <c r="I174" s="76">
        <f t="shared" si="18"/>
        <v>0</v>
      </c>
      <c r="J174" s="121">
        <v>0</v>
      </c>
      <c r="K174" s="76">
        <f t="shared" si="33"/>
        <v>1</v>
      </c>
      <c r="L174" s="68">
        <f t="shared" si="34"/>
        <v>0</v>
      </c>
      <c r="M174" s="68">
        <f t="shared" si="35"/>
        <v>0</v>
      </c>
      <c r="N174" s="68">
        <f t="shared" si="36"/>
        <v>1</v>
      </c>
      <c r="O174" s="68">
        <f t="shared" si="37"/>
        <v>1</v>
      </c>
      <c r="P174" s="124"/>
    </row>
    <row r="175" spans="1:16" ht="33.75" customHeight="1" x14ac:dyDescent="0.3">
      <c r="A175" s="3">
        <v>119</v>
      </c>
      <c r="B175" s="186" t="s">
        <v>648</v>
      </c>
      <c r="C175" s="187"/>
      <c r="D175" s="4">
        <v>3</v>
      </c>
      <c r="E175" s="76">
        <v>3</v>
      </c>
      <c r="F175" s="76">
        <v>0</v>
      </c>
      <c r="G175" s="76">
        <v>0</v>
      </c>
      <c r="H175" s="76">
        <v>0</v>
      </c>
      <c r="I175" s="76">
        <f t="shared" si="18"/>
        <v>0</v>
      </c>
      <c r="J175" s="121">
        <v>0</v>
      </c>
      <c r="K175" s="76">
        <f t="shared" si="33"/>
        <v>3</v>
      </c>
      <c r="L175" s="68">
        <f t="shared" si="34"/>
        <v>0</v>
      </c>
      <c r="M175" s="68">
        <f t="shared" si="35"/>
        <v>0</v>
      </c>
      <c r="N175" s="68">
        <f t="shared" si="36"/>
        <v>1</v>
      </c>
      <c r="O175" s="68">
        <f t="shared" si="37"/>
        <v>1</v>
      </c>
      <c r="P175" s="124"/>
    </row>
    <row r="176" spans="1:16" ht="33.75" customHeight="1" x14ac:dyDescent="0.3">
      <c r="A176" s="3">
        <v>120</v>
      </c>
      <c r="B176" s="186" t="s">
        <v>649</v>
      </c>
      <c r="C176" s="187"/>
      <c r="D176" s="4">
        <v>1</v>
      </c>
      <c r="E176" s="76">
        <v>2</v>
      </c>
      <c r="F176" s="76">
        <v>0</v>
      </c>
      <c r="G176" s="76">
        <v>0</v>
      </c>
      <c r="H176" s="76">
        <v>0</v>
      </c>
      <c r="I176" s="76">
        <f t="shared" si="18"/>
        <v>0</v>
      </c>
      <c r="J176" s="121">
        <v>0</v>
      </c>
      <c r="K176" s="76">
        <f t="shared" si="33"/>
        <v>2</v>
      </c>
      <c r="L176" s="68">
        <f t="shared" si="34"/>
        <v>0</v>
      </c>
      <c r="M176" s="68">
        <f t="shared" si="35"/>
        <v>0</v>
      </c>
      <c r="N176" s="68">
        <f t="shared" si="36"/>
        <v>1</v>
      </c>
      <c r="O176" s="68">
        <f t="shared" si="37"/>
        <v>1</v>
      </c>
      <c r="P176" s="124"/>
    </row>
    <row r="177" spans="1:16" ht="33.75" customHeight="1" x14ac:dyDescent="0.3">
      <c r="A177" s="3">
        <v>121</v>
      </c>
      <c r="B177" s="186" t="s">
        <v>650</v>
      </c>
      <c r="C177" s="187"/>
      <c r="D177" s="4">
        <v>1</v>
      </c>
      <c r="E177" s="76">
        <v>1</v>
      </c>
      <c r="F177" s="76">
        <v>0</v>
      </c>
      <c r="G177" s="76">
        <v>0</v>
      </c>
      <c r="H177" s="76">
        <v>0</v>
      </c>
      <c r="I177" s="76">
        <f t="shared" si="18"/>
        <v>0</v>
      </c>
      <c r="J177" s="121">
        <v>0</v>
      </c>
      <c r="K177" s="76">
        <f t="shared" si="33"/>
        <v>1</v>
      </c>
      <c r="L177" s="68">
        <f t="shared" si="34"/>
        <v>0</v>
      </c>
      <c r="M177" s="68">
        <f t="shared" si="35"/>
        <v>0</v>
      </c>
      <c r="N177" s="68">
        <f t="shared" si="36"/>
        <v>1</v>
      </c>
      <c r="O177" s="68">
        <f t="shared" si="37"/>
        <v>1</v>
      </c>
      <c r="P177" s="124"/>
    </row>
    <row r="178" spans="1:16" ht="33.75" customHeight="1" x14ac:dyDescent="0.3">
      <c r="A178" s="3">
        <v>122</v>
      </c>
      <c r="B178" s="186" t="s">
        <v>651</v>
      </c>
      <c r="C178" s="187"/>
      <c r="D178" s="4">
        <v>18</v>
      </c>
      <c r="E178" s="76">
        <v>7</v>
      </c>
      <c r="F178" s="76">
        <v>0</v>
      </c>
      <c r="G178" s="76">
        <v>0</v>
      </c>
      <c r="H178" s="76">
        <v>0</v>
      </c>
      <c r="I178" s="76">
        <f t="shared" si="18"/>
        <v>0</v>
      </c>
      <c r="J178" s="121">
        <v>0</v>
      </c>
      <c r="K178" s="76">
        <f t="shared" si="33"/>
        <v>7</v>
      </c>
      <c r="L178" s="68">
        <f t="shared" si="34"/>
        <v>0</v>
      </c>
      <c r="M178" s="68">
        <f t="shared" si="35"/>
        <v>0</v>
      </c>
      <c r="N178" s="68">
        <f t="shared" si="36"/>
        <v>1</v>
      </c>
      <c r="O178" s="68">
        <f t="shared" si="37"/>
        <v>1</v>
      </c>
      <c r="P178" s="124"/>
    </row>
    <row r="179" spans="1:16" ht="33.75" customHeight="1" x14ac:dyDescent="0.3">
      <c r="A179" s="3">
        <v>123</v>
      </c>
      <c r="B179" s="186" t="s">
        <v>652</v>
      </c>
      <c r="C179" s="187"/>
      <c r="D179" s="4">
        <v>0</v>
      </c>
      <c r="E179" s="76">
        <v>12</v>
      </c>
      <c r="F179" s="76">
        <v>0</v>
      </c>
      <c r="G179" s="76">
        <v>0</v>
      </c>
      <c r="H179" s="76">
        <v>0</v>
      </c>
      <c r="I179" s="76">
        <f t="shared" si="18"/>
        <v>0</v>
      </c>
      <c r="J179" s="121">
        <v>0</v>
      </c>
      <c r="K179" s="76">
        <f t="shared" si="33"/>
        <v>12</v>
      </c>
      <c r="L179" s="68">
        <f t="shared" si="34"/>
        <v>0</v>
      </c>
      <c r="M179" s="68">
        <f t="shared" si="35"/>
        <v>0</v>
      </c>
      <c r="N179" s="68">
        <f t="shared" si="36"/>
        <v>1</v>
      </c>
      <c r="O179" s="68">
        <f t="shared" si="37"/>
        <v>1</v>
      </c>
      <c r="P179" s="124"/>
    </row>
    <row r="180" spans="1:16" ht="33.75" customHeight="1" x14ac:dyDescent="0.3">
      <c r="A180" s="3">
        <v>124</v>
      </c>
      <c r="B180" s="186" t="s">
        <v>653</v>
      </c>
      <c r="C180" s="187"/>
      <c r="D180" s="4">
        <v>446</v>
      </c>
      <c r="E180" s="76">
        <v>307</v>
      </c>
      <c r="F180" s="76">
        <v>0</v>
      </c>
      <c r="G180" s="76">
        <v>0</v>
      </c>
      <c r="H180" s="76">
        <v>0</v>
      </c>
      <c r="I180" s="76">
        <f t="shared" si="18"/>
        <v>0</v>
      </c>
      <c r="J180" s="121">
        <v>0</v>
      </c>
      <c r="K180" s="76">
        <f t="shared" si="33"/>
        <v>307</v>
      </c>
      <c r="L180" s="68">
        <f t="shared" si="34"/>
        <v>0</v>
      </c>
      <c r="M180" s="68">
        <f t="shared" si="35"/>
        <v>0</v>
      </c>
      <c r="N180" s="68">
        <f t="shared" si="36"/>
        <v>1</v>
      </c>
      <c r="O180" s="68">
        <f t="shared" si="37"/>
        <v>1</v>
      </c>
      <c r="P180" s="175" t="s">
        <v>104</v>
      </c>
    </row>
    <row r="181" spans="1:16" ht="33.75" customHeight="1" x14ac:dyDescent="0.3">
      <c r="A181" s="3">
        <v>125</v>
      </c>
      <c r="B181" s="186" t="s">
        <v>654</v>
      </c>
      <c r="C181" s="187"/>
      <c r="D181" s="4">
        <v>36</v>
      </c>
      <c r="E181" s="76">
        <v>54</v>
      </c>
      <c r="F181" s="76">
        <v>0</v>
      </c>
      <c r="G181" s="76">
        <v>0</v>
      </c>
      <c r="H181" s="76">
        <v>0</v>
      </c>
      <c r="I181" s="76">
        <f t="shared" si="18"/>
        <v>0</v>
      </c>
      <c r="J181" s="121">
        <v>0</v>
      </c>
      <c r="K181" s="76">
        <f t="shared" si="33"/>
        <v>54</v>
      </c>
      <c r="L181" s="68">
        <f t="shared" si="34"/>
        <v>0</v>
      </c>
      <c r="M181" s="68">
        <f t="shared" si="35"/>
        <v>0</v>
      </c>
      <c r="N181" s="68">
        <f t="shared" si="36"/>
        <v>1</v>
      </c>
      <c r="O181" s="68">
        <f t="shared" si="37"/>
        <v>1</v>
      </c>
      <c r="P181" s="124"/>
    </row>
    <row r="182" spans="1:16" ht="33.75" customHeight="1" x14ac:dyDescent="0.3">
      <c r="A182" s="3">
        <v>126</v>
      </c>
      <c r="B182" s="186" t="s">
        <v>655</v>
      </c>
      <c r="C182" s="187"/>
      <c r="D182" s="4">
        <v>18</v>
      </c>
      <c r="E182" s="76">
        <v>24</v>
      </c>
      <c r="F182" s="76">
        <v>0</v>
      </c>
      <c r="G182" s="76">
        <v>0</v>
      </c>
      <c r="H182" s="76">
        <v>0</v>
      </c>
      <c r="I182" s="76">
        <f t="shared" si="18"/>
        <v>0</v>
      </c>
      <c r="J182" s="121">
        <v>0</v>
      </c>
      <c r="K182" s="76">
        <f t="shared" si="33"/>
        <v>24</v>
      </c>
      <c r="L182" s="68">
        <f t="shared" si="34"/>
        <v>0</v>
      </c>
      <c r="M182" s="68">
        <f t="shared" si="35"/>
        <v>0</v>
      </c>
      <c r="N182" s="68">
        <f t="shared" si="36"/>
        <v>1</v>
      </c>
      <c r="O182" s="68">
        <f t="shared" si="37"/>
        <v>1</v>
      </c>
      <c r="P182" s="124"/>
    </row>
    <row r="183" spans="1:16" ht="33.75" customHeight="1" x14ac:dyDescent="0.3">
      <c r="A183" s="3">
        <v>127</v>
      </c>
      <c r="B183" s="186" t="s">
        <v>656</v>
      </c>
      <c r="C183" s="187"/>
      <c r="D183" s="4">
        <v>85</v>
      </c>
      <c r="E183" s="76">
        <v>105</v>
      </c>
      <c r="F183" s="76">
        <v>0</v>
      </c>
      <c r="G183" s="76">
        <v>0</v>
      </c>
      <c r="H183" s="76">
        <v>0</v>
      </c>
      <c r="I183" s="76">
        <f t="shared" si="18"/>
        <v>0</v>
      </c>
      <c r="J183" s="121">
        <v>0</v>
      </c>
      <c r="K183" s="76">
        <f t="shared" si="33"/>
        <v>105</v>
      </c>
      <c r="L183" s="68">
        <f t="shared" si="34"/>
        <v>0</v>
      </c>
      <c r="M183" s="68">
        <f t="shared" si="35"/>
        <v>0</v>
      </c>
      <c r="N183" s="68">
        <f t="shared" si="36"/>
        <v>1</v>
      </c>
      <c r="O183" s="68">
        <f t="shared" si="37"/>
        <v>1</v>
      </c>
      <c r="P183" s="124"/>
    </row>
    <row r="184" spans="1:16" ht="33.75" customHeight="1" x14ac:dyDescent="0.3">
      <c r="A184" s="3">
        <v>128</v>
      </c>
      <c r="B184" s="186" t="s">
        <v>657</v>
      </c>
      <c r="C184" s="187"/>
      <c r="D184" s="4">
        <v>32</v>
      </c>
      <c r="E184" s="76">
        <v>29</v>
      </c>
      <c r="F184" s="76">
        <v>0</v>
      </c>
      <c r="G184" s="76">
        <v>0</v>
      </c>
      <c r="H184" s="76">
        <v>0</v>
      </c>
      <c r="I184" s="76">
        <f t="shared" si="18"/>
        <v>0</v>
      </c>
      <c r="J184" s="121">
        <v>0</v>
      </c>
      <c r="K184" s="76">
        <f t="shared" si="33"/>
        <v>29</v>
      </c>
      <c r="L184" s="68">
        <f t="shared" si="34"/>
        <v>0</v>
      </c>
      <c r="M184" s="68">
        <f t="shared" si="35"/>
        <v>0</v>
      </c>
      <c r="N184" s="68">
        <f t="shared" si="36"/>
        <v>1</v>
      </c>
      <c r="O184" s="68">
        <f t="shared" si="37"/>
        <v>1</v>
      </c>
      <c r="P184" s="124"/>
    </row>
    <row r="185" spans="1:16" ht="33.75" customHeight="1" x14ac:dyDescent="0.3">
      <c r="A185" s="3">
        <v>129</v>
      </c>
      <c r="B185" s="186" t="s">
        <v>658</v>
      </c>
      <c r="C185" s="187"/>
      <c r="D185" s="4">
        <v>103</v>
      </c>
      <c r="E185" s="76">
        <v>91</v>
      </c>
      <c r="F185" s="76">
        <v>0</v>
      </c>
      <c r="G185" s="76">
        <v>0</v>
      </c>
      <c r="H185" s="76">
        <v>0</v>
      </c>
      <c r="I185" s="76">
        <f t="shared" si="18"/>
        <v>0</v>
      </c>
      <c r="J185" s="121">
        <v>0</v>
      </c>
      <c r="K185" s="76">
        <f t="shared" si="33"/>
        <v>91</v>
      </c>
      <c r="L185" s="68">
        <f t="shared" si="34"/>
        <v>0</v>
      </c>
      <c r="M185" s="68">
        <f t="shared" si="35"/>
        <v>0</v>
      </c>
      <c r="N185" s="68">
        <f t="shared" si="36"/>
        <v>1</v>
      </c>
      <c r="O185" s="68">
        <f t="shared" si="37"/>
        <v>1</v>
      </c>
      <c r="P185" s="124"/>
    </row>
    <row r="186" spans="1:16" ht="33.75" customHeight="1" x14ac:dyDescent="0.3">
      <c r="A186" s="3">
        <v>130</v>
      </c>
      <c r="B186" s="186" t="s">
        <v>659</v>
      </c>
      <c r="C186" s="187"/>
      <c r="D186" s="4">
        <v>0</v>
      </c>
      <c r="E186" s="76">
        <v>1</v>
      </c>
      <c r="F186" s="76">
        <v>0</v>
      </c>
      <c r="G186" s="76">
        <v>0</v>
      </c>
      <c r="H186" s="76">
        <v>0</v>
      </c>
      <c r="I186" s="76">
        <f t="shared" si="18"/>
        <v>0</v>
      </c>
      <c r="J186" s="121">
        <v>0</v>
      </c>
      <c r="K186" s="76">
        <f t="shared" si="33"/>
        <v>1</v>
      </c>
      <c r="L186" s="68">
        <f t="shared" si="34"/>
        <v>0</v>
      </c>
      <c r="M186" s="68">
        <f t="shared" si="35"/>
        <v>0</v>
      </c>
      <c r="N186" s="68">
        <f t="shared" si="36"/>
        <v>1</v>
      </c>
      <c r="O186" s="68">
        <f t="shared" si="37"/>
        <v>1</v>
      </c>
      <c r="P186" s="133"/>
    </row>
    <row r="187" spans="1:16" x14ac:dyDescent="0.3">
      <c r="C187" s="112"/>
    </row>
  </sheetData>
  <mergeCells count="133">
    <mergeCell ref="B172:C172"/>
    <mergeCell ref="B173:C173"/>
    <mergeCell ref="B174:C174"/>
    <mergeCell ref="B175:C175"/>
    <mergeCell ref="B176:C176"/>
    <mergeCell ref="B177:C177"/>
    <mergeCell ref="B178:C178"/>
    <mergeCell ref="A1:P1"/>
    <mergeCell ref="A2:P2"/>
    <mergeCell ref="B184:C184"/>
    <mergeCell ref="B185:C185"/>
    <mergeCell ref="B186:C186"/>
    <mergeCell ref="B179:C179"/>
    <mergeCell ref="B180:C180"/>
    <mergeCell ref="B181:C181"/>
    <mergeCell ref="B182:C182"/>
    <mergeCell ref="B183:C183"/>
    <mergeCell ref="F3:H3"/>
    <mergeCell ref="A6:A11"/>
    <mergeCell ref="A12:A15"/>
    <mergeCell ref="A16:A21"/>
    <mergeCell ref="A22:A26"/>
    <mergeCell ref="A27:A29"/>
    <mergeCell ref="B85:C85"/>
    <mergeCell ref="B160:C160"/>
    <mergeCell ref="B123:C123"/>
    <mergeCell ref="B168:C168"/>
    <mergeCell ref="B163:C163"/>
    <mergeCell ref="B169:C169"/>
    <mergeCell ref="B170:C170"/>
    <mergeCell ref="B171:C171"/>
    <mergeCell ref="A54:A56"/>
    <mergeCell ref="A57:A58"/>
    <mergeCell ref="A59:A61"/>
    <mergeCell ref="A62:A64"/>
    <mergeCell ref="A65:A67"/>
    <mergeCell ref="A30:A35"/>
    <mergeCell ref="A36:A40"/>
    <mergeCell ref="A41:A43"/>
    <mergeCell ref="A44:A48"/>
    <mergeCell ref="A49:A53"/>
    <mergeCell ref="B74:C74"/>
    <mergeCell ref="B75:C75"/>
    <mergeCell ref="B76:C76"/>
    <mergeCell ref="B77:C77"/>
    <mergeCell ref="B78:C78"/>
    <mergeCell ref="B69:C69"/>
    <mergeCell ref="B70:C70"/>
    <mergeCell ref="B71:C71"/>
    <mergeCell ref="B72:C72"/>
    <mergeCell ref="B73:C73"/>
    <mergeCell ref="B86:C86"/>
    <mergeCell ref="B87:C87"/>
    <mergeCell ref="B89:C89"/>
    <mergeCell ref="B90:C90"/>
    <mergeCell ref="B91:C91"/>
    <mergeCell ref="B79:C79"/>
    <mergeCell ref="B80:C80"/>
    <mergeCell ref="B82:C82"/>
    <mergeCell ref="B83:C83"/>
    <mergeCell ref="B84:C84"/>
    <mergeCell ref="B97:C97"/>
    <mergeCell ref="B98:C98"/>
    <mergeCell ref="B99:C99"/>
    <mergeCell ref="B100:C100"/>
    <mergeCell ref="B101:C101"/>
    <mergeCell ref="B92:C92"/>
    <mergeCell ref="B93:C93"/>
    <mergeCell ref="B94:C94"/>
    <mergeCell ref="B95:C95"/>
    <mergeCell ref="B96:C96"/>
    <mergeCell ref="B107:C107"/>
    <mergeCell ref="B109:C109"/>
    <mergeCell ref="B110:C110"/>
    <mergeCell ref="B111:C111"/>
    <mergeCell ref="B112:C112"/>
    <mergeCell ref="B102:C102"/>
    <mergeCell ref="B103:C103"/>
    <mergeCell ref="B104:C104"/>
    <mergeCell ref="B105:C105"/>
    <mergeCell ref="B106:C106"/>
    <mergeCell ref="B118:C118"/>
    <mergeCell ref="B119:C119"/>
    <mergeCell ref="B120:C120"/>
    <mergeCell ref="B121:C121"/>
    <mergeCell ref="B122:C122"/>
    <mergeCell ref="B113:C113"/>
    <mergeCell ref="B114:C114"/>
    <mergeCell ref="B115:C115"/>
    <mergeCell ref="B116:C116"/>
    <mergeCell ref="B117:C117"/>
    <mergeCell ref="B129:C129"/>
    <mergeCell ref="B130:C130"/>
    <mergeCell ref="B131:C131"/>
    <mergeCell ref="B132:C132"/>
    <mergeCell ref="B133:C133"/>
    <mergeCell ref="B124:C124"/>
    <mergeCell ref="B125:C125"/>
    <mergeCell ref="B126:C126"/>
    <mergeCell ref="B127:C127"/>
    <mergeCell ref="B128:C128"/>
    <mergeCell ref="B139:C139"/>
    <mergeCell ref="B140:C140"/>
    <mergeCell ref="B141:C141"/>
    <mergeCell ref="B142:C142"/>
    <mergeCell ref="B143:C143"/>
    <mergeCell ref="B134:C134"/>
    <mergeCell ref="B135:C135"/>
    <mergeCell ref="B136:C136"/>
    <mergeCell ref="B137:C137"/>
    <mergeCell ref="B138:C138"/>
    <mergeCell ref="B149:C149"/>
    <mergeCell ref="B150:C150"/>
    <mergeCell ref="B151:C151"/>
    <mergeCell ref="B152:C152"/>
    <mergeCell ref="B153:C153"/>
    <mergeCell ref="B144:C144"/>
    <mergeCell ref="B145:C145"/>
    <mergeCell ref="B146:C146"/>
    <mergeCell ref="B147:C147"/>
    <mergeCell ref="B148:C148"/>
    <mergeCell ref="B166:C166"/>
    <mergeCell ref="B167:C167"/>
    <mergeCell ref="B159:C159"/>
    <mergeCell ref="B161:C161"/>
    <mergeCell ref="B162:C162"/>
    <mergeCell ref="B164:C164"/>
    <mergeCell ref="B165:C165"/>
    <mergeCell ref="B154:C154"/>
    <mergeCell ref="B155:C155"/>
    <mergeCell ref="B156:C156"/>
    <mergeCell ref="B157:C157"/>
    <mergeCell ref="B158:C158"/>
  </mergeCells>
  <phoneticPr fontId="14" type="noConversion"/>
  <dataValidations count="2">
    <dataValidation type="whole" allowBlank="1" showInputMessage="1" showErrorMessage="1" sqref="J50:J53 J60:J64 J13:J15 J45:J48 J42:J43 J37:J40 J31:J35 J28:J29 J23:J26 I7:J11 J55:J56 J17:J21 J66:J67 J58 I150:J150 J89:J105 J137:J147 J69:J80 J152:J153 J109:J135 K7:K80 D7:H80 I89:I106 I13:I80 D109:E160 K89:K107 D82:K87 I107:J107 D89:H107 I109:I149 E161:E162 K109:K186 E164:E186 F109:H186 I151:I186" xr:uid="{00000000-0002-0000-0600-000000000000}">
      <formula1>0</formula1>
      <formula2>50000</formula2>
    </dataValidation>
    <dataValidation type="whole" allowBlank="1" showInputMessage="1" showErrorMessage="1" errorTitle="Value Between 0 to 200000" sqref="J151" xr:uid="{00000000-0002-0000-0600-000001000000}">
      <formula1>0</formula1>
      <formula2>200000</formula2>
    </dataValidation>
  </dataValidations>
  <pageMargins left="0.8" right="0.68" top="0.36" bottom="0.37" header="0.3" footer="0.3"/>
  <pageSetup paperSize="9" scale="48" orientation="landscape" r:id="rId1"/>
  <rowBreaks count="3" manualBreakCount="3">
    <brk id="67" max="16383" man="1"/>
    <brk id="87" max="16383" man="1"/>
    <brk id="147" max="1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7</vt:i4>
      </vt:variant>
    </vt:vector>
  </HeadingPairs>
  <TitlesOfParts>
    <vt:vector size="12" baseType="lpstr">
      <vt:lpstr>B Vehicle</vt:lpstr>
      <vt:lpstr>C Vehicle</vt:lpstr>
      <vt:lpstr>ARMT</vt:lpstr>
      <vt:lpstr>SA</vt:lpstr>
      <vt:lpstr>INSTS</vt:lpstr>
      <vt:lpstr>ARMT!Print_Area</vt:lpstr>
      <vt:lpstr>'B Vehicle'!Print_Area</vt:lpstr>
      <vt:lpstr>'C Vehicle'!Print_Area</vt:lpstr>
      <vt:lpstr>INSTS!Print_Area</vt:lpstr>
      <vt:lpstr>SA!Print_Area</vt:lpstr>
      <vt:lpstr>INSTS!Print_Titles</vt:lpstr>
      <vt:lpstr>SA!Print_Titles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2026-03-23T06:52:17Z</dcterms:modified>
</cp:coreProperties>
</file>
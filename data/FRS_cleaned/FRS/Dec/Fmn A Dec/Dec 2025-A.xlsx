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69063F1D-B50E-4BD7-BEC4-024F62364FEE}" xr6:coauthVersionLast="47" xr6:coauthVersionMax="47" xr10:uidLastSave="{00000000-0000-0000-0000-000000000000}"/>
  <bookViews>
    <workbookView xWindow="-108" yWindow="-108" windowWidth="23256" windowHeight="12456" tabRatio="826" activeTab="5" xr2:uid="{00000000-000D-0000-FFFF-FFFF00000000}"/>
  </bookViews>
  <sheets>
    <sheet name="A Vehicle" sheetId="20" r:id="rId1"/>
    <sheet name="B Vehicle" sheetId="12" r:id="rId2"/>
    <sheet name="C Vehicle" sheetId="25" r:id="rId3"/>
    <sheet name="ARMT" sheetId="26" r:id="rId4"/>
    <sheet name="SA" sheetId="27" r:id="rId5"/>
    <sheet name="INSTS" sheetId="28" r:id="rId6"/>
    <sheet name="CBRN" sheetId="29" r:id="rId7"/>
  </sheets>
  <definedNames>
    <definedName name="_xlnm._FilterDatabase" localSheetId="1" hidden="1">'B Vehicle'!$A$1:$J$139</definedName>
    <definedName name="_xlnm._FilterDatabase" localSheetId="2" hidden="1">'C Vehicle'!$A$1:$J$230</definedName>
    <definedName name="_xlnm.Print_Area" localSheetId="0">'A Vehicle'!$A$1:$V$47</definedName>
    <definedName name="_xlnm.Print_Area" localSheetId="1">'B Vehicle'!$A$1:$J$139</definedName>
    <definedName name="_xlnm.Print_Area" localSheetId="2">'C Vehicle'!$A$1:$J$230</definedName>
    <definedName name="_xlnm.Print_Area" localSheetId="5">INSTS!$A$1:$P$1159</definedName>
    <definedName name="_xlnm.Print_Titles" localSheetId="0">'A Vehicle'!$4:$5</definedName>
    <definedName name="_xlnm.Print_Titles" localSheetId="1">'B Vehicle'!$4:$4</definedName>
    <definedName name="_xlnm.Print_Titles" localSheetId="2">'C Vehicle'!$3:$4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9" i="28" l="1"/>
  <c r="N169" i="28"/>
  <c r="M169" i="28"/>
  <c r="L169" i="28"/>
  <c r="I169" i="28"/>
  <c r="K169" i="28" s="1"/>
  <c r="O168" i="28"/>
  <c r="N168" i="28"/>
  <c r="M168" i="28"/>
  <c r="L168" i="28"/>
  <c r="I168" i="28"/>
  <c r="K168" i="28" s="1"/>
  <c r="M167" i="28"/>
  <c r="I167" i="28"/>
  <c r="L167" i="28" s="1"/>
  <c r="M166" i="28"/>
  <c r="I166" i="28"/>
  <c r="L166" i="28" s="1"/>
  <c r="O165" i="28"/>
  <c r="N165" i="28"/>
  <c r="M165" i="28"/>
  <c r="L165" i="28"/>
  <c r="I165" i="28"/>
  <c r="K165" i="28" s="1"/>
  <c r="M164" i="28"/>
  <c r="I164" i="28"/>
  <c r="L164" i="28" s="1"/>
  <c r="O163" i="28"/>
  <c r="N163" i="28"/>
  <c r="M163" i="28"/>
  <c r="L163" i="28"/>
  <c r="I163" i="28"/>
  <c r="K163" i="28" s="1"/>
  <c r="O162" i="28"/>
  <c r="N162" i="28"/>
  <c r="M162" i="28"/>
  <c r="L162" i="28"/>
  <c r="I162" i="28"/>
  <c r="K162" i="28" s="1"/>
  <c r="O161" i="28"/>
  <c r="N161" i="28"/>
  <c r="M161" i="28"/>
  <c r="L161" i="28"/>
  <c r="I161" i="28"/>
  <c r="K161" i="28" s="1"/>
  <c r="M160" i="28"/>
  <c r="I160" i="28"/>
  <c r="L160" i="28" s="1"/>
  <c r="M159" i="28"/>
  <c r="I159" i="28"/>
  <c r="K159" i="28" s="1"/>
  <c r="N159" i="28" s="1"/>
  <c r="M158" i="28"/>
  <c r="I158" i="28"/>
  <c r="L158" i="28" s="1"/>
  <c r="M157" i="28"/>
  <c r="I157" i="28"/>
  <c r="L157" i="28" s="1"/>
  <c r="O156" i="28"/>
  <c r="N156" i="28"/>
  <c r="M156" i="28"/>
  <c r="L156" i="28"/>
  <c r="I156" i="28"/>
  <c r="K156" i="28" s="1"/>
  <c r="M155" i="28"/>
  <c r="I155" i="28"/>
  <c r="K155" i="28" s="1"/>
  <c r="N155" i="28" s="1"/>
  <c r="M154" i="28"/>
  <c r="I154" i="28"/>
  <c r="L154" i="28" s="1"/>
  <c r="M153" i="28"/>
  <c r="I153" i="28"/>
  <c r="K153" i="28" s="1"/>
  <c r="N153" i="28" s="1"/>
  <c r="O152" i="28"/>
  <c r="N152" i="28"/>
  <c r="M152" i="28"/>
  <c r="L152" i="28"/>
  <c r="I152" i="28"/>
  <c r="K152" i="28" s="1"/>
  <c r="M151" i="28"/>
  <c r="I151" i="28"/>
  <c r="L151" i="28" s="1"/>
  <c r="O150" i="28"/>
  <c r="N150" i="28"/>
  <c r="M150" i="28"/>
  <c r="L150" i="28"/>
  <c r="I150" i="28"/>
  <c r="K150" i="28" s="1"/>
  <c r="O149" i="28"/>
  <c r="N149" i="28"/>
  <c r="M149" i="28"/>
  <c r="L149" i="28"/>
  <c r="I149" i="28"/>
  <c r="K149" i="28" s="1"/>
  <c r="M148" i="28"/>
  <c r="I148" i="28"/>
  <c r="L148" i="28" s="1"/>
  <c r="M147" i="28"/>
  <c r="I147" i="28"/>
  <c r="L147" i="28" s="1"/>
  <c r="O146" i="28"/>
  <c r="N146" i="28"/>
  <c r="M146" i="28"/>
  <c r="L146" i="28"/>
  <c r="I146" i="28"/>
  <c r="K146" i="28" s="1"/>
  <c r="O145" i="28"/>
  <c r="N145" i="28"/>
  <c r="M145" i="28"/>
  <c r="L145" i="28"/>
  <c r="I145" i="28"/>
  <c r="K145" i="28" s="1"/>
  <c r="O144" i="28"/>
  <c r="N144" i="28"/>
  <c r="M144" i="28"/>
  <c r="L144" i="28"/>
  <c r="I144" i="28"/>
  <c r="K144" i="28" s="1"/>
  <c r="M143" i="28"/>
  <c r="I143" i="28"/>
  <c r="K143" i="28" s="1"/>
  <c r="N143" i="28" s="1"/>
  <c r="M142" i="28"/>
  <c r="I142" i="28"/>
  <c r="O141" i="28"/>
  <c r="N141" i="28"/>
  <c r="M141" i="28"/>
  <c r="L141" i="28"/>
  <c r="I141" i="28"/>
  <c r="K141" i="28" s="1"/>
  <c r="M140" i="28"/>
  <c r="I140" i="28"/>
  <c r="L140" i="28" s="1"/>
  <c r="M139" i="28"/>
  <c r="I139" i="28"/>
  <c r="K139" i="28" s="1"/>
  <c r="N139" i="28" s="1"/>
  <c r="O138" i="28"/>
  <c r="N138" i="28"/>
  <c r="M138" i="28"/>
  <c r="L138" i="28"/>
  <c r="I138" i="28"/>
  <c r="K138" i="28" s="1"/>
  <c r="M137" i="28"/>
  <c r="I137" i="28"/>
  <c r="L137" i="28" s="1"/>
  <c r="M136" i="28"/>
  <c r="I136" i="28"/>
  <c r="L136" i="28" s="1"/>
  <c r="M135" i="28"/>
  <c r="O135" i="28" s="1"/>
  <c r="I135" i="28"/>
  <c r="K135" i="28" s="1"/>
  <c r="N135" i="28" s="1"/>
  <c r="M134" i="28"/>
  <c r="I134" i="28"/>
  <c r="L134" i="28" s="1"/>
  <c r="M133" i="28"/>
  <c r="L133" i="28"/>
  <c r="I133" i="28"/>
  <c r="K133" i="28" s="1"/>
  <c r="N133" i="28" s="1"/>
  <c r="M132" i="28"/>
  <c r="I132" i="28"/>
  <c r="M131" i="28"/>
  <c r="I131" i="28"/>
  <c r="L131" i="28" s="1"/>
  <c r="M130" i="28"/>
  <c r="I130" i="28"/>
  <c r="L130" i="28" s="1"/>
  <c r="M129" i="28"/>
  <c r="I129" i="28"/>
  <c r="K129" i="28" s="1"/>
  <c r="N129" i="28" s="1"/>
  <c r="M128" i="28"/>
  <c r="I128" i="28"/>
  <c r="L128" i="28" s="1"/>
  <c r="M127" i="28"/>
  <c r="I127" i="28"/>
  <c r="L127" i="28" s="1"/>
  <c r="M126" i="28"/>
  <c r="I126" i="28"/>
  <c r="L126" i="28" s="1"/>
  <c r="O125" i="28"/>
  <c r="N125" i="28"/>
  <c r="M125" i="28"/>
  <c r="L125" i="28"/>
  <c r="I125" i="28"/>
  <c r="K125" i="28" s="1"/>
  <c r="M124" i="28"/>
  <c r="I124" i="28"/>
  <c r="L124" i="28" s="1"/>
  <c r="M123" i="28"/>
  <c r="I123" i="28"/>
  <c r="K123" i="28" s="1"/>
  <c r="N123" i="28" s="1"/>
  <c r="M122" i="28"/>
  <c r="I122" i="28"/>
  <c r="M121" i="28"/>
  <c r="I121" i="28"/>
  <c r="K121" i="28" s="1"/>
  <c r="N121" i="28" s="1"/>
  <c r="O121" i="28" s="1"/>
  <c r="M120" i="28"/>
  <c r="I120" i="28"/>
  <c r="L120" i="28" s="1"/>
  <c r="M119" i="28"/>
  <c r="I119" i="28"/>
  <c r="K119" i="28" s="1"/>
  <c r="N119" i="28" s="1"/>
  <c r="M118" i="28"/>
  <c r="I118" i="28"/>
  <c r="L118" i="28" s="1"/>
  <c r="M117" i="28"/>
  <c r="I117" i="28"/>
  <c r="L117" i="28" s="1"/>
  <c r="M116" i="28"/>
  <c r="I116" i="28"/>
  <c r="L116" i="28" s="1"/>
  <c r="M115" i="28"/>
  <c r="I115" i="28"/>
  <c r="K115" i="28" s="1"/>
  <c r="N115" i="28" s="1"/>
  <c r="M114" i="28"/>
  <c r="I114" i="28"/>
  <c r="L114" i="28" s="1"/>
  <c r="M113" i="28"/>
  <c r="I113" i="28"/>
  <c r="K113" i="28" s="1"/>
  <c r="N113" i="28" s="1"/>
  <c r="M112" i="28"/>
  <c r="I112" i="28"/>
  <c r="M111" i="28"/>
  <c r="I111" i="28"/>
  <c r="L111" i="28" s="1"/>
  <c r="O110" i="28"/>
  <c r="N110" i="28"/>
  <c r="M110" i="28"/>
  <c r="L110" i="28"/>
  <c r="I110" i="28"/>
  <c r="K110" i="28" s="1"/>
  <c r="M109" i="28"/>
  <c r="I109" i="28"/>
  <c r="K109" i="28" s="1"/>
  <c r="N109" i="28" s="1"/>
  <c r="M108" i="28"/>
  <c r="I108" i="28"/>
  <c r="L108" i="28" s="1"/>
  <c r="M106" i="28"/>
  <c r="I106" i="28"/>
  <c r="L106" i="28" s="1"/>
  <c r="M105" i="28"/>
  <c r="I105" i="28"/>
  <c r="L105" i="28" s="1"/>
  <c r="M104" i="28"/>
  <c r="I104" i="28"/>
  <c r="K104" i="28" s="1"/>
  <c r="N104" i="28" s="1"/>
  <c r="M103" i="28"/>
  <c r="I103" i="28"/>
  <c r="L103" i="28" s="1"/>
  <c r="M102" i="28"/>
  <c r="I102" i="28"/>
  <c r="K102" i="28" s="1"/>
  <c r="N102" i="28" s="1"/>
  <c r="M101" i="28"/>
  <c r="I101" i="28"/>
  <c r="O100" i="28"/>
  <c r="N100" i="28"/>
  <c r="M100" i="28"/>
  <c r="L100" i="28"/>
  <c r="I100" i="28"/>
  <c r="K100" i="28" s="1"/>
  <c r="M99" i="28"/>
  <c r="I99" i="28"/>
  <c r="L99" i="28" s="1"/>
  <c r="M98" i="28"/>
  <c r="I98" i="28"/>
  <c r="K98" i="28" s="1"/>
  <c r="N98" i="28" s="1"/>
  <c r="M97" i="28"/>
  <c r="I97" i="28"/>
  <c r="L97" i="28" s="1"/>
  <c r="M96" i="28"/>
  <c r="I96" i="28"/>
  <c r="L96" i="28" s="1"/>
  <c r="M95" i="28"/>
  <c r="I95" i="28"/>
  <c r="L95" i="28" s="1"/>
  <c r="M94" i="28"/>
  <c r="I94" i="28"/>
  <c r="K94" i="28" s="1"/>
  <c r="N94" i="28" s="1"/>
  <c r="M93" i="28"/>
  <c r="I93" i="28"/>
  <c r="L93" i="28" s="1"/>
  <c r="M92" i="28"/>
  <c r="L92" i="28"/>
  <c r="I92" i="28"/>
  <c r="K92" i="28" s="1"/>
  <c r="N92" i="28" s="1"/>
  <c r="M91" i="28"/>
  <c r="I91" i="28"/>
  <c r="M90" i="28"/>
  <c r="I90" i="28"/>
  <c r="L90" i="28" s="1"/>
  <c r="M89" i="28"/>
  <c r="I89" i="28"/>
  <c r="L89" i="28" s="1"/>
  <c r="M88" i="28"/>
  <c r="I88" i="28"/>
  <c r="K88" i="28" s="1"/>
  <c r="N88" i="28" s="1"/>
  <c r="O86" i="28"/>
  <c r="N86" i="28"/>
  <c r="M86" i="28"/>
  <c r="L86" i="28"/>
  <c r="I86" i="28"/>
  <c r="K86" i="28" s="1"/>
  <c r="M85" i="28"/>
  <c r="I85" i="28"/>
  <c r="L85" i="28" s="1"/>
  <c r="M84" i="28"/>
  <c r="I84" i="28"/>
  <c r="L84" i="28" s="1"/>
  <c r="O83" i="28"/>
  <c r="N83" i="28"/>
  <c r="M83" i="28"/>
  <c r="L83" i="28"/>
  <c r="I83" i="28"/>
  <c r="K83" i="28" s="1"/>
  <c r="M82" i="28"/>
  <c r="I82" i="28"/>
  <c r="L82" i="28" s="1"/>
  <c r="M81" i="28"/>
  <c r="I81" i="28"/>
  <c r="K81" i="28" s="1"/>
  <c r="N81" i="28" s="1"/>
  <c r="O81" i="28" s="1"/>
  <c r="M79" i="28"/>
  <c r="I79" i="28"/>
  <c r="M78" i="28"/>
  <c r="I78" i="28"/>
  <c r="K78" i="28" s="1"/>
  <c r="N78" i="28" s="1"/>
  <c r="O77" i="28"/>
  <c r="N77" i="28"/>
  <c r="M77" i="28"/>
  <c r="L77" i="28"/>
  <c r="I77" i="28"/>
  <c r="K77" i="28" s="1"/>
  <c r="O76" i="28"/>
  <c r="N76" i="28"/>
  <c r="M76" i="28"/>
  <c r="L76" i="28"/>
  <c r="I76" i="28"/>
  <c r="K76" i="28" s="1"/>
  <c r="M75" i="28"/>
  <c r="I75" i="28"/>
  <c r="L75" i="28" s="1"/>
  <c r="M74" i="28"/>
  <c r="I74" i="28"/>
  <c r="L74" i="28" s="1"/>
  <c r="M73" i="28"/>
  <c r="I73" i="28"/>
  <c r="L73" i="28" s="1"/>
  <c r="M72" i="28"/>
  <c r="I72" i="28"/>
  <c r="K72" i="28" s="1"/>
  <c r="N72" i="28" s="1"/>
  <c r="M71" i="28"/>
  <c r="I71" i="28"/>
  <c r="L71" i="28" s="1"/>
  <c r="M70" i="28"/>
  <c r="I70" i="28"/>
  <c r="K70" i="28" s="1"/>
  <c r="N70" i="28" s="1"/>
  <c r="M69" i="28"/>
  <c r="I69" i="28"/>
  <c r="M68" i="28"/>
  <c r="I68" i="28"/>
  <c r="L68" i="28" s="1"/>
  <c r="I67" i="28"/>
  <c r="K67" i="28" s="1"/>
  <c r="O66" i="28"/>
  <c r="N66" i="28"/>
  <c r="M66" i="28"/>
  <c r="L66" i="28"/>
  <c r="I66" i="28"/>
  <c r="K66" i="28" s="1"/>
  <c r="O65" i="28"/>
  <c r="N65" i="28"/>
  <c r="M65" i="28"/>
  <c r="L65" i="28"/>
  <c r="I65" i="28"/>
  <c r="K65" i="28" s="1"/>
  <c r="O64" i="28"/>
  <c r="N64" i="28"/>
  <c r="M64" i="28"/>
  <c r="L64" i="28"/>
  <c r="I64" i="28"/>
  <c r="K64" i="28" s="1"/>
  <c r="O63" i="28"/>
  <c r="N63" i="28"/>
  <c r="M63" i="28"/>
  <c r="L63" i="28"/>
  <c r="I63" i="28"/>
  <c r="K63" i="28" s="1"/>
  <c r="O62" i="28"/>
  <c r="N62" i="28"/>
  <c r="M62" i="28"/>
  <c r="L62" i="28"/>
  <c r="I62" i="28"/>
  <c r="K62" i="28" s="1"/>
  <c r="O61" i="28"/>
  <c r="N61" i="28"/>
  <c r="M61" i="28"/>
  <c r="L61" i="28"/>
  <c r="I61" i="28"/>
  <c r="K61" i="28" s="1"/>
  <c r="O60" i="28"/>
  <c r="N60" i="28"/>
  <c r="M60" i="28"/>
  <c r="L60" i="28"/>
  <c r="I60" i="28"/>
  <c r="K60" i="28" s="1"/>
  <c r="O59" i="28"/>
  <c r="N59" i="28"/>
  <c r="M59" i="28"/>
  <c r="L59" i="28"/>
  <c r="I59" i="28"/>
  <c r="K59" i="28" s="1"/>
  <c r="O58" i="28"/>
  <c r="N58" i="28"/>
  <c r="M58" i="28"/>
  <c r="L58" i="28"/>
  <c r="I58" i="28"/>
  <c r="K58" i="28" s="1"/>
  <c r="O57" i="28"/>
  <c r="N57" i="28"/>
  <c r="M57" i="28"/>
  <c r="L57" i="28"/>
  <c r="I57" i="28"/>
  <c r="K57" i="28" s="1"/>
  <c r="O56" i="28"/>
  <c r="N56" i="28"/>
  <c r="M56" i="28"/>
  <c r="L56" i="28"/>
  <c r="I56" i="28"/>
  <c r="K56" i="28" s="1"/>
  <c r="O55" i="28"/>
  <c r="N55" i="28"/>
  <c r="M55" i="28"/>
  <c r="L55" i="28"/>
  <c r="I55" i="28"/>
  <c r="K55" i="28" s="1"/>
  <c r="O54" i="28"/>
  <c r="N54" i="28"/>
  <c r="M54" i="28"/>
  <c r="L54" i="28"/>
  <c r="I54" i="28"/>
  <c r="K54" i="28" s="1"/>
  <c r="O53" i="28"/>
  <c r="N53" i="28"/>
  <c r="M53" i="28"/>
  <c r="L53" i="28"/>
  <c r="I53" i="28"/>
  <c r="K53" i="28" s="1"/>
  <c r="O52" i="28"/>
  <c r="N52" i="28"/>
  <c r="M52" i="28"/>
  <c r="L52" i="28"/>
  <c r="I52" i="28"/>
  <c r="K52" i="28" s="1"/>
  <c r="O51" i="28"/>
  <c r="N51" i="28"/>
  <c r="M51" i="28"/>
  <c r="L51" i="28"/>
  <c r="I51" i="28"/>
  <c r="K51" i="28" s="1"/>
  <c r="O50" i="28"/>
  <c r="N50" i="28"/>
  <c r="M50" i="28"/>
  <c r="L50" i="28"/>
  <c r="I50" i="28"/>
  <c r="K50" i="28" s="1"/>
  <c r="O49" i="28"/>
  <c r="N49" i="28"/>
  <c r="M49" i="28"/>
  <c r="L49" i="28"/>
  <c r="I49" i="28"/>
  <c r="K49" i="28" s="1"/>
  <c r="O48" i="28"/>
  <c r="N48" i="28"/>
  <c r="M48" i="28"/>
  <c r="L48" i="28"/>
  <c r="I48" i="28"/>
  <c r="K48" i="28" s="1"/>
  <c r="O47" i="28"/>
  <c r="N47" i="28"/>
  <c r="M47" i="28"/>
  <c r="L47" i="28"/>
  <c r="I47" i="28"/>
  <c r="K47" i="28" s="1"/>
  <c r="O46" i="28"/>
  <c r="N46" i="28"/>
  <c r="M46" i="28"/>
  <c r="L46" i="28"/>
  <c r="I46" i="28"/>
  <c r="K46" i="28" s="1"/>
  <c r="O45" i="28"/>
  <c r="N45" i="28"/>
  <c r="M45" i="28"/>
  <c r="L45" i="28"/>
  <c r="I45" i="28"/>
  <c r="K45" i="28" s="1"/>
  <c r="O44" i="28"/>
  <c r="N44" i="28"/>
  <c r="M44" i="28"/>
  <c r="L44" i="28"/>
  <c r="I44" i="28"/>
  <c r="K44" i="28" s="1"/>
  <c r="O43" i="28"/>
  <c r="N43" i="28"/>
  <c r="M43" i="28"/>
  <c r="L43" i="28"/>
  <c r="I43" i="28"/>
  <c r="K43" i="28" s="1"/>
  <c r="O42" i="28"/>
  <c r="N42" i="28"/>
  <c r="M42" i="28"/>
  <c r="L42" i="28"/>
  <c r="I42" i="28"/>
  <c r="K42" i="28" s="1"/>
  <c r="O41" i="28"/>
  <c r="N41" i="28"/>
  <c r="M41" i="28"/>
  <c r="L41" i="28"/>
  <c r="I41" i="28"/>
  <c r="K41" i="28" s="1"/>
  <c r="O40" i="28"/>
  <c r="N40" i="28"/>
  <c r="M40" i="28"/>
  <c r="L40" i="28"/>
  <c r="I40" i="28"/>
  <c r="K40" i="28" s="1"/>
  <c r="O39" i="28"/>
  <c r="N39" i="28"/>
  <c r="M39" i="28"/>
  <c r="L39" i="28"/>
  <c r="I39" i="28"/>
  <c r="K39" i="28" s="1"/>
  <c r="O38" i="28"/>
  <c r="N38" i="28"/>
  <c r="M38" i="28"/>
  <c r="L38" i="28"/>
  <c r="I38" i="28"/>
  <c r="K38" i="28" s="1"/>
  <c r="O37" i="28"/>
  <c r="N37" i="28"/>
  <c r="M37" i="28"/>
  <c r="L37" i="28"/>
  <c r="I37" i="28"/>
  <c r="K37" i="28" s="1"/>
  <c r="O36" i="28"/>
  <c r="N36" i="28"/>
  <c r="M36" i="28"/>
  <c r="L36" i="28"/>
  <c r="I36" i="28"/>
  <c r="K36" i="28" s="1"/>
  <c r="O35" i="28"/>
  <c r="N35" i="28"/>
  <c r="M35" i="28"/>
  <c r="L35" i="28"/>
  <c r="I35" i="28"/>
  <c r="K35" i="28" s="1"/>
  <c r="O34" i="28"/>
  <c r="N34" i="28"/>
  <c r="M34" i="28"/>
  <c r="L34" i="28"/>
  <c r="I34" i="28"/>
  <c r="K34" i="28" s="1"/>
  <c r="O33" i="28"/>
  <c r="N33" i="28"/>
  <c r="M33" i="28"/>
  <c r="L33" i="28"/>
  <c r="I33" i="28"/>
  <c r="K33" i="28" s="1"/>
  <c r="O32" i="28"/>
  <c r="N32" i="28"/>
  <c r="M32" i="28"/>
  <c r="L32" i="28"/>
  <c r="I32" i="28"/>
  <c r="K32" i="28" s="1"/>
  <c r="O31" i="28"/>
  <c r="N31" i="28"/>
  <c r="M31" i="28"/>
  <c r="L31" i="28"/>
  <c r="I31" i="28"/>
  <c r="K31" i="28" s="1"/>
  <c r="O30" i="28"/>
  <c r="N30" i="28"/>
  <c r="M30" i="28"/>
  <c r="L30" i="28"/>
  <c r="I30" i="28"/>
  <c r="K30" i="28" s="1"/>
  <c r="O29" i="28"/>
  <c r="N29" i="28"/>
  <c r="M29" i="28"/>
  <c r="L29" i="28"/>
  <c r="I29" i="28"/>
  <c r="K29" i="28" s="1"/>
  <c r="O28" i="28"/>
  <c r="N28" i="28"/>
  <c r="M28" i="28"/>
  <c r="L28" i="28"/>
  <c r="I28" i="28"/>
  <c r="K28" i="28" s="1"/>
  <c r="O27" i="28"/>
  <c r="N27" i="28"/>
  <c r="M27" i="28"/>
  <c r="L27" i="28"/>
  <c r="I27" i="28"/>
  <c r="K27" i="28" s="1"/>
  <c r="O26" i="28"/>
  <c r="N26" i="28"/>
  <c r="M26" i="28"/>
  <c r="L26" i="28"/>
  <c r="I26" i="28"/>
  <c r="K26" i="28" s="1"/>
  <c r="O25" i="28"/>
  <c r="N25" i="28"/>
  <c r="M25" i="28"/>
  <c r="L25" i="28"/>
  <c r="I25" i="28"/>
  <c r="K25" i="28" s="1"/>
  <c r="O24" i="28"/>
  <c r="N24" i="28"/>
  <c r="M24" i="28"/>
  <c r="L24" i="28"/>
  <c r="I24" i="28"/>
  <c r="K24" i="28" s="1"/>
  <c r="O23" i="28"/>
  <c r="N23" i="28"/>
  <c r="M23" i="28"/>
  <c r="L23" i="28"/>
  <c r="I23" i="28"/>
  <c r="K23" i="28" s="1"/>
  <c r="O22" i="28"/>
  <c r="N22" i="28"/>
  <c r="M22" i="28"/>
  <c r="L22" i="28"/>
  <c r="I22" i="28"/>
  <c r="K22" i="28" s="1"/>
  <c r="O21" i="28"/>
  <c r="N21" i="28"/>
  <c r="M21" i="28"/>
  <c r="L21" i="28"/>
  <c r="I21" i="28"/>
  <c r="K21" i="28" s="1"/>
  <c r="O20" i="28"/>
  <c r="N20" i="28"/>
  <c r="M20" i="28"/>
  <c r="L20" i="28"/>
  <c r="I20" i="28"/>
  <c r="K20" i="28" s="1"/>
  <c r="O19" i="28"/>
  <c r="N19" i="28"/>
  <c r="M19" i="28"/>
  <c r="L19" i="28"/>
  <c r="I19" i="28"/>
  <c r="K19" i="28" s="1"/>
  <c r="O18" i="28"/>
  <c r="N18" i="28"/>
  <c r="M18" i="28"/>
  <c r="L18" i="28"/>
  <c r="I18" i="28"/>
  <c r="K18" i="28" s="1"/>
  <c r="O17" i="28"/>
  <c r="N17" i="28"/>
  <c r="M17" i="28"/>
  <c r="L17" i="28"/>
  <c r="I17" i="28"/>
  <c r="K17" i="28" s="1"/>
  <c r="O16" i="28"/>
  <c r="N16" i="28"/>
  <c r="M16" i="28"/>
  <c r="L16" i="28"/>
  <c r="I16" i="28"/>
  <c r="K16" i="28" s="1"/>
  <c r="O15" i="28"/>
  <c r="N15" i="28"/>
  <c r="M15" i="28"/>
  <c r="L15" i="28"/>
  <c r="I15" i="28"/>
  <c r="K15" i="28" s="1"/>
  <c r="O14" i="28"/>
  <c r="N14" i="28"/>
  <c r="M14" i="28"/>
  <c r="L14" i="28"/>
  <c r="I14" i="28"/>
  <c r="K14" i="28" s="1"/>
  <c r="O13" i="28"/>
  <c r="N13" i="28"/>
  <c r="M13" i="28"/>
  <c r="L13" i="28"/>
  <c r="I13" i="28"/>
  <c r="K13" i="28" s="1"/>
  <c r="O12" i="28"/>
  <c r="N12" i="28"/>
  <c r="M12" i="28"/>
  <c r="L12" i="28"/>
  <c r="I12" i="28"/>
  <c r="K12" i="28" s="1"/>
  <c r="O11" i="28"/>
  <c r="N11" i="28"/>
  <c r="M11" i="28"/>
  <c r="L11" i="28"/>
  <c r="I11" i="28"/>
  <c r="K11" i="28" s="1"/>
  <c r="O10" i="28"/>
  <c r="N10" i="28"/>
  <c r="M10" i="28"/>
  <c r="L10" i="28"/>
  <c r="I10" i="28"/>
  <c r="K10" i="28" s="1"/>
  <c r="O9" i="28"/>
  <c r="N9" i="28"/>
  <c r="M9" i="28"/>
  <c r="L9" i="28"/>
  <c r="I9" i="28"/>
  <c r="K9" i="28" s="1"/>
  <c r="O8" i="28"/>
  <c r="N8" i="28"/>
  <c r="M8" i="28"/>
  <c r="L8" i="28"/>
  <c r="I8" i="28"/>
  <c r="K8" i="28" s="1"/>
  <c r="O7" i="28"/>
  <c r="N7" i="28"/>
  <c r="M7" i="28"/>
  <c r="L7" i="28"/>
  <c r="I7" i="28"/>
  <c r="K7" i="28" s="1"/>
  <c r="O6" i="28"/>
  <c r="N6" i="28"/>
  <c r="M6" i="28"/>
  <c r="L6" i="28"/>
  <c r="I6" i="28"/>
  <c r="K6" i="28" s="1"/>
  <c r="L143" i="28" l="1"/>
  <c r="K167" i="28"/>
  <c r="N167" i="28" s="1"/>
  <c r="L72" i="28"/>
  <c r="L102" i="28"/>
  <c r="K89" i="28"/>
  <c r="N89" i="28" s="1"/>
  <c r="L123" i="28"/>
  <c r="K99" i="28"/>
  <c r="N99" i="28" s="1"/>
  <c r="L115" i="28"/>
  <c r="K124" i="28"/>
  <c r="N124" i="28" s="1"/>
  <c r="O133" i="28"/>
  <c r="O102" i="28"/>
  <c r="L81" i="28"/>
  <c r="L155" i="28"/>
  <c r="L113" i="28"/>
  <c r="K71" i="28"/>
  <c r="N71" i="28" s="1"/>
  <c r="O71" i="28" s="1"/>
  <c r="L153" i="28"/>
  <c r="L104" i="28"/>
  <c r="L70" i="28"/>
  <c r="O78" i="28"/>
  <c r="L94" i="28"/>
  <c r="L135" i="28"/>
  <c r="O153" i="28"/>
  <c r="O143" i="28"/>
  <c r="O113" i="28"/>
  <c r="O123" i="28"/>
  <c r="O89" i="28"/>
  <c r="O99" i="28"/>
  <c r="O92" i="28"/>
  <c r="O70" i="28"/>
  <c r="O91" i="28"/>
  <c r="L132" i="28"/>
  <c r="K132" i="28"/>
  <c r="N132" i="28" s="1"/>
  <c r="O132" i="28" s="1"/>
  <c r="O137" i="28"/>
  <c r="O142" i="28"/>
  <c r="K79" i="28"/>
  <c r="N79" i="28" s="1"/>
  <c r="O79" i="28" s="1"/>
  <c r="L79" i="28"/>
  <c r="K85" i="28"/>
  <c r="N85" i="28" s="1"/>
  <c r="O85" i="28" s="1"/>
  <c r="O109" i="28"/>
  <c r="K74" i="28"/>
  <c r="N74" i="28" s="1"/>
  <c r="O74" i="28" s="1"/>
  <c r="O115" i="28"/>
  <c r="K147" i="28"/>
  <c r="N147" i="28" s="1"/>
  <c r="L69" i="28"/>
  <c r="K69" i="28"/>
  <c r="N69" i="28" s="1"/>
  <c r="O69" i="28" s="1"/>
  <c r="O98" i="28"/>
  <c r="K103" i="28"/>
  <c r="N103" i="28" s="1"/>
  <c r="O103" i="28" s="1"/>
  <c r="K122" i="28"/>
  <c r="N122" i="28" s="1"/>
  <c r="O122" i="28" s="1"/>
  <c r="L122" i="28"/>
  <c r="K127" i="28"/>
  <c r="N127" i="28" s="1"/>
  <c r="O127" i="28" s="1"/>
  <c r="K157" i="28"/>
  <c r="N157" i="28" s="1"/>
  <c r="O157" i="28" s="1"/>
  <c r="O147" i="28"/>
  <c r="K93" i="28"/>
  <c r="N93" i="28" s="1"/>
  <c r="O93" i="28" s="1"/>
  <c r="O139" i="28"/>
  <c r="O104" i="28"/>
  <c r="K117" i="28"/>
  <c r="N117" i="28" s="1"/>
  <c r="O117" i="28" s="1"/>
  <c r="K134" i="28"/>
  <c r="N134" i="28" s="1"/>
  <c r="O167" i="28"/>
  <c r="K82" i="28"/>
  <c r="N82" i="28" s="1"/>
  <c r="O134" i="28"/>
  <c r="K140" i="28"/>
  <c r="N140" i="28" s="1"/>
  <c r="O140" i="28" s="1"/>
  <c r="O82" i="28"/>
  <c r="O88" i="28"/>
  <c r="L112" i="28"/>
  <c r="K112" i="28"/>
  <c r="N112" i="28" s="1"/>
  <c r="O112" i="28" s="1"/>
  <c r="O94" i="28"/>
  <c r="O129" i="28"/>
  <c r="O159" i="28"/>
  <c r="O124" i="28"/>
  <c r="K130" i="28"/>
  <c r="N130" i="28" s="1"/>
  <c r="O130" i="28" s="1"/>
  <c r="K160" i="28"/>
  <c r="N160" i="28" s="1"/>
  <c r="O160" i="28" s="1"/>
  <c r="K106" i="28"/>
  <c r="N106" i="28" s="1"/>
  <c r="K164" i="28"/>
  <c r="N164" i="28" s="1"/>
  <c r="K154" i="28"/>
  <c r="N154" i="28" s="1"/>
  <c r="O154" i="28" s="1"/>
  <c r="O119" i="28"/>
  <c r="O164" i="28"/>
  <c r="O72" i="28"/>
  <c r="L101" i="28"/>
  <c r="K101" i="28"/>
  <c r="N101" i="28" s="1"/>
  <c r="O101" i="28" s="1"/>
  <c r="O106" i="28"/>
  <c r="K96" i="28"/>
  <c r="N96" i="28" s="1"/>
  <c r="O96" i="28" s="1"/>
  <c r="K120" i="28"/>
  <c r="N120" i="28" s="1"/>
  <c r="O120" i="28" s="1"/>
  <c r="O155" i="28"/>
  <c r="K114" i="28"/>
  <c r="N114" i="28" s="1"/>
  <c r="O114" i="28" s="1"/>
  <c r="K137" i="28"/>
  <c r="N137" i="28" s="1"/>
  <c r="L91" i="28"/>
  <c r="K91" i="28"/>
  <c r="N91" i="28" s="1"/>
  <c r="L142" i="28"/>
  <c r="K142" i="28"/>
  <c r="N142" i="28" s="1"/>
  <c r="K68" i="28"/>
  <c r="N68" i="28" s="1"/>
  <c r="O68" i="28" s="1"/>
  <c r="K90" i="28"/>
  <c r="N90" i="28" s="1"/>
  <c r="O90" i="28" s="1"/>
  <c r="K111" i="28"/>
  <c r="N111" i="28" s="1"/>
  <c r="O111" i="28" s="1"/>
  <c r="K131" i="28"/>
  <c r="N131" i="28" s="1"/>
  <c r="O131" i="28" s="1"/>
  <c r="K151" i="28"/>
  <c r="N151" i="28" s="1"/>
  <c r="O151" i="28" s="1"/>
  <c r="L78" i="28"/>
  <c r="L121" i="28"/>
  <c r="K75" i="28"/>
  <c r="N75" i="28" s="1"/>
  <c r="O75" i="28" s="1"/>
  <c r="K97" i="28"/>
  <c r="N97" i="28" s="1"/>
  <c r="O97" i="28" s="1"/>
  <c r="K108" i="28"/>
  <c r="N108" i="28" s="1"/>
  <c r="O108" i="28" s="1"/>
  <c r="K118" i="28"/>
  <c r="N118" i="28" s="1"/>
  <c r="O118" i="28" s="1"/>
  <c r="K128" i="28"/>
  <c r="N128" i="28" s="1"/>
  <c r="O128" i="28" s="1"/>
  <c r="K148" i="28"/>
  <c r="N148" i="28" s="1"/>
  <c r="O148" i="28" s="1"/>
  <c r="K158" i="28"/>
  <c r="N158" i="28" s="1"/>
  <c r="O158" i="28" s="1"/>
  <c r="L88" i="28"/>
  <c r="L98" i="28"/>
  <c r="L109" i="28"/>
  <c r="L119" i="28"/>
  <c r="L129" i="28"/>
  <c r="L139" i="28"/>
  <c r="L159" i="28"/>
  <c r="K73" i="28"/>
  <c r="N73" i="28" s="1"/>
  <c r="O73" i="28" s="1"/>
  <c r="K84" i="28"/>
  <c r="N84" i="28" s="1"/>
  <c r="O84" i="28" s="1"/>
  <c r="K95" i="28"/>
  <c r="N95" i="28" s="1"/>
  <c r="O95" i="28" s="1"/>
  <c r="K105" i="28"/>
  <c r="N105" i="28" s="1"/>
  <c r="O105" i="28" s="1"/>
  <c r="K116" i="28"/>
  <c r="N116" i="28" s="1"/>
  <c r="O116" i="28" s="1"/>
  <c r="K126" i="28"/>
  <c r="N126" i="28" s="1"/>
  <c r="O126" i="28" s="1"/>
  <c r="K136" i="28"/>
  <c r="N136" i="28" s="1"/>
  <c r="O136" i="28" s="1"/>
  <c r="K166" i="28"/>
  <c r="N166" i="28" s="1"/>
  <c r="O166" i="28" s="1"/>
</calcChain>
</file>

<file path=xl/sharedStrings.xml><?xml version="1.0" encoding="utf-8"?>
<sst xmlns="http://schemas.openxmlformats.org/spreadsheetml/2006/main" count="1458" uniqueCount="763">
  <si>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</si>
  <si>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</si>
  <si>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</si>
  <si>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</si>
  <si>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</si>
  <si>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</si>
  <si>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</si>
  <si>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</si>
  <si>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</si>
  <si>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</si>
  <si>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</si>
  <si>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</si>
  <si>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</si>
  <si>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</si>
  <si>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</si>
  <si>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</si>
  <si>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>Tk T-72</t>
  </si>
  <si>
    <t>Dependency</t>
  </si>
  <si>
    <t>Total NMC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</si>
  <si>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</si>
  <si>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</si>
  <si>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</si>
  <si>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</si>
  <si>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</si>
  <si>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</si>
  <si>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</si>
  <si>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</si>
  <si>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</si>
  <si>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</si>
  <si>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</si>
  <si>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</si>
  <si>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</si>
  <si>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</si>
  <si>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</si>
  <si>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</si>
  <si>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</si>
  <si>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</si>
  <si>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</si>
  <si>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</si>
  <si>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</si>
  <si>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</si>
  <si>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</si>
  <si>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Tk T-90S/SK</t>
  </si>
  <si>
    <t>Tk T-72 Trawls</t>
  </si>
  <si>
    <t>Tk T-55</t>
  </si>
  <si>
    <t>MBT ARJUN</t>
  </si>
  <si>
    <t>ICV BMP-I</t>
  </si>
  <si>
    <t>ICV BMP-II / II K</t>
  </si>
  <si>
    <t>CMT</t>
  </si>
  <si>
    <t>Armd Amb Tr</t>
  </si>
  <si>
    <t>AERV</t>
  </si>
  <si>
    <t>NBC Recce Veh</t>
  </si>
  <si>
    <t>ARV VT-72B</t>
  </si>
  <si>
    <t>ARV VT-55</t>
  </si>
  <si>
    <t>ARV WZT-2</t>
  </si>
  <si>
    <t>ARV/WZT-3</t>
  </si>
  <si>
    <t xml:space="preserve">BLG-60 M2 </t>
  </si>
  <si>
    <t xml:space="preserve">BRDM (Striker)          </t>
  </si>
  <si>
    <t>BRDM (RECCE)</t>
  </si>
  <si>
    <t>Strella 10M</t>
  </si>
  <si>
    <t>Tanguska</t>
  </si>
  <si>
    <t>CET</t>
  </si>
  <si>
    <t>Schilka</t>
  </si>
  <si>
    <t>KPMSO1 MO2 
(Tech Sp Veh for 
Tk T-90)</t>
  </si>
  <si>
    <t>MRS-AR Ly for 
Tk T-90</t>
  </si>
  <si>
    <t>MTO-AT Ly for 
Tk T-90</t>
  </si>
  <si>
    <t>TRM-AT Ly for 
Tk T-90</t>
  </si>
  <si>
    <t>UMV for MBT Arjun</t>
  </si>
  <si>
    <t>URV for MBT Arjun</t>
  </si>
  <si>
    <t>NBC ACADA</t>
  </si>
  <si>
    <t>NBC CAM</t>
  </si>
  <si>
    <t>NBC ICAD</t>
  </si>
  <si>
    <t>RPL DOSIMETER</t>
  </si>
  <si>
    <t>NBC IFS</t>
  </si>
  <si>
    <t>BLT MT-55</t>
  </si>
  <si>
    <t>BLT T-72</t>
  </si>
  <si>
    <t>WE Eqpt</t>
  </si>
  <si>
    <t>Remarks (To incl present loc of eqpt EOA)</t>
  </si>
  <si>
    <t>Total</t>
  </si>
  <si>
    <t>water Purification Sys</t>
  </si>
  <si>
    <t>Ser No</t>
  </si>
  <si>
    <t>LIGHT VEHICLE</t>
  </si>
  <si>
    <t>Excavator Loader</t>
  </si>
  <si>
    <t>Wheel Dozer</t>
  </si>
  <si>
    <t>Air Compressor</t>
  </si>
  <si>
    <t>AVT (FR/LR)</t>
  </si>
  <si>
    <t>FMN READINESS STATE  : 'A' VEHS</t>
  </si>
  <si>
    <t>TOTAL</t>
  </si>
  <si>
    <t>Units</t>
  </si>
  <si>
    <t>Special Vehicle</t>
  </si>
  <si>
    <t>Ambulance Vehs</t>
  </si>
  <si>
    <t>Recovery Vehs</t>
  </si>
  <si>
    <t>NIV / CIV Pattern Vehs</t>
  </si>
  <si>
    <t>Trailer</t>
  </si>
  <si>
    <t>Misc Vehicles</t>
  </si>
  <si>
    <t>PLANT AND MACHY EQPT</t>
  </si>
  <si>
    <t>Tracked Dozer</t>
  </si>
  <si>
    <t>Construction Eqpt</t>
  </si>
  <si>
    <t>Out Board Motor</t>
  </si>
  <si>
    <t>Mining Eqpt</t>
  </si>
  <si>
    <t>Misc Eqpt</t>
  </si>
  <si>
    <t>BRIDGING EQPT AND MOBILE MASTS</t>
  </si>
  <si>
    <t>Mobile Mast</t>
  </si>
  <si>
    <t>BRIDGING EQPT</t>
  </si>
  <si>
    <t>GENR SET AND CHG SET</t>
  </si>
  <si>
    <t>FMN READINESS STATE :  C VEHS</t>
  </si>
  <si>
    <t>Appx A (A veh)</t>
  </si>
  <si>
    <t xml:space="preserve">Remarks
(Demand details of VOR/EOA ) </t>
  </si>
  <si>
    <t>Addl Eqpt</t>
  </si>
  <si>
    <t>Water Browser</t>
  </si>
  <si>
    <t>NMC</t>
  </si>
  <si>
    <t>-</t>
  </si>
  <si>
    <t>Appx A (B Veh)</t>
  </si>
  <si>
    <t xml:space="preserve">
</t>
  </si>
  <si>
    <t>01 x 5KL WB  CL-V</t>
  </si>
  <si>
    <t>01 x Eqpt Cl-VI declared</t>
  </si>
  <si>
    <t>01x  Veh rection stop switch and mech stopper demanded</t>
  </si>
  <si>
    <t>01 x Genr set R4</t>
  </si>
  <si>
    <t>02 x DECLR4</t>
  </si>
  <si>
    <t>01 x DECL R4</t>
  </si>
  <si>
    <t>02 x DECL R4</t>
  </si>
  <si>
    <t>01 x CL-VI, Awaiting Disposal Order</t>
  </si>
  <si>
    <r>
      <rPr>
        <sz val="12"/>
        <color theme="1"/>
        <rFont val="Arial"/>
        <family val="2"/>
      </rPr>
      <t xml:space="preserve">
</t>
    </r>
    <r>
      <rPr>
        <b/>
        <sz val="12"/>
        <color theme="1"/>
        <rFont val="Arial"/>
        <family val="2"/>
      </rPr>
      <t xml:space="preserve">
</t>
    </r>
  </si>
  <si>
    <t>01x Awaiting Disposal Order</t>
  </si>
  <si>
    <t xml:space="preserve">                                                                                                                                    Appx A (C Veh)                                                                                           </t>
  </si>
  <si>
    <t xml:space="preserve">
07 x Decl CL-V
</t>
  </si>
  <si>
    <t>FMN READINESS STATE : 'B' VEH OF HQ 3 CORPS (EME) FOR THE MONTH OF Oct 2025</t>
  </si>
  <si>
    <t>01 x BER</t>
  </si>
  <si>
    <t>03 x Genr set R4</t>
  </si>
  <si>
    <t>03 x DECL R4</t>
  </si>
  <si>
    <t>2 x CL V</t>
  </si>
  <si>
    <t xml:space="preserve">1 x CL V
</t>
  </si>
  <si>
    <t xml:space="preserve">1 x Spare demanded
02 x Genr set declared BER </t>
  </si>
  <si>
    <t>02 x BER</t>
  </si>
  <si>
    <t>01 x CL V</t>
  </si>
  <si>
    <t xml:space="preserve">04 x  CL-V
</t>
  </si>
  <si>
    <t xml:space="preserve">01 X CL-VI OF 58 ENGR REGT
</t>
  </si>
  <si>
    <t xml:space="preserve">01 x Dozer DECL CL-VI
1 x Bty Demanded
</t>
  </si>
  <si>
    <t xml:space="preserve">01 x declared CL VI docu under progress
</t>
  </si>
  <si>
    <r>
      <t xml:space="preserve">
</t>
    </r>
    <r>
      <rPr>
        <sz val="12"/>
        <color theme="1"/>
        <rFont val="Arial"/>
        <family val="2"/>
      </rPr>
      <t xml:space="preserve">01x veh hyd seal demaned 
</t>
    </r>
  </si>
  <si>
    <r>
      <t xml:space="preserve">02 x Genr set declared BER 
</t>
    </r>
    <r>
      <rPr>
        <b/>
        <sz val="12"/>
        <color theme="1"/>
        <rFont val="Arial"/>
        <family val="2"/>
      </rPr>
      <t>01 X  Reqd OH</t>
    </r>
  </si>
  <si>
    <t xml:space="preserve">01 x Veh Cl- VI  
</t>
  </si>
  <si>
    <t>01 x Wind Shield Glass Demanded</t>
  </si>
  <si>
    <t xml:space="preserve">4 x Defect Report Raised
4 x Defect Report Convening order 
under progress
</t>
  </si>
  <si>
    <t xml:space="preserve">21 x DR closer report received.
</t>
  </si>
  <si>
    <t xml:space="preserve">03 x Veh Cl-V  
</t>
  </si>
  <si>
    <r>
      <rPr>
        <sz val="12"/>
        <color rgb="FFFF0000"/>
        <rFont val="Arial"/>
        <family val="2"/>
      </rPr>
      <t xml:space="preserve">11 x Decl CL V </t>
    </r>
    <r>
      <rPr>
        <sz val="12"/>
        <color theme="1"/>
        <rFont val="Arial"/>
        <family val="2"/>
      </rPr>
      <t xml:space="preserve">
</t>
    </r>
  </si>
  <si>
    <t xml:space="preserve">10 x  CL -V 
</t>
  </si>
  <si>
    <t xml:space="preserve">03 x Veh Cl- V </t>
  </si>
  <si>
    <r>
      <t xml:space="preserve">10 x CL &amp; awaiting for disposal
</t>
    </r>
    <r>
      <rPr>
        <sz val="12"/>
        <color rgb="FFFF0000"/>
        <rFont val="Arial"/>
        <family val="2"/>
      </rPr>
      <t>02 x CL V veh deposited</t>
    </r>
  </si>
  <si>
    <t>01 x CL-V</t>
  </si>
  <si>
    <r>
      <t xml:space="preserve">01 x declared CL VI awaiting for disposal order
01 x Eqpt off rd due to cover outer demanded by unit
01 x Eqpt EOA for Eng Assy
01 x CL-V
</t>
    </r>
    <r>
      <rPr>
        <sz val="12"/>
        <color rgb="FFFF0000"/>
        <rFont val="Arial"/>
        <family val="2"/>
      </rPr>
      <t>01 x Wind shield galss demanded</t>
    </r>
    <r>
      <rPr>
        <sz val="12"/>
        <color theme="1"/>
        <rFont val="Arial"/>
        <family val="2"/>
      </rPr>
      <t xml:space="preserve"> </t>
    </r>
  </si>
  <si>
    <r>
      <t xml:space="preserve">Eqpt off rd due to hyd portion demanded by unit
</t>
    </r>
    <r>
      <rPr>
        <sz val="12"/>
        <color rgb="FFFF0000"/>
        <rFont val="Arial"/>
        <family val="2"/>
      </rPr>
      <t>(Hyd sys unsv demand of unsv item placed 
with ESD Delhi control No J/1126)</t>
    </r>
  </si>
  <si>
    <t xml:space="preserve">
02 x  CL VI </t>
  </si>
  <si>
    <t>01 x Spares demanded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</si>
  <si>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</si>
  <si>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</si>
  <si>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</si>
  <si>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</si>
  <si>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</si>
  <si>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</si>
  <si>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</si>
  <si>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</si>
  <si>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</si>
  <si>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</si>
  <si>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</si>
  <si>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</si>
  <si>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</si>
  <si>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</si>
  <si>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</si>
  <si>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</si>
  <si>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</si>
  <si>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</si>
  <si>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</si>
  <si>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</si>
  <si>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</si>
  <si>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</si>
  <si>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</si>
  <si>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</si>
  <si>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</si>
  <si>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</si>
  <si>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</si>
  <si>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</si>
  <si>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</si>
  <si>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</si>
  <si>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</si>
  <si>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</si>
  <si>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</si>
  <si>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</si>
  <si>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</si>
  <si>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</si>
  <si>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</si>
  <si>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</si>
  <si>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</si>
  <si>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</si>
  <si>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</si>
  <si>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</si>
  <si>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</si>
  <si>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</si>
  <si>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</si>
  <si>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</si>
  <si>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</si>
  <si>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</si>
  <si>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</si>
  <si>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</si>
  <si>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</si>
  <si>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</si>
  <si>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</si>
  <si>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</si>
  <si>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</si>
  <si>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</si>
  <si>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</si>
  <si>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</si>
  <si>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</si>
  <si>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</si>
  <si>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</si>
  <si>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</si>
  <si>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</si>
  <si>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</si>
  <si>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</si>
  <si>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</si>
  <si>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</si>
  <si>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</si>
  <si>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</si>
  <si>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</si>
  <si>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</si>
  <si>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</si>
  <si>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</si>
  <si>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</si>
  <si>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</si>
  <si>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</si>
  <si>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</si>
  <si>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</si>
  <si>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</si>
  <si>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</si>
  <si>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</si>
  <si>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</si>
  <si>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</si>
  <si>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</si>
  <si>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</si>
  <si>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</si>
  <si>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</si>
  <si>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</si>
  <si>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</si>
  <si>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</si>
  <si>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</si>
  <si>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</si>
  <si>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</si>
  <si>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</si>
  <si>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</si>
  <si>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</si>
  <si>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</si>
  <si>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</si>
  <si>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</si>
  <si>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</si>
  <si>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</si>
  <si>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</si>
  <si>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</si>
  <si>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</si>
  <si>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</si>
  <si>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</si>
  <si>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</si>
  <si>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</si>
  <si>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</si>
  <si>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</si>
  <si>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</si>
  <si>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</si>
  <si>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</si>
  <si>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</si>
  <si>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</si>
  <si>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</si>
  <si>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</si>
  <si>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</si>
  <si>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</si>
  <si>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</si>
  <si>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</si>
  <si>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</si>
  <si>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</si>
  <si>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</si>
  <si>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</si>
  <si>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r>
      <rPr>
        <b/>
        <sz val="12"/>
        <rFont val="Arial"/>
        <family val="2"/>
      </rPr>
      <t>MUAS-04</t>
    </r>
    <r>
      <rPr>
        <sz val="12"/>
        <rFont val="Arial"/>
        <family val="2"/>
      </rPr>
      <t xml:space="preserve">
03 x Eng assy demanded 
</t>
    </r>
    <r>
      <rPr>
        <sz val="12"/>
        <color rgb="FFFF0000"/>
        <rFont val="Arial"/>
        <family val="2"/>
      </rPr>
      <t>01 x Case assy Transmission Demanded</t>
    </r>
    <r>
      <rPr>
        <sz val="12"/>
        <rFont val="Arial"/>
        <family val="2"/>
      </rPr>
      <t xml:space="preserve">
23 x CL V
</t>
    </r>
    <r>
      <rPr>
        <sz val="12"/>
        <color rgb="FFFF0000"/>
        <rFont val="Arial"/>
        <family val="2"/>
      </rPr>
      <t>01 x Veh deposited 
01 x MG Veh BA No 11B 110882L  decl  CL-V in r/o 132 SR on 30 Oct 2025.  Veh deposited and the RV not yet recd.</t>
    </r>
  </si>
  <si>
    <r>
      <t xml:space="preserve">
</t>
    </r>
    <r>
      <rPr>
        <b/>
        <sz val="12"/>
        <color rgb="FF00B050"/>
        <rFont val="Arial"/>
        <family val="2"/>
      </rPr>
      <t>MUAs-10</t>
    </r>
    <r>
      <rPr>
        <sz val="12"/>
        <color rgb="FF00B050"/>
        <rFont val="Arial"/>
        <family val="2"/>
      </rPr>
      <t xml:space="preserve">
06 X Eng assy demanded
01 x Wind Shield Glass Deamded
01 x Axle assy demanded </t>
    </r>
    <r>
      <rPr>
        <sz val="12"/>
        <rFont val="Arial"/>
        <family val="2"/>
      </rPr>
      <t xml:space="preserve">
</t>
    </r>
    <r>
      <rPr>
        <sz val="12"/>
        <color rgb="FF00B050"/>
        <rFont val="Arial"/>
        <family val="2"/>
      </rPr>
      <t xml:space="preserve">02 x Chassis cracked </t>
    </r>
    <r>
      <rPr>
        <sz val="12"/>
        <rFont val="Arial"/>
        <family val="2"/>
      </rPr>
      <t xml:space="preserve">
12 x CL V
</t>
    </r>
    <r>
      <rPr>
        <sz val="12"/>
        <color rgb="FFFF0000"/>
        <rFont val="Arial"/>
        <family val="2"/>
      </rPr>
      <t xml:space="preserve">01 x Newly collected </t>
    </r>
  </si>
  <si>
    <t xml:space="preserve">
MUAs- 06
04 x Eng Assy demanded
01 X ALS OF U13 DEFECT REPORT RAISED  ON 14 SEP 2025 FOR AUXILIARY GEAR NOSY.
01 x Cabin Assy under dmd (637 Sata Bty)
 25 x Veh CL V
01 x Accident Veh in r/o U14
01 x Cl-V Veh deposited in r/o U15. </t>
  </si>
  <si>
    <t xml:space="preserve">06 x Vehs under BOH at W5.
</t>
  </si>
  <si>
    <t xml:space="preserve">
01 x Under BOH at W6 in r/o 11 Engr Regt (00E 016084X).
2 x CL-V and awaiting for BOH.
1 x Mechanical condition very poor and being downgraded to CL V</t>
  </si>
  <si>
    <r>
      <rPr>
        <b/>
        <sz val="12"/>
        <color theme="1"/>
        <rFont val="Arial"/>
        <family val="2"/>
      </rPr>
      <t>MUA - 01</t>
    </r>
    <r>
      <rPr>
        <sz val="12"/>
        <color theme="1"/>
        <rFont val="Arial"/>
        <family val="2"/>
      </rPr>
      <t xml:space="preserve">
</t>
    </r>
    <r>
      <rPr>
        <sz val="12"/>
        <color rgb="FFFF0000"/>
        <rFont val="Arial"/>
        <family val="2"/>
      </rPr>
      <t>01 x Eng assy Demanded</t>
    </r>
    <r>
      <rPr>
        <sz val="12"/>
        <color theme="1"/>
        <rFont val="Arial"/>
        <family val="2"/>
      </rPr>
      <t xml:space="preserve">
01 x LRV DR raised on 20 Sep 24.
04 x CL V
01 x Accident Veh decl CL-V</t>
    </r>
  </si>
  <si>
    <t>03 x CL-V Veh Awaitig for disposal</t>
  </si>
  <si>
    <r>
      <t xml:space="preserve">
01 x TATA SAFARI (ACCIDENT VEH) IN R/O U32
DECL CL-VI (SIX) ASSESSEMENT OF COST CARRIED OUT &amp; </t>
    </r>
    <r>
      <rPr>
        <sz val="12"/>
        <color rgb="FFFF0000"/>
        <rFont val="Arial"/>
        <family val="2"/>
      </rPr>
      <t>COI COMPLETED &amp; DOCU FWD TO LAO</t>
    </r>
  </si>
  <si>
    <t>01 x Veh declered CL V ex U55</t>
  </si>
  <si>
    <t>09 x CBR at Z3
2 x DR Raised
2 x Under repair atb wksp.</t>
  </si>
  <si>
    <t xml:space="preserve">01 x Veh VOR for Eng Assy </t>
  </si>
  <si>
    <t>03 X Veh decl CL V (01P 023173W, 01P 023428E &amp; 01P 023174N) of  U35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</si>
  <si>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</si>
  <si>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</si>
  <si>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</si>
  <si>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</si>
  <si>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</si>
  <si>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</si>
  <si>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</si>
  <si>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</si>
  <si>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</si>
  <si>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</si>
  <si>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</si>
  <si>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</si>
  <si>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</si>
  <si>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</si>
  <si>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</si>
  <si>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</si>
  <si>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</si>
  <si>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</si>
  <si>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</si>
  <si>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</si>
  <si>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</si>
  <si>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</si>
  <si>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</si>
  <si>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</si>
  <si>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</si>
  <si>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</si>
  <si>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</si>
  <si>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</si>
  <si>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</si>
  <si>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</si>
  <si>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</si>
  <si>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</si>
  <si>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</si>
  <si>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</si>
  <si>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</si>
  <si>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</si>
  <si>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</si>
  <si>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</si>
  <si>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</si>
  <si>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</si>
  <si>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</si>
  <si>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</si>
  <si>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</si>
  <si>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</si>
  <si>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</si>
  <si>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</si>
  <si>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</si>
  <si>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</si>
  <si>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</si>
  <si>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</si>
  <si>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</si>
  <si>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</si>
  <si>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</si>
  <si>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</si>
  <si>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</si>
  <si>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</si>
  <si>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</si>
  <si>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</si>
  <si>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</si>
  <si>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</si>
  <si>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</si>
  <si>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</si>
  <si>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</si>
  <si>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</si>
  <si>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</si>
  <si>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</si>
  <si>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</si>
  <si>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</si>
  <si>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</si>
  <si>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</si>
  <si>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</si>
  <si>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</si>
  <si>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</si>
  <si>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</si>
  <si>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</si>
  <si>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</si>
  <si>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</si>
  <si>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</si>
  <si>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</si>
  <si>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</si>
  <si>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</si>
  <si>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</si>
  <si>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</si>
  <si>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</si>
  <si>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</si>
  <si>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</si>
  <si>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</si>
  <si>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</si>
  <si>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</si>
  <si>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</si>
  <si>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</si>
  <si>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</si>
  <si>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</si>
  <si>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</si>
  <si>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</si>
  <si>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</si>
  <si>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</si>
  <si>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</si>
  <si>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</si>
  <si>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</si>
  <si>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</si>
  <si>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</si>
  <si>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</si>
  <si>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</si>
  <si>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</si>
  <si>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</si>
  <si>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</si>
  <si>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</si>
  <si>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</si>
  <si>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</si>
  <si>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</si>
  <si>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</si>
  <si>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</si>
  <si>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</si>
  <si>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</si>
  <si>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</si>
  <si>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</si>
  <si>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</si>
  <si>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</si>
  <si>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</si>
  <si>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</si>
  <si>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</si>
  <si>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</si>
  <si>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</si>
  <si>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</si>
  <si>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</si>
  <si>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</si>
  <si>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</si>
  <si>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</si>
  <si>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</si>
  <si>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</si>
  <si>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</si>
  <si>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</si>
  <si>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</si>
  <si>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</si>
  <si>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</si>
  <si>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</si>
  <si>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</si>
  <si>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</si>
  <si>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</si>
  <si>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</si>
  <si>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</si>
  <si>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</si>
  <si>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</si>
  <si>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</si>
  <si>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</si>
  <si>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</si>
  <si>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</si>
  <si>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</si>
  <si>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</si>
  <si>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</si>
  <si>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</si>
  <si>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</si>
  <si>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</si>
  <si>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</si>
  <si>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</si>
  <si>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</si>
  <si>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</si>
  <si>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</si>
  <si>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</si>
  <si>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</si>
  <si>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</si>
  <si>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</si>
  <si>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</si>
  <si>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</si>
  <si>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</si>
  <si>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</si>
  <si>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</si>
  <si>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</si>
  <si>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</si>
  <si>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</si>
  <si>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</si>
  <si>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</si>
  <si>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</si>
  <si>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</si>
  <si>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</si>
  <si>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</si>
  <si>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</si>
  <si>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</si>
  <si>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</si>
  <si>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</si>
  <si>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</si>
  <si>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</si>
  <si>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</si>
  <si>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</si>
  <si>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</si>
  <si>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</si>
  <si>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</si>
  <si>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</si>
  <si>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</si>
  <si>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</si>
  <si>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</si>
  <si>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</si>
  <si>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</si>
  <si>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</si>
  <si>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</si>
  <si>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</si>
  <si>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</si>
  <si>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</si>
  <si>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</si>
  <si>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</si>
  <si>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</si>
  <si>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</si>
  <si>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</si>
  <si>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</si>
  <si>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</si>
  <si>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</si>
  <si>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</si>
  <si>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</si>
  <si>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</si>
  <si>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</si>
  <si>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01 x Off road due to Tilt cylinder assy demand to W5 Kankinara by U36.
1 x Bty Demanded
03 x Decl CL-VI</t>
  </si>
  <si>
    <t xml:space="preserve">01 x MLOH in r/o U37 ( 084842N 18) </t>
  </si>
  <si>
    <t>01x Tata JD SE Mk I (084413E 03) under CL VI 
in r/o U37 Engr Regt</t>
  </si>
  <si>
    <t>01 x Tata Hitachi swing device demanded by U36 
01x Excavator Loader (01063P 19) in r/o U37 under processing to CL VI (accident veh).</t>
  </si>
  <si>
    <t xml:space="preserve">01 x Decl BER
01 x Sudan pump on loan to </t>
  </si>
  <si>
    <t>01 x Genr Set Regd No 02597 in r/o U43 off rd due valve, cyl head and piston bkn.</t>
  </si>
  <si>
    <t>01 x 5.6 KVA  DECL BER (AWAITING FOR DEPOSITION)</t>
  </si>
  <si>
    <t xml:space="preserve"> </t>
  </si>
  <si>
    <t>FMN READINESS STATE  : ARMT</t>
  </si>
  <si>
    <t xml:space="preserve">Make &amp; Eqpt </t>
  </si>
  <si>
    <t>Eng/   Brl</t>
  </si>
  <si>
    <t>D1</t>
  </si>
  <si>
    <t>L/1268, L/1276 , L/1278,ex U47 Fwd on  27 Oct  25.L/1140  EOA due to Groves chipped of muzzle end,</t>
  </si>
  <si>
    <t>D2</t>
  </si>
  <si>
    <t xml:space="preserve">(i)  L/1217 ex U14Fwd on 27 Nov 2025.
(ii)  L/10176ex  1U14Fwd on 27 Nov 2025..
(iii) L/0338  ex U59 Fwd on 10 Nov 2025.  
(iv)  L/0075 exU59 Fwd on 10 Nov 2025. 
(v) L/0268 ex U55 fwd on 10 Oct  2025.
(vi) L/0082 ex U59 fwd on 03 Aug 2025.
(vii) L/604 ex U71 fwd on 03 Aug 2025.
(viii) L/590 ex U71 fwd on 03 Aug 2025.
(ix) L/0100 ex U59 fwd  02 Oct 2025
 (x) L/0278 ex 228 Med Regt fwd on 03 Aug 2025.
</t>
  </si>
  <si>
    <t>D3</t>
  </si>
  <si>
    <t xml:space="preserve">
 (a) 02 x BOFORS Under BOH at W7 Regd No 878 &amp; 888
(b) 01 x BOFORS under BOH at W7 Regt No 882,  ex 285 Med Regt since 23 Aug 25.
02 x Gun 695 n&amp; 696 ex 230 Med Regt  DRWO fwd to W7 
(c) 01 x Gun Regd No 702, DDU &amp;  Leveling device faulty fwd to W7</t>
  </si>
  <si>
    <t>D4</t>
  </si>
  <si>
    <t>02 x ULH 1130 &amp; 1135   3.1  INU Faulty
3.2  Dotted spots inside GLU screen 3uard
3.3  RVM-10 does not switch ON 
3.4 No lights in pitch level vial of M171A1 mount
Fwd to COD Jabalpur for warranty repair 
Wef 01 Aug 2025</t>
  </si>
  <si>
    <t>D5</t>
  </si>
  <si>
    <t>D6</t>
  </si>
  <si>
    <t>D7</t>
  </si>
  <si>
    <t>D8</t>
  </si>
  <si>
    <t>D9</t>
  </si>
  <si>
    <t>D10</t>
  </si>
  <si>
    <t>Brl Dmd</t>
  </si>
  <si>
    <t>D11</t>
  </si>
  <si>
    <t>D12</t>
  </si>
  <si>
    <t>D13</t>
  </si>
  <si>
    <t>D14</t>
  </si>
  <si>
    <t>D15</t>
  </si>
  <si>
    <t>D16</t>
  </si>
  <si>
    <t>D17</t>
  </si>
  <si>
    <t>D18</t>
  </si>
  <si>
    <t>(a) 02 x  Brl demanded in r/o Gun Regd  2297 &amp; 2249 ex U70.
(b) 01 x Brl Demanded in R/o Gun regd  L/1907 ex U71.</t>
  </si>
  <si>
    <t>D19</t>
  </si>
  <si>
    <t>FMN READINESS STATE  : SMALL ARMS</t>
  </si>
  <si>
    <t xml:space="preserve">PMC (Nos) 
</t>
  </si>
  <si>
    <t>FMC (Nos)</t>
  </si>
  <si>
    <t>Eng/
 Brl</t>
  </si>
  <si>
    <t xml:space="preserve"> Under OH /MR/R4/
FR/ Base Repair</t>
  </si>
  <si>
    <t>S1</t>
  </si>
  <si>
    <t xml:space="preserve">Qty 04 decl R4 during AIA Insp 2025-26.
</t>
  </si>
  <si>
    <t>S2</t>
  </si>
  <si>
    <t>1 x Spares Demanded</t>
  </si>
  <si>
    <t>S3</t>
  </si>
  <si>
    <t>10 x Spares Demanded</t>
  </si>
  <si>
    <t>S4</t>
  </si>
  <si>
    <t xml:space="preserve">01 x Spar Demanded </t>
  </si>
  <si>
    <t>S5</t>
  </si>
  <si>
    <t>S6</t>
  </si>
  <si>
    <t>40x Spares Demanded</t>
  </si>
  <si>
    <t>S7</t>
  </si>
  <si>
    <t>S8</t>
  </si>
  <si>
    <t>09 x Spares Demanded</t>
  </si>
  <si>
    <t>S9</t>
  </si>
  <si>
    <t>S10</t>
  </si>
  <si>
    <t>08 x Spares demanded 
04 x R4</t>
  </si>
  <si>
    <t>S11</t>
  </si>
  <si>
    <t>03 x R4</t>
  </si>
  <si>
    <t>S12</t>
  </si>
  <si>
    <t>39 x R4</t>
  </si>
  <si>
    <t>S13</t>
  </si>
  <si>
    <t>S14</t>
  </si>
  <si>
    <t>S15</t>
  </si>
  <si>
    <t>S16</t>
  </si>
  <si>
    <t>20 x R4</t>
  </si>
  <si>
    <t>S17</t>
  </si>
  <si>
    <t>S18</t>
  </si>
  <si>
    <t>S19</t>
  </si>
  <si>
    <t>S20</t>
  </si>
  <si>
    <t>S21</t>
  </si>
  <si>
    <t>Qty 116 decl R4 during AIA Insp 2025-26 being deposited.55 X R4</t>
  </si>
  <si>
    <t>S22</t>
  </si>
  <si>
    <t>S23</t>
  </si>
  <si>
    <t>S24</t>
  </si>
  <si>
    <t>Qty 654 decl OBE during AIA Insp 2025-26 being deposited. 228 x R4</t>
  </si>
  <si>
    <t>S25</t>
  </si>
  <si>
    <t>05 x R4</t>
  </si>
  <si>
    <t>S26</t>
  </si>
  <si>
    <t>Qty 17 decl R4 during AIA Insp 2025-26</t>
  </si>
  <si>
    <t>S27</t>
  </si>
  <si>
    <t>15 x R4</t>
  </si>
  <si>
    <t>S28</t>
  </si>
  <si>
    <t>S29</t>
  </si>
  <si>
    <t>S30</t>
  </si>
  <si>
    <t>S31</t>
  </si>
  <si>
    <t>S32</t>
  </si>
  <si>
    <t>S33</t>
  </si>
  <si>
    <t>S34</t>
  </si>
  <si>
    <t>Qty 01 Decl R4 during AIA Insp 2025-26
08x R4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</si>
  <si>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</si>
  <si>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</si>
  <si>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</si>
  <si>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</si>
  <si>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</si>
  <si>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</si>
  <si>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</si>
  <si>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</si>
  <si>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</si>
  <si>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</si>
  <si>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</si>
  <si>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</si>
  <si>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</si>
  <si>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Qty 03  decl R4 durung AIA Insp 2025-26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</si>
  <si>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</si>
  <si>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</si>
  <si>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</si>
  <si>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</si>
  <si>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</si>
  <si>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</si>
  <si>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</si>
  <si>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</si>
  <si>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</si>
  <si>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</si>
  <si>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</si>
  <si>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</si>
  <si>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</si>
  <si>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</si>
  <si>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</si>
  <si>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</si>
  <si>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</si>
  <si>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</si>
  <si>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</si>
  <si>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</si>
  <si>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FMN READINESS STATE  : INSTS</t>
  </si>
  <si>
    <t xml:space="preserve">NMC due to </t>
  </si>
  <si>
    <t>Auth 
(UE)</t>
  </si>
  <si>
    <t xml:space="preserve"> Under OH /R4/FR/  Base Repair</t>
  </si>
  <si>
    <t>S1.1</t>
  </si>
  <si>
    <t>S1.2</t>
  </si>
  <si>
    <t>S1.3</t>
  </si>
  <si>
    <t>S1.4</t>
  </si>
  <si>
    <t>S1.5</t>
  </si>
  <si>
    <t>S2.1</t>
  </si>
  <si>
    <t>S2.2</t>
  </si>
  <si>
    <t>S2.3</t>
  </si>
  <si>
    <t>S3.1</t>
  </si>
  <si>
    <t>S3.2</t>
  </si>
  <si>
    <t>S3.3</t>
  </si>
  <si>
    <t>S3.4</t>
  </si>
  <si>
    <t>S3.5</t>
  </si>
  <si>
    <t>S4.1</t>
  </si>
  <si>
    <t>S4.2</t>
  </si>
  <si>
    <t>S4.3</t>
  </si>
  <si>
    <t>S4.4</t>
  </si>
  <si>
    <t>S5.1</t>
  </si>
  <si>
    <t>S5.2</t>
  </si>
  <si>
    <t>S6.1</t>
  </si>
  <si>
    <t>S6.2</t>
  </si>
  <si>
    <t>S6.3</t>
  </si>
  <si>
    <t>S6.4</t>
  </si>
  <si>
    <t>S6.5</t>
  </si>
  <si>
    <t>S7.1</t>
  </si>
  <si>
    <t>S7.2</t>
  </si>
  <si>
    <t>S7.3</t>
  </si>
  <si>
    <t>S7.4</t>
  </si>
  <si>
    <t>S8.1</t>
  </si>
  <si>
    <t>S8.2</t>
  </si>
  <si>
    <t>S9.1</t>
  </si>
  <si>
    <t>S9.2</t>
  </si>
  <si>
    <t>S9.3</t>
  </si>
  <si>
    <t>S9.4</t>
  </si>
  <si>
    <t>S.10.1</t>
  </si>
  <si>
    <t>S10.2</t>
  </si>
  <si>
    <t>S.10.2</t>
  </si>
  <si>
    <t>S10.3</t>
  </si>
  <si>
    <t>S11.2</t>
  </si>
  <si>
    <t>S12.1</t>
  </si>
  <si>
    <t>S13.1</t>
  </si>
  <si>
    <t>S13.2</t>
  </si>
  <si>
    <t>S14.1</t>
  </si>
  <si>
    <t>S14.2</t>
  </si>
  <si>
    <t>S15.1</t>
  </si>
  <si>
    <t>S15.2</t>
  </si>
  <si>
    <t>SVL / OBSN / SIGHTING EQPTS (THERMAL IMAGING)</t>
  </si>
  <si>
    <t>04 x Eqpt BER Awaitin for deposition</t>
  </si>
  <si>
    <t>03 x Under repair at Z3</t>
  </si>
  <si>
    <t>01 x Unit dmd
07 x Under repair at Z3</t>
  </si>
  <si>
    <t>02 x Under repair at Z3</t>
  </si>
  <si>
    <t>11 x Under repair at Z3</t>
  </si>
  <si>
    <t>01 x Under repair at Z3</t>
  </si>
  <si>
    <t>Under repair at Z3</t>
  </si>
  <si>
    <t>LASER BASED INSTS</t>
  </si>
  <si>
    <t>17 x Under repair at Z3</t>
  </si>
  <si>
    <t>05 x Under repair at W2</t>
  </si>
  <si>
    <t>02 x Eqpt BER Awaitin for deposition</t>
  </si>
  <si>
    <t>PASSIVE NIGHT VISION DEVICES (PNVD)</t>
  </si>
  <si>
    <t>04 x Under repair at Z3</t>
  </si>
  <si>
    <t>07 x Under repair at Z3</t>
  </si>
  <si>
    <t>01 x Eqpt BER Awaitin for deposition</t>
  </si>
  <si>
    <t>23 x Under repair at Z3
11 x Eqpt BER Awaitin for deposition</t>
  </si>
  <si>
    <t>06 x Under repair at Z3</t>
  </si>
  <si>
    <t>01 x Under repair at Z3
02 x Eqpt BER Awaitin for deposition</t>
  </si>
  <si>
    <t>Optical Insts</t>
  </si>
  <si>
    <t>S68</t>
  </si>
  <si>
    <t>S69</t>
  </si>
  <si>
    <t>S70</t>
  </si>
  <si>
    <t>S71</t>
  </si>
  <si>
    <t>S72</t>
  </si>
  <si>
    <t>S73</t>
  </si>
  <si>
    <t>S74</t>
  </si>
  <si>
    <t>S75</t>
  </si>
  <si>
    <t>05 x Eqpt BER Awaitin for deposition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</si>
  <si>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</si>
  <si>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</si>
  <si>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</si>
  <si>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</si>
  <si>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</si>
  <si>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</si>
  <si>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</si>
  <si>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</si>
  <si>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</si>
  <si>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</si>
  <si>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</si>
  <si>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</si>
  <si>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</si>
  <si>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</si>
  <si>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</si>
  <si>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</si>
  <si>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</si>
  <si>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</si>
  <si>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</si>
  <si>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</si>
  <si>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</si>
  <si>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</si>
  <si>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</si>
  <si>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</si>
  <si>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</si>
  <si>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</si>
  <si>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</si>
  <si>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</si>
  <si>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</si>
  <si>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</si>
  <si>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</si>
  <si>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</si>
  <si>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</si>
  <si>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</si>
  <si>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</si>
  <si>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</si>
  <si>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</si>
  <si>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02 x DR raised
01 x DR under process</t>
  </si>
  <si>
    <t>S113</t>
  </si>
  <si>
    <t>S114</t>
  </si>
  <si>
    <t>STATE OF CBRN EQPT TO BE SUSTAINED BY EME</t>
  </si>
  <si>
    <t>Make &amp; Type</t>
  </si>
  <si>
    <t>UNSV</t>
  </si>
  <si>
    <t>‘S’</t>
  </si>
  <si>
    <t>Remarks</t>
  </si>
  <si>
    <t>Auth</t>
  </si>
  <si>
    <t>Held</t>
  </si>
  <si>
    <t>DRWO</t>
  </si>
  <si>
    <t>DR Raised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</si>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</sst>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3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2"/>
      <color rgb="FFFF0000"/>
      <name val="Arial"/>
      <family val="2"/>
    </font>
    <font>
      <sz val="12"/>
      <color rgb="FF00B050"/>
      <name val="Arial"/>
      <family val="2"/>
    </font>
    <font>
      <b/>
      <sz val="12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FF0000"/>
      <name val="Arial"/>
      <family val="2"/>
    </font>
    <font>
      <b/>
      <u/>
      <sz val="12"/>
      <color rgb="FFFF0000"/>
      <name val="Arial"/>
      <family val="2"/>
    </font>
    <font>
      <sz val="16"/>
      <name val="Arial"/>
      <family val="2"/>
    </font>
    <font>
      <sz val="8"/>
      <name val="Calibri"/>
      <family val="2"/>
      <scheme val="minor"/>
    </font>
    <font>
      <b/>
      <sz val="18"/>
      <name val="Arial"/>
      <family val="2"/>
    </font>
    <font>
      <b/>
      <sz val="14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</cellStyleXfs>
  <cellXfs count="26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5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10" fontId="6" fillId="2" borderId="3" xfId="3" applyNumberFormat="1" applyFont="1" applyFill="1" applyBorder="1" applyAlignment="1" applyProtection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" fontId="6" fillId="2" borderId="2" xfId="0" applyNumberFormat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 applyProtection="1">
      <alignment horizontal="justify" vertical="center" wrapText="1"/>
      <protection locked="0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1" fontId="8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vertical="top" wrapText="1"/>
      <protection locked="0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vertical="top" wrapText="1"/>
    </xf>
    <xf numFmtId="0" fontId="7" fillId="2" borderId="6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3" fillId="4" borderId="0" xfId="5" applyFont="1" applyFill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11" fillId="4" borderId="0" xfId="0" applyFont="1" applyFill="1"/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center" vertical="top"/>
    </xf>
    <xf numFmtId="0" fontId="15" fillId="2" borderId="0" xfId="0" applyFont="1" applyFill="1"/>
    <xf numFmtId="0" fontId="4" fillId="4" borderId="0" xfId="0" applyFont="1" applyFill="1" applyAlignment="1">
      <alignment vertical="top"/>
    </xf>
    <xf numFmtId="0" fontId="15" fillId="4" borderId="0" xfId="0" applyFont="1" applyFill="1"/>
    <xf numFmtId="0" fontId="14" fillId="2" borderId="1" xfId="2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" fontId="3" fillId="2" borderId="1" xfId="0" applyNumberFormat="1" applyFont="1" applyFill="1" applyBorder="1" applyAlignment="1" applyProtection="1">
      <alignment horizontal="left" vertical="center" wrapText="1"/>
      <protection locked="0"/>
    </xf>
    <xf numFmtId="1" fontId="12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Protection="1">
      <protection locked="0"/>
    </xf>
    <xf numFmtId="1" fontId="6" fillId="2" borderId="1" xfId="0" applyNumberFormat="1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6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left" vertical="top" wrapText="1"/>
      <protection locked="0"/>
    </xf>
    <xf numFmtId="1" fontId="6" fillId="2" borderId="1" xfId="0" applyNumberFormat="1" applyFont="1" applyFill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12" fillId="2" borderId="1" xfId="0" applyFont="1" applyFill="1" applyBorder="1" applyAlignment="1" applyProtection="1">
      <alignment vertical="center" wrapText="1"/>
      <protection locked="0"/>
    </xf>
    <xf numFmtId="1" fontId="1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17" fillId="2" borderId="1" xfId="0" applyFont="1" applyFill="1" applyBorder="1" applyAlignment="1" applyProtection="1">
      <alignment vertical="center" wrapText="1"/>
      <protection locked="0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5" xfId="0" applyFont="1" applyBorder="1" applyAlignment="1">
      <alignment vertical="center" wrapText="1"/>
    </xf>
    <xf numFmtId="0" fontId="3" fillId="2" borderId="0" xfId="0" applyFont="1" applyFill="1" applyAlignment="1" applyProtection="1">
      <alignment vertical="center"/>
      <protection locked="0"/>
    </xf>
    <xf numFmtId="0" fontId="4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left" vertical="top" indent="2"/>
    </xf>
    <xf numFmtId="0" fontId="21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center" vertical="top"/>
    </xf>
    <xf numFmtId="0" fontId="3" fillId="2" borderId="1" xfId="2" applyFont="1" applyFill="1" applyBorder="1" applyAlignment="1">
      <alignment horizontal="left" vertical="center" wrapText="1"/>
    </xf>
    <xf numFmtId="0" fontId="22" fillId="2" borderId="1" xfId="0" applyFont="1" applyFill="1" applyBorder="1" applyAlignment="1" applyProtection="1">
      <alignment horizontal="center" vertical="center"/>
      <protection locked="0"/>
    </xf>
    <xf numFmtId="0" fontId="23" fillId="2" borderId="1" xfId="0" applyFont="1" applyFill="1" applyBorder="1" applyAlignment="1" applyProtection="1">
      <alignment horizontal="center" vertical="center"/>
      <protection locked="0"/>
    </xf>
    <xf numFmtId="0" fontId="23" fillId="2" borderId="1" xfId="0" applyFont="1" applyFill="1" applyBorder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 wrapText="1"/>
    </xf>
    <xf numFmtId="10" fontId="22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vertical="top" wrapText="1"/>
      <protection locked="0"/>
    </xf>
    <xf numFmtId="0" fontId="5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24" fillId="0" borderId="0" xfId="0" applyFont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6" fillId="2" borderId="1" xfId="0" applyFont="1" applyFill="1" applyBorder="1" applyAlignment="1" applyProtection="1">
      <alignment horizontal="justify" vertical="center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textRotation="255"/>
    </xf>
    <xf numFmtId="0" fontId="21" fillId="2" borderId="1" xfId="0" applyFont="1" applyFill="1" applyBorder="1" applyAlignment="1">
      <alignment horizontal="center" vertical="center" textRotation="90"/>
    </xf>
    <xf numFmtId="1" fontId="2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indent="2"/>
      <protection locked="0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horizontal="left" indent="2"/>
      <protection locked="0"/>
    </xf>
    <xf numFmtId="0" fontId="3" fillId="0" borderId="1" xfId="0" applyFont="1" applyBorder="1" applyAlignment="1" applyProtection="1">
      <alignment horizontal="left" wrapText="1" indent="2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indent="2"/>
    </xf>
    <xf numFmtId="0" fontId="3" fillId="0" borderId="1" xfId="0" applyFont="1" applyBorder="1" applyAlignment="1" applyProtection="1">
      <alignment vertical="top" wrapText="1"/>
      <protection locked="0"/>
    </xf>
    <xf numFmtId="0" fontId="3" fillId="2" borderId="1" xfId="0" applyFont="1" applyFill="1" applyBorder="1" applyAlignment="1">
      <alignment horizontal="left" vertical="center"/>
    </xf>
    <xf numFmtId="10" fontId="3" fillId="2" borderId="0" xfId="3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left" vertical="center" wrapText="1" readingOrder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27" fillId="2" borderId="0" xfId="0" applyFont="1" applyFill="1"/>
    <xf numFmtId="0" fontId="5" fillId="2" borderId="0" xfId="0" applyFont="1" applyFill="1" applyAlignment="1">
      <alignment vertical="top"/>
    </xf>
    <xf numFmtId="0" fontId="5" fillId="2" borderId="3" xfId="0" applyFont="1" applyFill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left" vertical="center"/>
    </xf>
    <xf numFmtId="0" fontId="28" fillId="2" borderId="0" xfId="0" applyFont="1" applyFill="1" applyAlignment="1">
      <alignment vertical="center"/>
    </xf>
    <xf numFmtId="0" fontId="2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top" wrapText="1"/>
    </xf>
    <xf numFmtId="10" fontId="3" fillId="2" borderId="1" xfId="3" applyNumberFormat="1" applyFont="1" applyFill="1" applyBorder="1" applyAlignment="1" applyProtection="1">
      <alignment horizontal="center" vertical="top"/>
    </xf>
    <xf numFmtId="0" fontId="27" fillId="2" borderId="1" xfId="0" applyFont="1" applyFill="1" applyBorder="1"/>
    <xf numFmtId="0" fontId="27" fillId="2" borderId="0" xfId="0" applyFont="1" applyFill="1" applyAlignment="1">
      <alignment vertical="center"/>
    </xf>
    <xf numFmtId="0" fontId="27" fillId="2" borderId="1" xfId="0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horizontal="center" vertical="top"/>
    </xf>
    <xf numFmtId="0" fontId="27" fillId="2" borderId="4" xfId="0" applyFont="1" applyFill="1" applyBorder="1"/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28" fillId="2" borderId="0" xfId="0" applyFont="1" applyFill="1"/>
    <xf numFmtId="0" fontId="28" fillId="2" borderId="1" xfId="0" applyFont="1" applyFill="1" applyBorder="1"/>
    <xf numFmtId="0" fontId="27" fillId="2" borderId="0" xfId="0" applyFont="1" applyFill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2" xfId="0" applyFont="1" applyFill="1" applyBorder="1"/>
    <xf numFmtId="0" fontId="27" fillId="2" borderId="0" xfId="0" applyFont="1" applyFill="1" applyAlignment="1">
      <alignment horizontal="left"/>
    </xf>
    <xf numFmtId="0" fontId="27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29" fillId="2" borderId="1" xfId="0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wrapText="1" indent="2"/>
    </xf>
    <xf numFmtId="0" fontId="3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0" fontId="4" fillId="2" borderId="0" xfId="0" applyNumberFormat="1" applyFont="1" applyFill="1" applyAlignment="1">
      <alignment vertical="center"/>
    </xf>
    <xf numFmtId="0" fontId="21" fillId="2" borderId="1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21" fillId="2" borderId="1" xfId="0" applyFont="1" applyFill="1" applyBorder="1" applyAlignment="1">
      <alignment horizontal="center" vertical="top"/>
    </xf>
    <xf numFmtId="0" fontId="21" fillId="2" borderId="4" xfId="0" applyFont="1" applyFill="1" applyBorder="1" applyAlignment="1">
      <alignment horizontal="center" vertical="top"/>
    </xf>
    <xf numFmtId="0" fontId="21" fillId="2" borderId="5" xfId="0" applyFont="1" applyFill="1" applyBorder="1" applyAlignment="1">
      <alignment horizontal="center" vertical="top"/>
    </xf>
    <xf numFmtId="0" fontId="21" fillId="2" borderId="2" xfId="0" applyFont="1" applyFill="1" applyBorder="1" applyAlignment="1">
      <alignment horizontal="center" vertical="top" wrapText="1"/>
    </xf>
    <xf numFmtId="0" fontId="21" fillId="2" borderId="3" xfId="0" applyFont="1" applyFill="1" applyBorder="1" applyAlignment="1">
      <alignment horizontal="center" vertical="top" wrapText="1"/>
    </xf>
    <xf numFmtId="0" fontId="21" fillId="2" borderId="2" xfId="0" applyFont="1" applyFill="1" applyBorder="1" applyAlignment="1">
      <alignment horizontal="center" vertical="top"/>
    </xf>
    <xf numFmtId="0" fontId="21" fillId="2" borderId="3" xfId="0" applyFont="1" applyFill="1" applyBorder="1" applyAlignment="1">
      <alignment horizontal="center" vertical="top"/>
    </xf>
    <xf numFmtId="0" fontId="2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top"/>
    </xf>
  </cellXfs>
  <cellStyles count="11">
    <cellStyle name="Normal" xfId="0" builtinId="0"/>
    <cellStyle name="Normal 2" xfId="1" xr:uid="{00000000-0005-0000-0000-000001000000}"/>
    <cellStyle name="Normal 2 2 2" xfId="6" xr:uid="{00000000-0005-0000-0000-000002000000}"/>
    <cellStyle name="Normal 2 4" xfId="7" xr:uid="{00000000-0005-0000-0000-000003000000}"/>
    <cellStyle name="Normal 3" xfId="8" xr:uid="{00000000-0005-0000-0000-000004000000}"/>
    <cellStyle name="Normal 3 2" xfId="9" xr:uid="{00000000-0005-0000-0000-000005000000}"/>
    <cellStyle name="Normal 4" xfId="2" xr:uid="{00000000-0005-0000-0000-000006000000}"/>
    <cellStyle name="Normal 4 2" xfId="4" xr:uid="{00000000-0005-0000-0000-000007000000}"/>
    <cellStyle name="Normal 55" xfId="5" xr:uid="{00000000-0005-0000-0000-000008000000}"/>
    <cellStyle name="Normal 55 2" xfId="10" xr:uid="{2E04A709-4813-4A96-AADD-FBBE0B96AC2C}"/>
    <cellStyle name="Percent" xfId="3" builtinId="5"/>
  </cellStyles>
  <dxfs count="0"/>
  <tableStyles count="0" defaultTableStyle="TableStyleMedium9" defaultPivotStyle="PivotStyleLight16"/>
  <colors>
    <mruColors>
      <color rgb="FF0000FF"/>
      <color rgb="FF1DA320"/>
      <color rgb="FF147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46"/>
  <sheetViews>
    <sheetView view="pageBreakPreview" zoomScale="70" zoomScaleSheetLayoutView="70" workbookViewId="0">
      <pane ySplit="5" topLeftCell="A6" activePane="bottomLeft" state="frozen"/>
      <selection pane="bottomLeft" activeCell="G18" sqref="G18"/>
    </sheetView>
  </sheetViews>
  <sheetFormatPr defaultColWidth="9.109375" defaultRowHeight="15" x14ac:dyDescent="0.3"/>
  <cols>
    <col min="1" max="1" width="9.33203125" style="11" bestFit="1" customWidth="1"/>
    <col min="2" max="2" width="35.5546875" style="12" bestFit="1" customWidth="1"/>
    <col min="3" max="3" width="9.33203125" style="12" bestFit="1" customWidth="1"/>
    <col min="4" max="4" width="8.33203125" style="11" customWidth="1"/>
    <col min="5" max="5" width="8" style="11" customWidth="1"/>
    <col min="6" max="6" width="7.44140625" style="11" customWidth="1"/>
    <col min="7" max="7" width="7.33203125" style="11" customWidth="1"/>
    <col min="8" max="8" width="9.33203125" style="11" bestFit="1" customWidth="1"/>
    <col min="9" max="9" width="7.44140625" style="11" customWidth="1"/>
    <col min="10" max="10" width="6.5546875" style="11" customWidth="1"/>
    <col min="11" max="11" width="6.44140625" style="11" customWidth="1"/>
    <col min="12" max="12" width="6.33203125" style="11" customWidth="1"/>
    <col min="13" max="13" width="6.88671875" style="11" customWidth="1"/>
    <col min="14" max="14" width="9" style="11" customWidth="1"/>
    <col min="15" max="15" width="17.5546875" style="11" customWidth="1"/>
    <col min="16" max="16" width="7.6640625" style="12" bestFit="1" customWidth="1"/>
    <col min="17" max="17" width="11.5546875" style="12" bestFit="1" customWidth="1"/>
    <col min="18" max="18" width="9.6640625" style="12" customWidth="1"/>
    <col min="19" max="19" width="11" style="12" customWidth="1"/>
    <col min="20" max="20" width="10.44140625" style="12" customWidth="1"/>
    <col min="21" max="21" width="25" style="22" customWidth="1"/>
    <col min="22" max="16384" width="9.109375" style="12"/>
  </cols>
  <sheetData>
    <row r="1" spans="1:21" ht="21.75" customHeight="1" x14ac:dyDescent="0.3">
      <c r="T1" s="13"/>
      <c r="U1" s="50" t="s">
        <v>106</v>
      </c>
    </row>
    <row r="2" spans="1:21" ht="15" customHeight="1" x14ac:dyDescent="0.3">
      <c r="U2" s="51"/>
    </row>
    <row r="3" spans="1:21" ht="15.6" x14ac:dyDescent="0.3">
      <c r="A3" s="234" t="s">
        <v>86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</row>
    <row r="4" spans="1:21" s="14" customFormat="1" ht="15.6" x14ac:dyDescent="0.3">
      <c r="A4" s="235" t="s">
        <v>0</v>
      </c>
      <c r="B4" s="233" t="s">
        <v>14</v>
      </c>
      <c r="C4" s="33"/>
      <c r="D4" s="235" t="s">
        <v>17</v>
      </c>
      <c r="E4" s="235"/>
      <c r="F4" s="235" t="s">
        <v>29</v>
      </c>
      <c r="G4" s="235"/>
      <c r="H4" s="235"/>
      <c r="I4" s="235"/>
      <c r="J4" s="235"/>
      <c r="K4" s="235"/>
      <c r="L4" s="235"/>
      <c r="M4" s="235"/>
      <c r="N4" s="233" t="s">
        <v>18</v>
      </c>
      <c r="O4" s="233" t="s">
        <v>30</v>
      </c>
      <c r="P4" s="235" t="s">
        <v>31</v>
      </c>
      <c r="Q4" s="233" t="s">
        <v>19</v>
      </c>
      <c r="R4" s="233" t="s">
        <v>20</v>
      </c>
      <c r="S4" s="233" t="s">
        <v>21</v>
      </c>
      <c r="T4" s="233" t="s">
        <v>22</v>
      </c>
      <c r="U4" s="233" t="s">
        <v>77</v>
      </c>
    </row>
    <row r="5" spans="1:21" s="14" customFormat="1" ht="41.25" customHeight="1" x14ac:dyDescent="0.3">
      <c r="A5" s="235"/>
      <c r="B5" s="233"/>
      <c r="C5" s="33" t="s">
        <v>88</v>
      </c>
      <c r="D5" s="33" t="s">
        <v>23</v>
      </c>
      <c r="E5" s="33" t="s">
        <v>24</v>
      </c>
      <c r="F5" s="34" t="s">
        <v>15</v>
      </c>
      <c r="G5" s="34" t="s">
        <v>32</v>
      </c>
      <c r="H5" s="34" t="s">
        <v>25</v>
      </c>
      <c r="I5" s="34" t="s">
        <v>33</v>
      </c>
      <c r="J5" s="34" t="s">
        <v>34</v>
      </c>
      <c r="K5" s="34" t="s">
        <v>35</v>
      </c>
      <c r="L5" s="34" t="s">
        <v>36</v>
      </c>
      <c r="M5" s="34" t="s">
        <v>26</v>
      </c>
      <c r="N5" s="233"/>
      <c r="O5" s="233"/>
      <c r="P5" s="235"/>
      <c r="Q5" s="233"/>
      <c r="R5" s="233"/>
      <c r="S5" s="233"/>
      <c r="T5" s="233"/>
      <c r="U5" s="233"/>
    </row>
    <row r="6" spans="1:21" s="14" customFormat="1" ht="15.6" x14ac:dyDescent="0.3">
      <c r="A6" s="34" t="s">
        <v>1</v>
      </c>
      <c r="B6" s="33" t="s">
        <v>2</v>
      </c>
      <c r="C6" s="33"/>
      <c r="D6" s="34" t="s">
        <v>3</v>
      </c>
      <c r="E6" s="34" t="s">
        <v>4</v>
      </c>
      <c r="F6" s="34" t="s">
        <v>5</v>
      </c>
      <c r="G6" s="34" t="s">
        <v>6</v>
      </c>
      <c r="H6" s="34" t="s">
        <v>7</v>
      </c>
      <c r="I6" s="34" t="s">
        <v>8</v>
      </c>
      <c r="J6" s="34" t="s">
        <v>9</v>
      </c>
      <c r="K6" s="34" t="s">
        <v>10</v>
      </c>
      <c r="L6" s="34" t="s">
        <v>11</v>
      </c>
      <c r="M6" s="34" t="s">
        <v>12</v>
      </c>
      <c r="N6" s="34" t="s">
        <v>13</v>
      </c>
      <c r="O6" s="34" t="s">
        <v>27</v>
      </c>
      <c r="P6" s="34" t="s">
        <v>28</v>
      </c>
      <c r="Q6" s="34" t="s">
        <v>37</v>
      </c>
      <c r="R6" s="34" t="s">
        <v>38</v>
      </c>
      <c r="S6" s="34" t="s">
        <v>39</v>
      </c>
      <c r="T6" s="34" t="s">
        <v>40</v>
      </c>
      <c r="U6" s="33" t="s">
        <v>41</v>
      </c>
    </row>
    <row r="7" spans="1:21" s="14" customFormat="1" ht="27.75" customHeight="1" x14ac:dyDescent="0.3">
      <c r="A7" s="232" t="s">
        <v>76</v>
      </c>
      <c r="B7" s="232"/>
      <c r="C7" s="40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3"/>
    </row>
    <row r="8" spans="1:21" ht="15.6" x14ac:dyDescent="0.3">
      <c r="A8" s="15">
        <v>1</v>
      </c>
      <c r="B8" s="35" t="s">
        <v>42</v>
      </c>
      <c r="C8" s="3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29"/>
    </row>
    <row r="9" spans="1:21" ht="15" customHeight="1" x14ac:dyDescent="0.3">
      <c r="A9" s="27">
        <v>2</v>
      </c>
      <c r="B9" s="28" t="s">
        <v>16</v>
      </c>
      <c r="C9" s="28"/>
      <c r="D9" s="26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5"/>
      <c r="Q9" s="16"/>
      <c r="R9" s="16"/>
      <c r="S9" s="16"/>
      <c r="T9" s="16"/>
      <c r="U9" s="41"/>
    </row>
    <row r="10" spans="1:21" ht="15" customHeight="1" x14ac:dyDescent="0.3">
      <c r="A10" s="15">
        <v>3</v>
      </c>
      <c r="B10" s="18" t="s">
        <v>43</v>
      </c>
      <c r="C10" s="18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41"/>
    </row>
    <row r="11" spans="1:21" ht="15" customHeight="1" x14ac:dyDescent="0.3">
      <c r="A11" s="15">
        <v>4</v>
      </c>
      <c r="B11" s="18" t="s">
        <v>44</v>
      </c>
      <c r="C11" s="18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41"/>
    </row>
    <row r="12" spans="1:21" ht="24.75" customHeight="1" x14ac:dyDescent="0.3">
      <c r="A12" s="15">
        <v>5</v>
      </c>
      <c r="B12" s="18" t="s">
        <v>45</v>
      </c>
      <c r="C12" s="18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7"/>
    </row>
    <row r="13" spans="1:21" ht="24.75" customHeight="1" x14ac:dyDescent="0.3">
      <c r="A13" s="15">
        <v>6</v>
      </c>
      <c r="B13" s="18" t="s">
        <v>46</v>
      </c>
      <c r="C13" s="18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</row>
    <row r="14" spans="1:21" ht="24.75" customHeight="1" x14ac:dyDescent="0.3">
      <c r="A14" s="15">
        <v>7</v>
      </c>
      <c r="B14" s="18" t="s">
        <v>47</v>
      </c>
      <c r="C14" s="18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7"/>
    </row>
    <row r="15" spans="1:21" ht="24.75" customHeight="1" x14ac:dyDescent="0.3">
      <c r="A15" s="15">
        <v>8</v>
      </c>
      <c r="B15" s="18" t="s">
        <v>48</v>
      </c>
      <c r="C15" s="18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</row>
    <row r="16" spans="1:21" ht="24.75" customHeight="1" x14ac:dyDescent="0.3">
      <c r="A16" s="15">
        <v>9</v>
      </c>
      <c r="B16" s="18" t="s">
        <v>49</v>
      </c>
      <c r="C16" s="18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7"/>
    </row>
    <row r="17" spans="1:21" ht="24.75" customHeight="1" x14ac:dyDescent="0.3">
      <c r="A17" s="15">
        <v>10</v>
      </c>
      <c r="B17" s="18" t="s">
        <v>50</v>
      </c>
      <c r="C17" s="18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</row>
    <row r="18" spans="1:21" ht="24.75" customHeight="1" x14ac:dyDescent="0.3">
      <c r="A18" s="15">
        <v>11</v>
      </c>
      <c r="B18" s="18" t="s">
        <v>51</v>
      </c>
      <c r="C18" s="18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/>
    </row>
    <row r="19" spans="1:21" ht="24.75" customHeight="1" x14ac:dyDescent="0.3">
      <c r="A19" s="15">
        <v>12</v>
      </c>
      <c r="B19" s="18" t="s">
        <v>52</v>
      </c>
      <c r="C19" s="18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7"/>
    </row>
    <row r="20" spans="1:21" ht="24.75" customHeight="1" x14ac:dyDescent="0.3">
      <c r="A20" s="15">
        <v>13</v>
      </c>
      <c r="B20" s="18" t="s">
        <v>53</v>
      </c>
      <c r="C20" s="18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7"/>
    </row>
    <row r="21" spans="1:21" ht="24.75" customHeight="1" x14ac:dyDescent="0.3">
      <c r="A21" s="15">
        <v>14</v>
      </c>
      <c r="B21" s="18" t="s">
        <v>54</v>
      </c>
      <c r="C21" s="18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7"/>
    </row>
    <row r="22" spans="1:21" ht="33" customHeight="1" x14ac:dyDescent="0.3">
      <c r="A22" s="15">
        <v>15</v>
      </c>
      <c r="B22" s="18" t="s">
        <v>55</v>
      </c>
      <c r="C22" s="18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9"/>
    </row>
    <row r="23" spans="1:21" ht="28.5" customHeight="1" x14ac:dyDescent="0.3">
      <c r="A23" s="15">
        <v>16</v>
      </c>
      <c r="B23" s="18" t="s">
        <v>85</v>
      </c>
      <c r="C23" s="18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20"/>
      <c r="S23" s="20"/>
      <c r="T23" s="20"/>
      <c r="U23" s="17"/>
    </row>
    <row r="24" spans="1:21" ht="25.5" customHeight="1" x14ac:dyDescent="0.3">
      <c r="A24" s="15">
        <v>17</v>
      </c>
      <c r="B24" s="18" t="s">
        <v>74</v>
      </c>
      <c r="C24" s="18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/>
    </row>
    <row r="25" spans="1:21" ht="25.5" customHeight="1" x14ac:dyDescent="0.3">
      <c r="A25" s="15">
        <v>18</v>
      </c>
      <c r="B25" s="18" t="s">
        <v>75</v>
      </c>
      <c r="C25" s="18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7"/>
    </row>
    <row r="26" spans="1:21" ht="25.5" customHeight="1" x14ac:dyDescent="0.3">
      <c r="A26" s="15">
        <v>19</v>
      </c>
      <c r="B26" s="18" t="s">
        <v>56</v>
      </c>
      <c r="C26" s="18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7"/>
    </row>
    <row r="27" spans="1:21" ht="25.5" customHeight="1" x14ac:dyDescent="0.3">
      <c r="A27" s="15">
        <v>20</v>
      </c>
      <c r="B27" s="18" t="s">
        <v>57</v>
      </c>
      <c r="C27" s="18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/>
    </row>
    <row r="28" spans="1:21" ht="25.5" customHeight="1" x14ac:dyDescent="0.3">
      <c r="A28" s="15">
        <v>21</v>
      </c>
      <c r="B28" s="18" t="s">
        <v>58</v>
      </c>
      <c r="C28" s="18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</row>
    <row r="29" spans="1:21" ht="25.5" customHeight="1" x14ac:dyDescent="0.3">
      <c r="A29" s="15">
        <v>22</v>
      </c>
      <c r="B29" s="18" t="s">
        <v>59</v>
      </c>
      <c r="C29" s="18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7"/>
    </row>
    <row r="30" spans="1:21" ht="25.5" customHeight="1" x14ac:dyDescent="0.3">
      <c r="A30" s="15">
        <v>23</v>
      </c>
      <c r="B30" s="18" t="s">
        <v>60</v>
      </c>
      <c r="C30" s="18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7"/>
    </row>
    <row r="31" spans="1:21" ht="25.5" customHeight="1" x14ac:dyDescent="0.3">
      <c r="A31" s="15">
        <v>24</v>
      </c>
      <c r="B31" s="18" t="s">
        <v>61</v>
      </c>
      <c r="C31" s="18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7"/>
    </row>
    <row r="32" spans="1:21" ht="25.5" customHeight="1" x14ac:dyDescent="0.3">
      <c r="A32" s="15">
        <v>25</v>
      </c>
      <c r="B32" s="18" t="s">
        <v>62</v>
      </c>
      <c r="C32" s="18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7"/>
    </row>
    <row r="33" spans="1:22" ht="45" x14ac:dyDescent="0.3">
      <c r="A33" s="15">
        <v>26</v>
      </c>
      <c r="B33" s="18" t="s">
        <v>63</v>
      </c>
      <c r="C33" s="18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/>
    </row>
    <row r="34" spans="1:22" ht="30" x14ac:dyDescent="0.3">
      <c r="A34" s="15">
        <v>27</v>
      </c>
      <c r="B34" s="18" t="s">
        <v>64</v>
      </c>
      <c r="C34" s="18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7"/>
    </row>
    <row r="35" spans="1:22" ht="27" customHeight="1" x14ac:dyDescent="0.3">
      <c r="A35" s="15">
        <v>28</v>
      </c>
      <c r="B35" s="21" t="s">
        <v>65</v>
      </c>
      <c r="C35" s="21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/>
    </row>
    <row r="36" spans="1:22" ht="27" customHeight="1" x14ac:dyDescent="0.3">
      <c r="A36" s="15">
        <v>29</v>
      </c>
      <c r="B36" s="21" t="s">
        <v>66</v>
      </c>
      <c r="C36" s="21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7"/>
    </row>
    <row r="37" spans="1:22" ht="27" customHeight="1" x14ac:dyDescent="0.3">
      <c r="A37" s="15">
        <v>30</v>
      </c>
      <c r="B37" s="21" t="s">
        <v>79</v>
      </c>
      <c r="C37" s="21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7"/>
    </row>
    <row r="38" spans="1:22" ht="27" customHeight="1" x14ac:dyDescent="0.3">
      <c r="A38" s="15">
        <v>31</v>
      </c>
      <c r="B38" s="21" t="s">
        <v>64</v>
      </c>
      <c r="C38" s="21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7"/>
    </row>
    <row r="39" spans="1:22" ht="27" customHeight="1" x14ac:dyDescent="0.3">
      <c r="A39" s="15">
        <v>32</v>
      </c>
      <c r="B39" s="18" t="s">
        <v>67</v>
      </c>
      <c r="C39" s="18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7"/>
    </row>
    <row r="40" spans="1:22" ht="27" customHeight="1" x14ac:dyDescent="0.3">
      <c r="A40" s="15">
        <v>33</v>
      </c>
      <c r="B40" s="18" t="s">
        <v>68</v>
      </c>
      <c r="C40" s="18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7"/>
    </row>
    <row r="41" spans="1:22" ht="27" customHeight="1" x14ac:dyDescent="0.3">
      <c r="A41" s="15">
        <v>34</v>
      </c>
      <c r="B41" s="18" t="s">
        <v>69</v>
      </c>
      <c r="C41" s="18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7"/>
    </row>
    <row r="42" spans="1:22" ht="27" customHeight="1" x14ac:dyDescent="0.3">
      <c r="A42" s="15">
        <v>35</v>
      </c>
      <c r="B42" s="18" t="s">
        <v>70</v>
      </c>
      <c r="C42" s="18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7"/>
    </row>
    <row r="43" spans="1:22" ht="27" customHeight="1" x14ac:dyDescent="0.3">
      <c r="A43" s="15">
        <v>36</v>
      </c>
      <c r="B43" s="18" t="s">
        <v>71</v>
      </c>
      <c r="C43" s="18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7"/>
    </row>
    <row r="44" spans="1:22" ht="27" customHeight="1" x14ac:dyDescent="0.3">
      <c r="A44" s="15">
        <v>37</v>
      </c>
      <c r="B44" s="18" t="s">
        <v>72</v>
      </c>
      <c r="C44" s="18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7"/>
    </row>
    <row r="45" spans="1:22" ht="27" customHeight="1" x14ac:dyDescent="0.3">
      <c r="A45" s="15">
        <v>38</v>
      </c>
      <c r="B45" s="18" t="s">
        <v>73</v>
      </c>
      <c r="C45" s="18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7"/>
    </row>
    <row r="46" spans="1:22" s="32" customFormat="1" ht="42" customHeight="1" x14ac:dyDescent="0.3">
      <c r="A46" s="34"/>
      <c r="B46" s="36" t="s">
        <v>87</v>
      </c>
      <c r="C46" s="36"/>
      <c r="D46" s="34"/>
      <c r="E46" s="23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7"/>
      <c r="Q46" s="16"/>
      <c r="R46" s="16"/>
      <c r="S46" s="16"/>
      <c r="T46" s="16"/>
      <c r="U46" s="38"/>
      <c r="V46" s="39"/>
    </row>
  </sheetData>
  <mergeCells count="14">
    <mergeCell ref="A7:B7"/>
    <mergeCell ref="S4:S5"/>
    <mergeCell ref="T4:T5"/>
    <mergeCell ref="U4:U5"/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</mergeCells>
  <dataValidations count="3">
    <dataValidation type="whole" allowBlank="1" showInputMessage="1" showErrorMessage="1" errorTitle="Wrong data" error="Enter  only number " sqref="D9:P9 D22:P23 P16" xr:uid="{00000000-0002-0000-0000-000000000000}">
      <formula1>0</formula1>
      <formula2>9.99999999999999E+42</formula2>
    </dataValidation>
    <dataValidation type="whole" allowBlank="1" showInputMessage="1" showErrorMessage="1" sqref="D65338:M65391" xr:uid="{00000000-0002-0000-0000-000001000000}">
      <formula1>0</formula1>
      <formula2>50000</formula2>
    </dataValidation>
    <dataValidation type="whole" allowBlank="1" showInputMessage="1" showErrorMessage="1" errorTitle="Value Between 0 to 200000" sqref="P65338:P65391" xr:uid="{00000000-0002-0000-0000-000002000000}">
      <formula1>0</formula1>
      <formula2>200000</formula2>
    </dataValidation>
  </dataValidations>
  <printOptions horizontalCentered="1"/>
  <pageMargins left="0.25" right="0.25" top="0.25" bottom="0.25" header="0.3" footer="0.3"/>
  <pageSetup scale="44" orientation="landscape" r:id="rId1"/>
  <rowBreaks count="1" manualBreakCount="1">
    <brk id="31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139"/>
  <sheetViews>
    <sheetView view="pageBreakPreview" zoomScale="85" zoomScaleNormal="70" zoomScaleSheetLayoutView="85" workbookViewId="0">
      <pane ySplit="5" topLeftCell="A123" activePane="bottomLeft" state="frozen"/>
      <selection activeCell="C137" sqref="C137"/>
      <selection pane="bottomLeft" activeCell="J134" sqref="J134"/>
    </sheetView>
  </sheetViews>
  <sheetFormatPr defaultColWidth="9.109375" defaultRowHeight="15" x14ac:dyDescent="0.25"/>
  <cols>
    <col min="1" max="1" width="8.6640625" style="6" customWidth="1"/>
    <col min="2" max="2" width="29.6640625" style="7" bestFit="1" customWidth="1"/>
    <col min="3" max="3" width="11.44140625" style="6" customWidth="1"/>
    <col min="4" max="4" width="11.109375" style="6" customWidth="1"/>
    <col min="5" max="5" width="7.33203125" style="6" customWidth="1"/>
    <col min="6" max="6" width="5.6640625" style="6" customWidth="1"/>
    <col min="7" max="7" width="7.109375" style="6" customWidth="1"/>
    <col min="8" max="8" width="8.109375" style="6" customWidth="1"/>
    <col min="9" max="9" width="12.5546875" style="6" customWidth="1"/>
    <col min="10" max="10" width="58.109375" style="31" customWidth="1"/>
    <col min="11" max="16384" width="9.109375" style="6"/>
  </cols>
  <sheetData>
    <row r="1" spans="1:10" ht="18" customHeight="1" x14ac:dyDescent="0.25">
      <c r="A1" s="237" t="s">
        <v>112</v>
      </c>
      <c r="B1" s="236"/>
      <c r="C1" s="236"/>
      <c r="D1" s="236"/>
      <c r="E1" s="236"/>
      <c r="F1" s="236"/>
      <c r="G1" s="236"/>
      <c r="H1" s="236"/>
      <c r="I1" s="236"/>
      <c r="J1" s="236"/>
    </row>
    <row r="2" spans="1:10" ht="8.25" customHeight="1" x14ac:dyDescent="0.25">
      <c r="A2" s="236"/>
      <c r="B2" s="236"/>
      <c r="C2" s="236"/>
      <c r="D2" s="236"/>
      <c r="E2" s="236"/>
      <c r="F2" s="236"/>
      <c r="G2" s="236"/>
      <c r="H2" s="236"/>
      <c r="I2" s="236"/>
      <c r="J2" s="236"/>
    </row>
    <row r="3" spans="1:10" ht="24.75" customHeight="1" x14ac:dyDescent="0.3">
      <c r="A3" s="236" t="s">
        <v>126</v>
      </c>
      <c r="B3" s="236"/>
      <c r="C3" s="236"/>
      <c r="D3" s="236"/>
      <c r="E3" s="236"/>
      <c r="F3" s="236"/>
      <c r="G3" s="236"/>
      <c r="H3" s="236"/>
      <c r="I3" s="236"/>
      <c r="J3" s="236"/>
    </row>
    <row r="4" spans="1:10" s="1" customFormat="1" ht="55.5" customHeight="1" x14ac:dyDescent="0.3">
      <c r="A4" s="67" t="s">
        <v>80</v>
      </c>
      <c r="B4" s="79" t="s">
        <v>14</v>
      </c>
      <c r="C4" s="239" t="s">
        <v>17</v>
      </c>
      <c r="D4" s="240"/>
      <c r="E4" s="238"/>
      <c r="F4" s="238"/>
      <c r="G4" s="238"/>
      <c r="H4" s="238"/>
      <c r="I4" s="60" t="s">
        <v>31</v>
      </c>
      <c r="J4" s="67" t="s">
        <v>77</v>
      </c>
    </row>
    <row r="5" spans="1:10" s="1" customFormat="1" ht="15.6" x14ac:dyDescent="0.3">
      <c r="A5" s="48"/>
      <c r="B5" s="48"/>
      <c r="C5" s="67" t="s">
        <v>23</v>
      </c>
      <c r="D5" s="67" t="s">
        <v>24</v>
      </c>
      <c r="E5" s="60" t="s">
        <v>32</v>
      </c>
      <c r="F5" s="60" t="s">
        <v>33</v>
      </c>
      <c r="G5" s="60" t="s">
        <v>36</v>
      </c>
      <c r="H5" s="49" t="s">
        <v>78</v>
      </c>
      <c r="I5" s="52"/>
      <c r="J5" s="53"/>
    </row>
    <row r="6" spans="1:10" s="2" customFormat="1" ht="18.75" customHeight="1" x14ac:dyDescent="0.3">
      <c r="A6" s="1" t="s">
        <v>1</v>
      </c>
      <c r="B6" s="44" t="s">
        <v>2</v>
      </c>
      <c r="C6" s="1" t="s">
        <v>3</v>
      </c>
      <c r="D6" s="1" t="s">
        <v>4</v>
      </c>
      <c r="E6" s="1" t="s">
        <v>6</v>
      </c>
      <c r="F6" s="1" t="s">
        <v>8</v>
      </c>
      <c r="G6" s="1" t="s">
        <v>11</v>
      </c>
      <c r="H6" s="1" t="s">
        <v>12</v>
      </c>
      <c r="I6" s="1" t="s">
        <v>28</v>
      </c>
      <c r="J6" s="54" t="s">
        <v>41</v>
      </c>
    </row>
    <row r="7" spans="1:10" s="2" customFormat="1" ht="18.75" customHeight="1" x14ac:dyDescent="0.3">
      <c r="A7" s="45" t="s">
        <v>81</v>
      </c>
      <c r="B7" s="46"/>
      <c r="C7" s="61"/>
      <c r="D7" s="61"/>
      <c r="E7" s="61"/>
      <c r="F7" s="61"/>
      <c r="G7" s="61"/>
      <c r="H7" s="61"/>
      <c r="I7" s="61"/>
      <c r="J7" s="62"/>
    </row>
    <row r="8" spans="1:10" s="57" customFormat="1" ht="119.25" customHeight="1" x14ac:dyDescent="0.3">
      <c r="A8" s="60">
        <v>1</v>
      </c>
      <c r="B8" s="128" t="s">
        <v>155</v>
      </c>
      <c r="C8" s="43">
        <v>1429</v>
      </c>
      <c r="D8" s="43">
        <v>1009</v>
      </c>
      <c r="E8" s="43">
        <v>4</v>
      </c>
      <c r="F8" s="43">
        <v>0</v>
      </c>
      <c r="G8" s="43">
        <v>23</v>
      </c>
      <c r="H8" s="43">
        <v>27</v>
      </c>
      <c r="I8" s="44">
        <v>982</v>
      </c>
      <c r="J8" s="100" t="s">
        <v>280</v>
      </c>
    </row>
    <row r="9" spans="1:10" s="57" customFormat="1" ht="120.6" x14ac:dyDescent="0.3">
      <c r="A9" s="67">
        <v>2</v>
      </c>
      <c r="B9" s="128" t="s">
        <v>156</v>
      </c>
      <c r="C9" s="43">
        <v>1718</v>
      </c>
      <c r="D9" s="43">
        <v>1583</v>
      </c>
      <c r="E9" s="43">
        <v>10</v>
      </c>
      <c r="F9" s="43">
        <v>0</v>
      </c>
      <c r="G9" s="43">
        <v>13</v>
      </c>
      <c r="H9" s="43">
        <v>23</v>
      </c>
      <c r="I9" s="44">
        <v>1560</v>
      </c>
      <c r="J9" s="110" t="s">
        <v>281</v>
      </c>
    </row>
    <row r="10" spans="1:10" s="87" customFormat="1" ht="135" x14ac:dyDescent="0.3">
      <c r="A10" s="86">
        <v>3</v>
      </c>
      <c r="B10" s="128" t="s">
        <v>157</v>
      </c>
      <c r="C10" s="43">
        <v>2079</v>
      </c>
      <c r="D10" s="43">
        <v>1656</v>
      </c>
      <c r="E10" s="43">
        <v>6</v>
      </c>
      <c r="F10" s="43">
        <v>0</v>
      </c>
      <c r="G10" s="43">
        <v>26</v>
      </c>
      <c r="H10" s="43">
        <v>32</v>
      </c>
      <c r="I10" s="95">
        <v>1624</v>
      </c>
      <c r="J10" s="100" t="s">
        <v>282</v>
      </c>
    </row>
    <row r="11" spans="1:10" s="2" customFormat="1" ht="18" customHeight="1" x14ac:dyDescent="0.3">
      <c r="A11" s="44">
        <v>4</v>
      </c>
      <c r="B11" s="128" t="s">
        <v>158</v>
      </c>
      <c r="C11" s="43">
        <v>18</v>
      </c>
      <c r="D11" s="43">
        <v>18</v>
      </c>
      <c r="E11" s="43">
        <v>0</v>
      </c>
      <c r="F11" s="43">
        <v>0</v>
      </c>
      <c r="G11" s="43">
        <v>0</v>
      </c>
      <c r="H11" s="43">
        <v>0</v>
      </c>
      <c r="I11" s="95">
        <v>18</v>
      </c>
      <c r="J11" s="100" t="s">
        <v>113</v>
      </c>
    </row>
    <row r="12" spans="1:10" s="2" customFormat="1" ht="27" customHeight="1" x14ac:dyDescent="0.3">
      <c r="A12" s="1">
        <v>5</v>
      </c>
      <c r="B12" s="128" t="s">
        <v>159</v>
      </c>
      <c r="C12" s="43">
        <v>0</v>
      </c>
      <c r="D12" s="43">
        <v>1</v>
      </c>
      <c r="E12" s="43">
        <v>0</v>
      </c>
      <c r="F12" s="43">
        <v>0</v>
      </c>
      <c r="G12" s="43">
        <v>0</v>
      </c>
      <c r="H12" s="43">
        <v>0</v>
      </c>
      <c r="I12" s="95">
        <v>1</v>
      </c>
      <c r="J12" s="100" t="s">
        <v>113</v>
      </c>
    </row>
    <row r="13" spans="1:10" s="2" customFormat="1" ht="27" customHeight="1" x14ac:dyDescent="0.3">
      <c r="A13" s="44">
        <v>6</v>
      </c>
      <c r="B13" s="128" t="s">
        <v>160</v>
      </c>
      <c r="C13" s="43">
        <v>8</v>
      </c>
      <c r="D13" s="43">
        <v>11</v>
      </c>
      <c r="E13" s="43">
        <v>0</v>
      </c>
      <c r="F13" s="43">
        <v>0</v>
      </c>
      <c r="G13" s="43">
        <v>0</v>
      </c>
      <c r="H13" s="43">
        <v>0</v>
      </c>
      <c r="I13" s="95">
        <v>11</v>
      </c>
      <c r="J13" s="100" t="s">
        <v>113</v>
      </c>
    </row>
    <row r="14" spans="1:10" s="2" customFormat="1" ht="16.5" customHeight="1" x14ac:dyDescent="0.3">
      <c r="A14" s="1">
        <v>7</v>
      </c>
      <c r="B14" s="128" t="s">
        <v>161</v>
      </c>
      <c r="C14" s="43">
        <v>4</v>
      </c>
      <c r="D14" s="43">
        <v>6</v>
      </c>
      <c r="E14" s="43">
        <v>0</v>
      </c>
      <c r="F14" s="43">
        <v>0</v>
      </c>
      <c r="G14" s="43">
        <v>1</v>
      </c>
      <c r="H14" s="43">
        <v>1</v>
      </c>
      <c r="I14" s="95">
        <v>5</v>
      </c>
      <c r="J14" s="104" t="s">
        <v>134</v>
      </c>
    </row>
    <row r="15" spans="1:10" s="2" customFormat="1" ht="27" hidden="1" customHeight="1" x14ac:dyDescent="0.3">
      <c r="A15" s="44">
        <v>8</v>
      </c>
      <c r="B15" s="128" t="s">
        <v>162</v>
      </c>
      <c r="C15" s="43">
        <v>6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95" t="s">
        <v>111</v>
      </c>
      <c r="J15" s="100" t="s">
        <v>113</v>
      </c>
    </row>
    <row r="16" spans="1:10" s="90" customFormat="1" ht="27" hidden="1" customHeight="1" x14ac:dyDescent="0.3">
      <c r="A16" s="60">
        <v>9</v>
      </c>
      <c r="B16" s="128" t="s">
        <v>163</v>
      </c>
      <c r="C16" s="43">
        <v>6</v>
      </c>
      <c r="D16" s="43">
        <v>6</v>
      </c>
      <c r="E16" s="43">
        <v>0</v>
      </c>
      <c r="F16" s="43">
        <v>0</v>
      </c>
      <c r="G16" s="43">
        <v>0</v>
      </c>
      <c r="H16" s="43">
        <v>0</v>
      </c>
      <c r="I16" s="95">
        <v>5</v>
      </c>
      <c r="J16" s="100" t="s">
        <v>113</v>
      </c>
    </row>
    <row r="17" spans="1:10" s="90" customFormat="1" ht="62.4" x14ac:dyDescent="0.3">
      <c r="A17" s="67">
        <v>10</v>
      </c>
      <c r="B17" s="128" t="s">
        <v>164</v>
      </c>
      <c r="C17" s="43">
        <v>4</v>
      </c>
      <c r="D17" s="43">
        <v>60</v>
      </c>
      <c r="E17" s="43">
        <v>8</v>
      </c>
      <c r="F17" s="43">
        <v>0</v>
      </c>
      <c r="G17" s="43">
        <v>0</v>
      </c>
      <c r="H17" s="43">
        <v>8</v>
      </c>
      <c r="I17" s="95">
        <v>52</v>
      </c>
      <c r="J17" s="116" t="s">
        <v>143</v>
      </c>
    </row>
    <row r="18" spans="1:10" s="55" customFormat="1" ht="26.25" customHeight="1" x14ac:dyDescent="0.3">
      <c r="A18" s="46" t="s">
        <v>89</v>
      </c>
      <c r="B18" s="61"/>
      <c r="C18" s="43"/>
      <c r="D18" s="43"/>
      <c r="E18" s="43"/>
      <c r="F18" s="43"/>
      <c r="G18" s="43"/>
      <c r="H18" s="43"/>
      <c r="I18" s="95"/>
      <c r="J18" s="63"/>
    </row>
    <row r="19" spans="1:10" s="57" customFormat="1" ht="15.6" x14ac:dyDescent="0.3">
      <c r="A19" s="60">
        <v>11</v>
      </c>
      <c r="B19" s="85" t="s">
        <v>165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95" t="s">
        <v>111</v>
      </c>
      <c r="J19" s="100"/>
    </row>
    <row r="20" spans="1:10" s="2" customFormat="1" ht="26.25" customHeight="1" x14ac:dyDescent="0.3">
      <c r="A20" s="1">
        <v>12</v>
      </c>
      <c r="B20" s="85" t="s">
        <v>166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95" t="s">
        <v>111</v>
      </c>
      <c r="J20" s="100" t="s">
        <v>113</v>
      </c>
    </row>
    <row r="21" spans="1:10" s="2" customFormat="1" ht="26.25" customHeight="1" x14ac:dyDescent="0.3">
      <c r="A21" s="1">
        <v>13</v>
      </c>
      <c r="B21" s="85" t="s">
        <v>167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95" t="s">
        <v>111</v>
      </c>
      <c r="J21" s="100" t="s">
        <v>113</v>
      </c>
    </row>
    <row r="22" spans="1:10" s="2" customFormat="1" ht="26.25" customHeight="1" x14ac:dyDescent="0.3">
      <c r="A22" s="1">
        <v>14</v>
      </c>
      <c r="B22" s="85" t="s">
        <v>168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95" t="s">
        <v>111</v>
      </c>
      <c r="J22" s="100" t="s">
        <v>113</v>
      </c>
    </row>
    <row r="23" spans="1:10" s="2" customFormat="1" ht="26.25" customHeight="1" x14ac:dyDescent="0.3">
      <c r="A23" s="1">
        <v>15</v>
      </c>
      <c r="B23" s="85" t="s">
        <v>169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95" t="s">
        <v>111</v>
      </c>
      <c r="J23" s="100" t="s">
        <v>113</v>
      </c>
    </row>
    <row r="24" spans="1:10" s="2" customFormat="1" ht="26.25" customHeight="1" x14ac:dyDescent="0.3">
      <c r="A24" s="1">
        <v>16</v>
      </c>
      <c r="B24" s="85" t="s">
        <v>170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95" t="s">
        <v>111</v>
      </c>
      <c r="J24" s="100" t="s">
        <v>113</v>
      </c>
    </row>
    <row r="25" spans="1:10" s="69" customFormat="1" ht="30" x14ac:dyDescent="0.3">
      <c r="A25" s="60">
        <v>17</v>
      </c>
      <c r="B25" s="85" t="s">
        <v>171</v>
      </c>
      <c r="C25" s="43">
        <v>60</v>
      </c>
      <c r="D25" s="43">
        <v>54</v>
      </c>
      <c r="E25" s="43">
        <v>0</v>
      </c>
      <c r="F25" s="43">
        <v>6</v>
      </c>
      <c r="G25" s="43">
        <v>0</v>
      </c>
      <c r="H25" s="43">
        <v>6</v>
      </c>
      <c r="I25" s="95">
        <v>48</v>
      </c>
      <c r="J25" s="100" t="s">
        <v>283</v>
      </c>
    </row>
    <row r="26" spans="1:10" s="2" customFormat="1" ht="23.25" customHeight="1" x14ac:dyDescent="0.3">
      <c r="A26" s="1">
        <v>18</v>
      </c>
      <c r="B26" s="85" t="s">
        <v>172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95" t="s">
        <v>111</v>
      </c>
      <c r="J26" s="100" t="s">
        <v>113</v>
      </c>
    </row>
    <row r="27" spans="1:10" s="2" customFormat="1" ht="23.25" customHeight="1" x14ac:dyDescent="0.3">
      <c r="A27" s="1">
        <v>19</v>
      </c>
      <c r="B27" s="85" t="s">
        <v>173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95" t="s">
        <v>111</v>
      </c>
      <c r="J27" s="100" t="s">
        <v>113</v>
      </c>
    </row>
    <row r="28" spans="1:10" s="2" customFormat="1" ht="23.25" customHeight="1" x14ac:dyDescent="0.3">
      <c r="A28" s="1">
        <v>20</v>
      </c>
      <c r="B28" s="85" t="s">
        <v>174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95" t="s">
        <v>111</v>
      </c>
      <c r="J28" s="100" t="s">
        <v>113</v>
      </c>
    </row>
    <row r="29" spans="1:10" s="69" customFormat="1" ht="99" customHeight="1" x14ac:dyDescent="0.3">
      <c r="A29" s="60">
        <v>21</v>
      </c>
      <c r="B29" s="85" t="s">
        <v>175</v>
      </c>
      <c r="C29" s="43">
        <v>32</v>
      </c>
      <c r="D29" s="43">
        <v>26</v>
      </c>
      <c r="E29" s="43">
        <v>0</v>
      </c>
      <c r="F29" s="43">
        <v>3</v>
      </c>
      <c r="G29" s="43">
        <v>1</v>
      </c>
      <c r="H29" s="43">
        <v>4</v>
      </c>
      <c r="I29" s="95">
        <v>22</v>
      </c>
      <c r="J29" s="103" t="s">
        <v>284</v>
      </c>
    </row>
    <row r="30" spans="1:10" s="57" customFormat="1" ht="31.5" customHeight="1" x14ac:dyDescent="0.3">
      <c r="A30" s="1">
        <v>22</v>
      </c>
      <c r="B30" s="85" t="s">
        <v>176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95" t="s">
        <v>111</v>
      </c>
      <c r="J30" s="100" t="s">
        <v>113</v>
      </c>
    </row>
    <row r="31" spans="1:10" s="57" customFormat="1" ht="31.5" customHeight="1" x14ac:dyDescent="0.3">
      <c r="A31" s="1">
        <v>23</v>
      </c>
      <c r="B31" s="85" t="s">
        <v>177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95" t="s">
        <v>111</v>
      </c>
      <c r="J31" s="100" t="s">
        <v>113</v>
      </c>
    </row>
    <row r="32" spans="1:10" s="57" customFormat="1" ht="30" x14ac:dyDescent="0.3">
      <c r="A32" s="1">
        <v>24</v>
      </c>
      <c r="B32" s="85" t="s">
        <v>178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95" t="s">
        <v>111</v>
      </c>
      <c r="J32" s="100" t="s">
        <v>113</v>
      </c>
    </row>
    <row r="33" spans="1:10" s="57" customFormat="1" ht="30" x14ac:dyDescent="0.3">
      <c r="A33" s="1">
        <v>25</v>
      </c>
      <c r="B33" s="85" t="s">
        <v>179</v>
      </c>
      <c r="C33" s="43">
        <v>2</v>
      </c>
      <c r="D33" s="43">
        <v>2</v>
      </c>
      <c r="E33" s="43">
        <v>0</v>
      </c>
      <c r="F33" s="43">
        <v>0</v>
      </c>
      <c r="G33" s="43">
        <v>0</v>
      </c>
      <c r="H33" s="43">
        <v>0</v>
      </c>
      <c r="I33" s="95">
        <v>2</v>
      </c>
      <c r="J33" s="100" t="s">
        <v>113</v>
      </c>
    </row>
    <row r="34" spans="1:10" s="57" customFormat="1" ht="30" x14ac:dyDescent="0.3">
      <c r="A34" s="1">
        <v>26</v>
      </c>
      <c r="B34" s="85" t="s">
        <v>180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95" t="s">
        <v>111</v>
      </c>
      <c r="J34" s="100" t="s">
        <v>113</v>
      </c>
    </row>
    <row r="35" spans="1:10" s="57" customFormat="1" ht="30" x14ac:dyDescent="0.3">
      <c r="A35" s="1">
        <v>27</v>
      </c>
      <c r="B35" s="85" t="s">
        <v>181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95" t="s">
        <v>111</v>
      </c>
      <c r="J35" s="100" t="s">
        <v>113</v>
      </c>
    </row>
    <row r="36" spans="1:10" s="2" customFormat="1" ht="30" x14ac:dyDescent="0.3">
      <c r="A36" s="1">
        <v>28</v>
      </c>
      <c r="B36" s="85" t="s">
        <v>182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95" t="s">
        <v>111</v>
      </c>
      <c r="J36" s="100" t="s">
        <v>113</v>
      </c>
    </row>
    <row r="37" spans="1:10" s="2" customFormat="1" ht="24.75" customHeight="1" x14ac:dyDescent="0.3">
      <c r="A37" s="1">
        <v>29</v>
      </c>
      <c r="B37" s="85" t="s">
        <v>183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95" t="s">
        <v>111</v>
      </c>
      <c r="J37" s="100" t="s">
        <v>113</v>
      </c>
    </row>
    <row r="38" spans="1:10" s="2" customFormat="1" ht="24.75" customHeight="1" x14ac:dyDescent="0.3">
      <c r="A38" s="1">
        <v>30</v>
      </c>
      <c r="B38" s="85" t="s">
        <v>184</v>
      </c>
      <c r="C38" s="43">
        <v>2</v>
      </c>
      <c r="D38" s="43">
        <v>12</v>
      </c>
      <c r="E38" s="43">
        <v>0</v>
      </c>
      <c r="F38" s="43">
        <v>0</v>
      </c>
      <c r="G38" s="43">
        <v>0</v>
      </c>
      <c r="H38" s="43">
        <v>0</v>
      </c>
      <c r="I38" s="95">
        <v>12</v>
      </c>
      <c r="J38" s="100" t="s">
        <v>113</v>
      </c>
    </row>
    <row r="39" spans="1:10" s="55" customFormat="1" ht="24.75" customHeight="1" x14ac:dyDescent="0.3">
      <c r="A39" s="1">
        <v>31</v>
      </c>
      <c r="B39" s="85" t="s">
        <v>185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95" t="s">
        <v>111</v>
      </c>
      <c r="J39" s="100" t="s">
        <v>113</v>
      </c>
    </row>
    <row r="40" spans="1:10" s="71" customFormat="1" ht="30" x14ac:dyDescent="0.3">
      <c r="A40" s="1">
        <v>32</v>
      </c>
      <c r="B40" s="85" t="s">
        <v>186</v>
      </c>
      <c r="C40" s="43">
        <v>5</v>
      </c>
      <c r="D40" s="43">
        <v>5</v>
      </c>
      <c r="E40" s="43">
        <v>0</v>
      </c>
      <c r="F40" s="43">
        <v>0</v>
      </c>
      <c r="G40" s="43">
        <v>0</v>
      </c>
      <c r="H40" s="43">
        <v>0</v>
      </c>
      <c r="I40" s="95">
        <v>5</v>
      </c>
      <c r="J40" s="100" t="s">
        <v>113</v>
      </c>
    </row>
    <row r="41" spans="1:10" s="55" customFormat="1" ht="24.75" customHeight="1" x14ac:dyDescent="0.3">
      <c r="A41" s="1">
        <v>33</v>
      </c>
      <c r="B41" s="85" t="s">
        <v>187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95" t="s">
        <v>111</v>
      </c>
      <c r="J41" s="100" t="s">
        <v>113</v>
      </c>
    </row>
    <row r="42" spans="1:10" s="57" customFormat="1" ht="24.75" customHeight="1" x14ac:dyDescent="0.3">
      <c r="A42" s="1">
        <v>34</v>
      </c>
      <c r="B42" s="85" t="s">
        <v>188</v>
      </c>
      <c r="C42" s="43">
        <v>16</v>
      </c>
      <c r="D42" s="43">
        <v>17</v>
      </c>
      <c r="E42" s="43">
        <v>0</v>
      </c>
      <c r="F42" s="43">
        <v>0</v>
      </c>
      <c r="G42" s="43">
        <v>0</v>
      </c>
      <c r="H42" s="43">
        <v>0</v>
      </c>
      <c r="I42" s="95">
        <v>17</v>
      </c>
      <c r="J42" s="100" t="s">
        <v>113</v>
      </c>
    </row>
    <row r="43" spans="1:10" s="57" customFormat="1" ht="24.75" customHeight="1" x14ac:dyDescent="0.3">
      <c r="A43" s="1">
        <v>35</v>
      </c>
      <c r="B43" s="85" t="s">
        <v>189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95" t="s">
        <v>111</v>
      </c>
      <c r="J43" s="100" t="s">
        <v>113</v>
      </c>
    </row>
    <row r="44" spans="1:10" s="57" customFormat="1" ht="30" x14ac:dyDescent="0.3">
      <c r="A44" s="1">
        <v>36</v>
      </c>
      <c r="B44" s="85" t="s">
        <v>190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95" t="s">
        <v>111</v>
      </c>
      <c r="J44" s="100" t="s">
        <v>113</v>
      </c>
    </row>
    <row r="45" spans="1:10" s="57" customFormat="1" ht="24.75" customHeight="1" x14ac:dyDescent="0.3">
      <c r="A45" s="1">
        <v>37</v>
      </c>
      <c r="B45" s="85" t="s">
        <v>191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95" t="s">
        <v>111</v>
      </c>
      <c r="J45" s="100" t="s">
        <v>113</v>
      </c>
    </row>
    <row r="46" spans="1:10" s="57" customFormat="1" ht="24.75" customHeight="1" x14ac:dyDescent="0.3">
      <c r="A46" s="1">
        <v>38</v>
      </c>
      <c r="B46" s="85" t="s">
        <v>192</v>
      </c>
      <c r="C46" s="43">
        <v>4</v>
      </c>
      <c r="D46" s="43">
        <v>4</v>
      </c>
      <c r="E46" s="43">
        <v>0</v>
      </c>
      <c r="F46" s="43">
        <v>0</v>
      </c>
      <c r="G46" s="43">
        <v>0</v>
      </c>
      <c r="H46" s="43">
        <v>0</v>
      </c>
      <c r="I46" s="95">
        <v>4</v>
      </c>
      <c r="J46" s="100" t="s">
        <v>113</v>
      </c>
    </row>
    <row r="47" spans="1:10" s="57" customFormat="1" ht="24.75" customHeight="1" x14ac:dyDescent="0.3">
      <c r="A47" s="1">
        <v>39</v>
      </c>
      <c r="B47" s="85" t="s">
        <v>193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95" t="s">
        <v>111</v>
      </c>
      <c r="J47" s="100" t="s">
        <v>113</v>
      </c>
    </row>
    <row r="48" spans="1:10" s="55" customFormat="1" ht="24.75" customHeight="1" x14ac:dyDescent="0.3">
      <c r="A48" s="1">
        <v>40</v>
      </c>
      <c r="B48" s="85" t="s">
        <v>194</v>
      </c>
      <c r="C48" s="43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95" t="s">
        <v>111</v>
      </c>
      <c r="J48" s="100" t="s">
        <v>113</v>
      </c>
    </row>
    <row r="49" spans="1:10" s="2" customFormat="1" ht="24.75" customHeight="1" x14ac:dyDescent="0.3">
      <c r="A49" s="1">
        <v>41</v>
      </c>
      <c r="B49" s="85" t="s">
        <v>195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95" t="s">
        <v>111</v>
      </c>
      <c r="J49" s="100" t="s">
        <v>113</v>
      </c>
    </row>
    <row r="50" spans="1:10" s="2" customFormat="1" ht="24.75" customHeight="1" x14ac:dyDescent="0.3">
      <c r="A50" s="1">
        <v>42</v>
      </c>
      <c r="B50" s="85" t="s">
        <v>196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95" t="s">
        <v>111</v>
      </c>
      <c r="J50" s="100" t="s">
        <v>113</v>
      </c>
    </row>
    <row r="51" spans="1:10" s="2" customFormat="1" ht="35.25" customHeight="1" x14ac:dyDescent="0.3">
      <c r="A51" s="1">
        <v>43</v>
      </c>
      <c r="B51" s="85" t="s">
        <v>197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95" t="s">
        <v>111</v>
      </c>
      <c r="J51" s="100" t="s">
        <v>113</v>
      </c>
    </row>
    <row r="52" spans="1:10" s="2" customFormat="1" ht="35.25" customHeight="1" x14ac:dyDescent="0.3">
      <c r="A52" s="1">
        <v>44</v>
      </c>
      <c r="B52" s="85" t="s">
        <v>198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95" t="s">
        <v>111</v>
      </c>
      <c r="J52" s="100" t="s">
        <v>113</v>
      </c>
    </row>
    <row r="53" spans="1:10" s="2" customFormat="1" ht="28.5" customHeight="1" x14ac:dyDescent="0.3">
      <c r="A53" s="1">
        <v>45</v>
      </c>
      <c r="B53" s="85" t="s">
        <v>199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95" t="s">
        <v>111</v>
      </c>
      <c r="J53" s="100" t="s">
        <v>113</v>
      </c>
    </row>
    <row r="54" spans="1:10" s="2" customFormat="1" ht="30.75" customHeight="1" x14ac:dyDescent="0.3">
      <c r="A54" s="1">
        <v>46</v>
      </c>
      <c r="B54" s="85" t="s">
        <v>200</v>
      </c>
      <c r="C54" s="43">
        <v>70</v>
      </c>
      <c r="D54" s="43">
        <v>70</v>
      </c>
      <c r="E54" s="43">
        <v>0</v>
      </c>
      <c r="F54" s="43">
        <v>0</v>
      </c>
      <c r="G54" s="43">
        <v>0</v>
      </c>
      <c r="H54" s="43">
        <v>0</v>
      </c>
      <c r="I54" s="95">
        <v>70</v>
      </c>
      <c r="J54" s="101" t="s">
        <v>144</v>
      </c>
    </row>
    <row r="55" spans="1:10" s="2" customFormat="1" ht="33.75" customHeight="1" x14ac:dyDescent="0.3">
      <c r="A55" s="1">
        <v>47</v>
      </c>
      <c r="B55" s="85" t="s">
        <v>201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95" t="s">
        <v>111</v>
      </c>
      <c r="J55" s="100" t="s">
        <v>113</v>
      </c>
    </row>
    <row r="56" spans="1:10" s="69" customFormat="1" ht="30" x14ac:dyDescent="0.3">
      <c r="A56" s="1">
        <v>48</v>
      </c>
      <c r="B56" s="85" t="s">
        <v>202</v>
      </c>
      <c r="C56" s="43">
        <v>245</v>
      </c>
      <c r="D56" s="43">
        <v>247</v>
      </c>
      <c r="E56" s="43">
        <v>0</v>
      </c>
      <c r="F56" s="43">
        <v>0</v>
      </c>
      <c r="G56" s="43">
        <v>10</v>
      </c>
      <c r="H56" s="43">
        <v>10</v>
      </c>
      <c r="I56" s="95">
        <v>237</v>
      </c>
      <c r="J56" s="100" t="s">
        <v>147</v>
      </c>
    </row>
    <row r="57" spans="1:10" s="70" customFormat="1" ht="25.5" customHeight="1" x14ac:dyDescent="0.3">
      <c r="A57" s="1">
        <v>49</v>
      </c>
      <c r="B57" s="85" t="s">
        <v>203</v>
      </c>
      <c r="C57" s="43">
        <v>26</v>
      </c>
      <c r="D57" s="43">
        <v>17</v>
      </c>
      <c r="E57" s="43">
        <v>0</v>
      </c>
      <c r="F57" s="43">
        <v>0</v>
      </c>
      <c r="G57" s="43">
        <v>0</v>
      </c>
      <c r="H57" s="43">
        <v>0</v>
      </c>
      <c r="I57" s="95">
        <v>17</v>
      </c>
      <c r="J57" s="100"/>
    </row>
    <row r="58" spans="1:10" s="2" customFormat="1" ht="25.5" customHeight="1" x14ac:dyDescent="0.3">
      <c r="A58" s="1">
        <v>50</v>
      </c>
      <c r="B58" s="85" t="s">
        <v>204</v>
      </c>
      <c r="C58" s="43">
        <v>2</v>
      </c>
      <c r="D58" s="43">
        <v>4</v>
      </c>
      <c r="E58" s="43">
        <v>0</v>
      </c>
      <c r="F58" s="43">
        <v>0</v>
      </c>
      <c r="G58" s="43">
        <v>0</v>
      </c>
      <c r="H58" s="43">
        <v>0</v>
      </c>
      <c r="I58" s="95">
        <v>4</v>
      </c>
      <c r="J58" s="100" t="s">
        <v>113</v>
      </c>
    </row>
    <row r="59" spans="1:10" s="80" customFormat="1" ht="25.5" customHeight="1" x14ac:dyDescent="0.3">
      <c r="A59" s="77">
        <v>51</v>
      </c>
      <c r="B59" s="85" t="s">
        <v>205</v>
      </c>
      <c r="C59" s="43">
        <v>3</v>
      </c>
      <c r="D59" s="43">
        <v>2</v>
      </c>
      <c r="E59" s="43">
        <v>0</v>
      </c>
      <c r="F59" s="43">
        <v>0</v>
      </c>
      <c r="G59" s="43">
        <v>0</v>
      </c>
      <c r="H59" s="43">
        <v>0</v>
      </c>
      <c r="I59" s="95">
        <v>2</v>
      </c>
      <c r="J59" s="100" t="s">
        <v>113</v>
      </c>
    </row>
    <row r="60" spans="1:10" s="80" customFormat="1" ht="25.5" customHeight="1" x14ac:dyDescent="0.3">
      <c r="A60" s="77">
        <v>52</v>
      </c>
      <c r="B60" s="85" t="s">
        <v>206</v>
      </c>
      <c r="C60" s="43">
        <v>10</v>
      </c>
      <c r="D60" s="43">
        <v>8</v>
      </c>
      <c r="E60" s="43">
        <v>0</v>
      </c>
      <c r="F60" s="43">
        <v>0</v>
      </c>
      <c r="G60" s="43">
        <v>0</v>
      </c>
      <c r="H60" s="43">
        <v>0</v>
      </c>
      <c r="I60" s="95">
        <v>8</v>
      </c>
      <c r="J60" s="100" t="s">
        <v>113</v>
      </c>
    </row>
    <row r="61" spans="1:10" s="80" customFormat="1" ht="30" x14ac:dyDescent="0.3">
      <c r="A61" s="77">
        <v>53</v>
      </c>
      <c r="B61" s="85" t="s">
        <v>207</v>
      </c>
      <c r="C61" s="43">
        <v>9</v>
      </c>
      <c r="D61" s="43">
        <v>6</v>
      </c>
      <c r="E61" s="43">
        <v>0</v>
      </c>
      <c r="F61" s="43">
        <v>0</v>
      </c>
      <c r="G61" s="43">
        <v>0</v>
      </c>
      <c r="H61" s="43">
        <v>0</v>
      </c>
      <c r="I61" s="95">
        <v>6</v>
      </c>
      <c r="J61" s="100" t="s">
        <v>113</v>
      </c>
    </row>
    <row r="62" spans="1:10" s="78" customFormat="1" ht="25.5" customHeight="1" x14ac:dyDescent="0.3">
      <c r="A62" s="77">
        <v>54</v>
      </c>
      <c r="B62" s="85" t="s">
        <v>208</v>
      </c>
      <c r="C62" s="43">
        <v>1</v>
      </c>
      <c r="D62" s="43">
        <v>1</v>
      </c>
      <c r="E62" s="43">
        <v>0</v>
      </c>
      <c r="F62" s="43">
        <v>0</v>
      </c>
      <c r="G62" s="43">
        <v>0</v>
      </c>
      <c r="H62" s="43">
        <v>0</v>
      </c>
      <c r="I62" s="95">
        <v>1</v>
      </c>
      <c r="J62" s="100" t="s">
        <v>113</v>
      </c>
    </row>
    <row r="63" spans="1:10" s="24" customFormat="1" ht="30.75" customHeight="1" x14ac:dyDescent="0.3">
      <c r="A63" s="46" t="s">
        <v>90</v>
      </c>
      <c r="B63" s="61"/>
      <c r="C63" s="43"/>
      <c r="D63" s="43"/>
      <c r="E63" s="43"/>
      <c r="F63" s="43"/>
      <c r="G63" s="43"/>
      <c r="H63" s="43"/>
      <c r="I63" s="95"/>
      <c r="J63" s="63"/>
    </row>
    <row r="64" spans="1:10" s="68" customFormat="1" ht="30.75" customHeight="1" x14ac:dyDescent="0.3">
      <c r="A64" s="44">
        <v>55</v>
      </c>
      <c r="B64" s="81" t="s">
        <v>209</v>
      </c>
      <c r="C64" s="43">
        <v>5</v>
      </c>
      <c r="D64" s="43">
        <v>14</v>
      </c>
      <c r="E64" s="43">
        <v>0</v>
      </c>
      <c r="F64" s="43">
        <v>0</v>
      </c>
      <c r="G64" s="43">
        <v>0</v>
      </c>
      <c r="H64" s="43">
        <v>0</v>
      </c>
      <c r="I64" s="95">
        <v>14</v>
      </c>
      <c r="J64" s="100"/>
    </row>
    <row r="65" spans="1:10" s="68" customFormat="1" ht="30.75" customHeight="1" x14ac:dyDescent="0.3">
      <c r="A65" s="1">
        <v>56</v>
      </c>
      <c r="B65" s="81" t="s">
        <v>210</v>
      </c>
      <c r="C65" s="43">
        <v>77</v>
      </c>
      <c r="D65" s="43">
        <v>91</v>
      </c>
      <c r="E65" s="43">
        <v>1</v>
      </c>
      <c r="F65" s="43">
        <v>0</v>
      </c>
      <c r="G65" s="43">
        <v>0</v>
      </c>
      <c r="H65" s="43">
        <v>1</v>
      </c>
      <c r="I65" s="95">
        <v>90</v>
      </c>
      <c r="J65" s="129" t="s">
        <v>142</v>
      </c>
    </row>
    <row r="66" spans="1:10" s="70" customFormat="1" x14ac:dyDescent="0.3">
      <c r="A66" s="44">
        <v>57</v>
      </c>
      <c r="B66" s="81" t="s">
        <v>211</v>
      </c>
      <c r="C66" s="43">
        <v>60</v>
      </c>
      <c r="D66" s="43">
        <v>64</v>
      </c>
      <c r="E66" s="43">
        <v>0</v>
      </c>
      <c r="F66" s="43">
        <v>0</v>
      </c>
      <c r="G66" s="43">
        <v>3</v>
      </c>
      <c r="H66" s="43">
        <v>3</v>
      </c>
      <c r="I66" s="95">
        <v>61</v>
      </c>
      <c r="J66" s="103" t="s">
        <v>148</v>
      </c>
    </row>
    <row r="67" spans="1:10" s="68" customFormat="1" ht="33.75" customHeight="1" x14ac:dyDescent="0.3">
      <c r="A67" s="1">
        <v>58</v>
      </c>
      <c r="B67" s="81" t="s">
        <v>212</v>
      </c>
      <c r="C67" s="43">
        <v>55</v>
      </c>
      <c r="D67" s="43">
        <v>24</v>
      </c>
      <c r="E67" s="43">
        <v>0</v>
      </c>
      <c r="F67" s="43">
        <v>0</v>
      </c>
      <c r="G67" s="43">
        <v>7</v>
      </c>
      <c r="H67" s="43">
        <v>7</v>
      </c>
      <c r="I67" s="95">
        <v>17</v>
      </c>
      <c r="J67" s="103" t="s">
        <v>125</v>
      </c>
    </row>
    <row r="68" spans="1:10" s="68" customFormat="1" ht="30.75" customHeight="1" x14ac:dyDescent="0.3">
      <c r="A68" s="44">
        <v>59</v>
      </c>
      <c r="B68" s="81" t="s">
        <v>213</v>
      </c>
      <c r="C68" s="43">
        <v>20</v>
      </c>
      <c r="D68" s="43">
        <v>8</v>
      </c>
      <c r="E68" s="43">
        <v>0</v>
      </c>
      <c r="F68" s="43">
        <v>0</v>
      </c>
      <c r="G68" s="43">
        <v>0</v>
      </c>
      <c r="H68" s="43">
        <v>0</v>
      </c>
      <c r="I68" s="95">
        <v>8</v>
      </c>
      <c r="J68" s="100" t="s">
        <v>113</v>
      </c>
    </row>
    <row r="69" spans="1:10" s="2" customFormat="1" ht="30.75" customHeight="1" x14ac:dyDescent="0.3">
      <c r="A69" s="1">
        <v>60</v>
      </c>
      <c r="B69" s="81" t="s">
        <v>214</v>
      </c>
      <c r="C69" s="43">
        <v>18</v>
      </c>
      <c r="D69" s="43">
        <v>38</v>
      </c>
      <c r="E69" s="43">
        <v>0</v>
      </c>
      <c r="F69" s="43">
        <v>0</v>
      </c>
      <c r="G69" s="43">
        <v>0</v>
      </c>
      <c r="H69" s="43">
        <v>0</v>
      </c>
      <c r="I69" s="95">
        <v>38</v>
      </c>
      <c r="J69" s="100" t="s">
        <v>113</v>
      </c>
    </row>
    <row r="70" spans="1:10" s="55" customFormat="1" ht="30.75" customHeight="1" x14ac:dyDescent="0.3">
      <c r="A70" s="44">
        <v>61</v>
      </c>
      <c r="B70" s="81" t="s">
        <v>215</v>
      </c>
      <c r="C70" s="43">
        <v>0</v>
      </c>
      <c r="D70" s="43">
        <v>1</v>
      </c>
      <c r="E70" s="43">
        <v>0</v>
      </c>
      <c r="F70" s="43">
        <v>0</v>
      </c>
      <c r="G70" s="43">
        <v>0</v>
      </c>
      <c r="H70" s="43">
        <v>0</v>
      </c>
      <c r="I70" s="95">
        <v>1</v>
      </c>
      <c r="J70" s="100" t="s">
        <v>113</v>
      </c>
    </row>
    <row r="71" spans="1:10" s="2" customFormat="1" ht="30.75" customHeight="1" x14ac:dyDescent="0.3">
      <c r="A71" s="46" t="s">
        <v>91</v>
      </c>
      <c r="B71" s="61"/>
      <c r="C71" s="43"/>
      <c r="D71" s="43"/>
      <c r="E71" s="43"/>
      <c r="F71" s="43"/>
      <c r="G71" s="43"/>
      <c r="H71" s="43"/>
      <c r="I71" s="95"/>
      <c r="J71" s="63"/>
    </row>
    <row r="72" spans="1:10" s="2" customFormat="1" x14ac:dyDescent="0.3">
      <c r="A72" s="1">
        <v>62</v>
      </c>
      <c r="B72" s="81" t="s">
        <v>216</v>
      </c>
      <c r="C72" s="43">
        <v>7</v>
      </c>
      <c r="D72" s="43">
        <v>5</v>
      </c>
      <c r="E72" s="43">
        <v>0</v>
      </c>
      <c r="F72" s="43">
        <v>0</v>
      </c>
      <c r="G72" s="43">
        <v>0</v>
      </c>
      <c r="H72" s="43">
        <v>0</v>
      </c>
      <c r="I72" s="95">
        <v>4</v>
      </c>
      <c r="J72" s="103"/>
    </row>
    <row r="73" spans="1:10" s="69" customFormat="1" ht="75.599999999999994" x14ac:dyDescent="0.3">
      <c r="A73" s="67">
        <v>63</v>
      </c>
      <c r="B73" s="81" t="s">
        <v>217</v>
      </c>
      <c r="C73" s="43">
        <v>100</v>
      </c>
      <c r="D73" s="43">
        <v>101</v>
      </c>
      <c r="E73" s="43">
        <v>2</v>
      </c>
      <c r="F73" s="43">
        <v>0</v>
      </c>
      <c r="G73" s="43">
        <v>5</v>
      </c>
      <c r="H73" s="43">
        <v>7</v>
      </c>
      <c r="I73" s="95">
        <v>94</v>
      </c>
      <c r="J73" s="103" t="s">
        <v>285</v>
      </c>
    </row>
    <row r="74" spans="1:10" s="55" customFormat="1" x14ac:dyDescent="0.3">
      <c r="A74" s="1">
        <v>64</v>
      </c>
      <c r="B74" s="81" t="s">
        <v>218</v>
      </c>
      <c r="C74" s="43">
        <v>8</v>
      </c>
      <c r="D74" s="43">
        <v>14</v>
      </c>
      <c r="E74" s="43">
        <v>0</v>
      </c>
      <c r="F74" s="43">
        <v>0</v>
      </c>
      <c r="G74" s="43">
        <v>0</v>
      </c>
      <c r="H74" s="43">
        <v>0</v>
      </c>
      <c r="I74" s="95">
        <v>14</v>
      </c>
      <c r="J74" s="103"/>
    </row>
    <row r="75" spans="1:10" s="2" customFormat="1" ht="18" customHeight="1" x14ac:dyDescent="0.3">
      <c r="A75" s="241" t="s">
        <v>109</v>
      </c>
      <c r="B75" s="242"/>
      <c r="C75" s="43"/>
      <c r="D75" s="43"/>
      <c r="E75" s="43"/>
      <c r="F75" s="43">
        <v>0</v>
      </c>
      <c r="G75" s="43">
        <v>0</v>
      </c>
      <c r="H75" s="43">
        <v>0</v>
      </c>
      <c r="I75" s="95"/>
      <c r="J75" s="105"/>
    </row>
    <row r="76" spans="1:10" s="89" customFormat="1" ht="30" x14ac:dyDescent="0.3">
      <c r="A76" s="84">
        <v>65</v>
      </c>
      <c r="B76" s="88" t="s">
        <v>219</v>
      </c>
      <c r="C76" s="43">
        <v>187</v>
      </c>
      <c r="D76" s="43">
        <v>219</v>
      </c>
      <c r="E76" s="43">
        <v>0</v>
      </c>
      <c r="F76" s="43">
        <v>0</v>
      </c>
      <c r="G76" s="43">
        <v>3</v>
      </c>
      <c r="H76" s="43">
        <v>3</v>
      </c>
      <c r="I76" s="95">
        <v>216</v>
      </c>
      <c r="J76" s="101" t="s">
        <v>145</v>
      </c>
    </row>
    <row r="77" spans="1:10" s="69" customFormat="1" ht="15.6" x14ac:dyDescent="0.3">
      <c r="A77" s="60">
        <v>66</v>
      </c>
      <c r="B77" s="88" t="s">
        <v>220</v>
      </c>
      <c r="C77" s="43">
        <v>74</v>
      </c>
      <c r="D77" s="43">
        <v>76</v>
      </c>
      <c r="E77" s="43">
        <v>0</v>
      </c>
      <c r="F77" s="43">
        <v>0</v>
      </c>
      <c r="G77" s="43">
        <v>1</v>
      </c>
      <c r="H77" s="43">
        <v>1</v>
      </c>
      <c r="I77" s="95">
        <v>75</v>
      </c>
      <c r="J77" s="103" t="s">
        <v>114</v>
      </c>
    </row>
    <row r="78" spans="1:10" s="55" customFormat="1" ht="15.75" customHeight="1" x14ac:dyDescent="0.3">
      <c r="A78" s="46" t="s">
        <v>92</v>
      </c>
      <c r="B78" s="61"/>
      <c r="C78" s="43"/>
      <c r="D78" s="43"/>
      <c r="E78" s="43"/>
      <c r="F78" s="43"/>
      <c r="G78" s="43"/>
      <c r="H78" s="43"/>
      <c r="I78" s="95"/>
      <c r="J78" s="63"/>
    </row>
    <row r="79" spans="1:10" s="70" customFormat="1" x14ac:dyDescent="0.3">
      <c r="A79" s="1">
        <v>67</v>
      </c>
      <c r="B79" s="81" t="s">
        <v>221</v>
      </c>
      <c r="C79" s="43">
        <v>83</v>
      </c>
      <c r="D79" s="43">
        <v>50</v>
      </c>
      <c r="E79" s="43">
        <v>0</v>
      </c>
      <c r="F79" s="43">
        <v>0</v>
      </c>
      <c r="G79" s="43">
        <v>3</v>
      </c>
      <c r="H79" s="43">
        <v>3</v>
      </c>
      <c r="I79" s="95">
        <v>47</v>
      </c>
      <c r="J79" s="101" t="s">
        <v>286</v>
      </c>
    </row>
    <row r="80" spans="1:10" s="70" customFormat="1" ht="30" x14ac:dyDescent="0.3">
      <c r="A80" s="44">
        <v>68</v>
      </c>
      <c r="B80" s="81" t="s">
        <v>222</v>
      </c>
      <c r="C80" s="43">
        <v>100</v>
      </c>
      <c r="D80" s="43">
        <v>241</v>
      </c>
      <c r="E80" s="43">
        <v>0</v>
      </c>
      <c r="F80" s="43">
        <v>0</v>
      </c>
      <c r="G80" s="43">
        <v>11</v>
      </c>
      <c r="H80" s="43">
        <v>11</v>
      </c>
      <c r="I80" s="95">
        <v>230</v>
      </c>
      <c r="J80" s="100" t="s">
        <v>146</v>
      </c>
    </row>
    <row r="81" spans="1:10" s="70" customFormat="1" ht="30" x14ac:dyDescent="0.3">
      <c r="A81" s="1">
        <v>69</v>
      </c>
      <c r="B81" s="81" t="s">
        <v>223</v>
      </c>
      <c r="C81" s="43">
        <v>452</v>
      </c>
      <c r="D81" s="43">
        <v>350</v>
      </c>
      <c r="E81" s="43">
        <v>0</v>
      </c>
      <c r="F81" s="43">
        <v>0</v>
      </c>
      <c r="G81" s="43">
        <v>10</v>
      </c>
      <c r="H81" s="43">
        <v>10</v>
      </c>
      <c r="I81" s="95">
        <v>340</v>
      </c>
      <c r="J81" s="103" t="s">
        <v>149</v>
      </c>
    </row>
    <row r="82" spans="1:10" s="2" customFormat="1" ht="26.25" customHeight="1" x14ac:dyDescent="0.3">
      <c r="A82" s="44">
        <v>70</v>
      </c>
      <c r="B82" s="81" t="s">
        <v>224</v>
      </c>
      <c r="C82" s="43">
        <v>5</v>
      </c>
      <c r="D82" s="43">
        <v>19</v>
      </c>
      <c r="E82" s="43">
        <v>0</v>
      </c>
      <c r="F82" s="43">
        <v>0</v>
      </c>
      <c r="G82" s="43">
        <v>0</v>
      </c>
      <c r="H82" s="43">
        <v>0</v>
      </c>
      <c r="I82" s="95">
        <v>19</v>
      </c>
      <c r="J82" s="100" t="s">
        <v>113</v>
      </c>
    </row>
    <row r="83" spans="1:10" s="2" customFormat="1" ht="26.25" customHeight="1" x14ac:dyDescent="0.3">
      <c r="A83" s="1">
        <v>71</v>
      </c>
      <c r="B83" s="81" t="s">
        <v>225</v>
      </c>
      <c r="C83" s="43">
        <v>8</v>
      </c>
      <c r="D83" s="43">
        <v>42</v>
      </c>
      <c r="E83" s="43">
        <v>0</v>
      </c>
      <c r="F83" s="43">
        <v>0</v>
      </c>
      <c r="G83" s="43">
        <v>0</v>
      </c>
      <c r="H83" s="43">
        <v>0</v>
      </c>
      <c r="I83" s="95">
        <v>42</v>
      </c>
      <c r="J83" s="100" t="s">
        <v>113</v>
      </c>
    </row>
    <row r="84" spans="1:10" s="2" customFormat="1" ht="60" x14ac:dyDescent="0.3">
      <c r="A84" s="44">
        <v>72</v>
      </c>
      <c r="B84" s="81" t="s">
        <v>226</v>
      </c>
      <c r="C84" s="43">
        <v>33</v>
      </c>
      <c r="D84" s="43">
        <v>176</v>
      </c>
      <c r="E84" s="43">
        <v>0</v>
      </c>
      <c r="F84" s="43">
        <v>0</v>
      </c>
      <c r="G84" s="43">
        <v>1</v>
      </c>
      <c r="H84" s="43">
        <v>1</v>
      </c>
      <c r="I84" s="95">
        <v>175</v>
      </c>
      <c r="J84" s="103" t="s">
        <v>287</v>
      </c>
    </row>
    <row r="85" spans="1:10" s="2" customFormat="1" ht="36" customHeight="1" x14ac:dyDescent="0.3">
      <c r="A85" s="1">
        <v>73</v>
      </c>
      <c r="B85" s="81" t="s">
        <v>227</v>
      </c>
      <c r="C85" s="43">
        <v>48</v>
      </c>
      <c r="D85" s="43">
        <v>13</v>
      </c>
      <c r="E85" s="43">
        <v>0</v>
      </c>
      <c r="F85" s="43">
        <v>0</v>
      </c>
      <c r="G85" s="43">
        <v>0</v>
      </c>
      <c r="H85" s="43">
        <v>2</v>
      </c>
      <c r="I85" s="95">
        <v>11</v>
      </c>
      <c r="J85" s="100" t="s">
        <v>130</v>
      </c>
    </row>
    <row r="86" spans="1:10" s="2" customFormat="1" ht="26.25" customHeight="1" x14ac:dyDescent="0.3">
      <c r="A86" s="44">
        <v>74</v>
      </c>
      <c r="B86" s="81" t="s">
        <v>228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95" t="s">
        <v>111</v>
      </c>
    </row>
    <row r="87" spans="1:10" s="55" customFormat="1" ht="26.25" customHeight="1" x14ac:dyDescent="0.3">
      <c r="A87" s="1">
        <v>75</v>
      </c>
      <c r="B87" s="81" t="s">
        <v>229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95" t="s">
        <v>111</v>
      </c>
      <c r="J87" s="100" t="s">
        <v>113</v>
      </c>
    </row>
    <row r="88" spans="1:10" s="55" customFormat="1" x14ac:dyDescent="0.3">
      <c r="A88" s="44">
        <v>76</v>
      </c>
      <c r="B88" s="81" t="s">
        <v>230</v>
      </c>
      <c r="C88" s="43">
        <v>5</v>
      </c>
      <c r="D88" s="43">
        <v>25</v>
      </c>
      <c r="E88" s="43">
        <v>0</v>
      </c>
      <c r="F88" s="43">
        <v>0</v>
      </c>
      <c r="G88" s="43">
        <v>0</v>
      </c>
      <c r="H88" s="43">
        <v>0</v>
      </c>
      <c r="I88" s="95">
        <v>25</v>
      </c>
      <c r="J88" s="103"/>
    </row>
    <row r="89" spans="1:10" s="68" customFormat="1" ht="26.25" customHeight="1" x14ac:dyDescent="0.3">
      <c r="A89" s="1">
        <v>77</v>
      </c>
      <c r="B89" s="81" t="s">
        <v>231</v>
      </c>
      <c r="C89" s="43">
        <v>12</v>
      </c>
      <c r="D89" s="43">
        <v>51</v>
      </c>
      <c r="E89" s="43">
        <v>0</v>
      </c>
      <c r="F89" s="43">
        <v>0</v>
      </c>
      <c r="G89" s="43">
        <v>1</v>
      </c>
      <c r="H89" s="43">
        <v>1</v>
      </c>
      <c r="I89" s="95">
        <v>50</v>
      </c>
      <c r="J89" s="100" t="s">
        <v>141</v>
      </c>
    </row>
    <row r="90" spans="1:10" s="2" customFormat="1" x14ac:dyDescent="0.3">
      <c r="A90" s="44">
        <v>78</v>
      </c>
      <c r="B90" s="81" t="s">
        <v>232</v>
      </c>
      <c r="C90" s="43">
        <v>17</v>
      </c>
      <c r="D90" s="43">
        <v>143</v>
      </c>
      <c r="E90" s="43">
        <v>0</v>
      </c>
      <c r="F90" s="43">
        <v>0</v>
      </c>
      <c r="G90" s="43">
        <v>1</v>
      </c>
      <c r="H90" s="43">
        <v>1</v>
      </c>
      <c r="I90" s="95">
        <v>142</v>
      </c>
      <c r="J90" s="103" t="s">
        <v>150</v>
      </c>
    </row>
    <row r="91" spans="1:10" s="2" customFormat="1" ht="25.5" customHeight="1" x14ac:dyDescent="0.3">
      <c r="A91" s="1">
        <v>79</v>
      </c>
      <c r="B91" s="81" t="s">
        <v>233</v>
      </c>
      <c r="C91" s="43">
        <v>8</v>
      </c>
      <c r="D91" s="43">
        <v>4</v>
      </c>
      <c r="E91" s="43">
        <v>0</v>
      </c>
      <c r="F91" s="43">
        <v>0</v>
      </c>
      <c r="G91" s="43">
        <v>0</v>
      </c>
      <c r="H91" s="43">
        <v>0</v>
      </c>
      <c r="I91" s="95">
        <v>4</v>
      </c>
      <c r="J91" s="100"/>
    </row>
    <row r="92" spans="1:10" s="2" customFormat="1" ht="25.5" customHeight="1" x14ac:dyDescent="0.3">
      <c r="A92" s="44">
        <v>80</v>
      </c>
      <c r="B92" s="81" t="s">
        <v>234</v>
      </c>
      <c r="C92" s="43">
        <v>4</v>
      </c>
      <c r="D92" s="43">
        <v>7</v>
      </c>
      <c r="E92" s="43">
        <v>0</v>
      </c>
      <c r="F92" s="43">
        <v>0</v>
      </c>
      <c r="G92" s="43">
        <v>0</v>
      </c>
      <c r="H92" s="43">
        <v>0</v>
      </c>
      <c r="I92" s="95">
        <v>7</v>
      </c>
      <c r="J92" s="100" t="s">
        <v>113</v>
      </c>
    </row>
    <row r="93" spans="1:10" s="68" customFormat="1" ht="25.5" customHeight="1" x14ac:dyDescent="0.3">
      <c r="A93" s="1">
        <v>81</v>
      </c>
      <c r="B93" s="81" t="s">
        <v>235</v>
      </c>
      <c r="C93" s="43">
        <v>9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95" t="s">
        <v>111</v>
      </c>
      <c r="J93" s="100" t="s">
        <v>113</v>
      </c>
    </row>
    <row r="94" spans="1:10" s="2" customFormat="1" ht="31.5" customHeight="1" x14ac:dyDescent="0.3">
      <c r="A94" s="44">
        <v>82</v>
      </c>
      <c r="B94" s="81" t="s">
        <v>236</v>
      </c>
      <c r="C94" s="43">
        <v>112</v>
      </c>
      <c r="D94" s="43">
        <v>94</v>
      </c>
      <c r="E94" s="43">
        <v>0</v>
      </c>
      <c r="F94" s="43">
        <v>0</v>
      </c>
      <c r="G94" s="43">
        <v>1</v>
      </c>
      <c r="H94" s="43">
        <v>1</v>
      </c>
      <c r="I94" s="95">
        <v>93</v>
      </c>
      <c r="J94" s="100" t="s">
        <v>288</v>
      </c>
    </row>
    <row r="95" spans="1:10" s="2" customFormat="1" ht="27" customHeight="1" x14ac:dyDescent="0.3">
      <c r="A95" s="1">
        <v>83</v>
      </c>
      <c r="B95" s="81" t="s">
        <v>237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95" t="s">
        <v>111</v>
      </c>
      <c r="J95" s="100" t="s">
        <v>113</v>
      </c>
    </row>
    <row r="96" spans="1:10" s="2" customFormat="1" ht="27" customHeight="1" x14ac:dyDescent="0.3">
      <c r="A96" s="44">
        <v>84</v>
      </c>
      <c r="B96" s="81" t="s">
        <v>238</v>
      </c>
      <c r="C96" s="43">
        <v>9</v>
      </c>
      <c r="D96" s="43">
        <v>12</v>
      </c>
      <c r="E96" s="43">
        <v>0</v>
      </c>
      <c r="F96" s="43">
        <v>0</v>
      </c>
      <c r="G96" s="43">
        <v>1</v>
      </c>
      <c r="H96" s="43">
        <v>1</v>
      </c>
      <c r="I96" s="95">
        <v>11</v>
      </c>
      <c r="J96" s="100"/>
    </row>
    <row r="97" spans="1:10" ht="27" customHeight="1" x14ac:dyDescent="0.3">
      <c r="A97" s="58" t="s">
        <v>93</v>
      </c>
      <c r="C97" s="43"/>
      <c r="D97" s="43"/>
      <c r="E97" s="43"/>
      <c r="F97" s="43"/>
      <c r="G97" s="43"/>
      <c r="H97" s="43"/>
      <c r="I97" s="95"/>
      <c r="J97" s="102"/>
    </row>
    <row r="98" spans="1:10" s="46" customFormat="1" ht="27" customHeight="1" x14ac:dyDescent="0.3">
      <c r="A98" s="1">
        <v>85</v>
      </c>
      <c r="B98" s="81" t="s">
        <v>239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95" t="s">
        <v>111</v>
      </c>
      <c r="J98" s="100" t="s">
        <v>113</v>
      </c>
    </row>
    <row r="99" spans="1:10" s="70" customFormat="1" x14ac:dyDescent="0.3">
      <c r="A99" s="1">
        <v>86</v>
      </c>
      <c r="B99" s="81" t="s">
        <v>240</v>
      </c>
      <c r="C99" s="43">
        <v>4</v>
      </c>
      <c r="D99" s="43">
        <v>3</v>
      </c>
      <c r="E99" s="43">
        <v>0</v>
      </c>
      <c r="F99" s="43">
        <v>0</v>
      </c>
      <c r="G99" s="43">
        <v>0</v>
      </c>
      <c r="H99" s="43">
        <v>0</v>
      </c>
      <c r="I99" s="95">
        <v>3</v>
      </c>
      <c r="J99" s="100"/>
    </row>
    <row r="100" spans="1:10" s="2" customFormat="1" ht="15.6" x14ac:dyDescent="0.3">
      <c r="A100" s="46" t="s">
        <v>94</v>
      </c>
      <c r="B100" s="61"/>
      <c r="C100" s="43"/>
      <c r="D100" s="43"/>
      <c r="E100" s="43"/>
      <c r="F100" s="43">
        <v>0</v>
      </c>
      <c r="G100" s="43">
        <v>0</v>
      </c>
      <c r="H100" s="43">
        <v>0</v>
      </c>
      <c r="I100" s="95"/>
      <c r="J100" s="63"/>
    </row>
    <row r="101" spans="1:10" s="2" customFormat="1" ht="28.5" customHeight="1" x14ac:dyDescent="0.3">
      <c r="A101" s="1">
        <v>87</v>
      </c>
      <c r="B101" s="81" t="s">
        <v>241</v>
      </c>
      <c r="C101" s="43">
        <v>0</v>
      </c>
      <c r="D101" s="43">
        <v>15</v>
      </c>
      <c r="E101" s="43">
        <v>0</v>
      </c>
      <c r="F101" s="43">
        <v>0</v>
      </c>
      <c r="G101" s="43">
        <v>0</v>
      </c>
      <c r="H101" s="43">
        <v>0</v>
      </c>
      <c r="I101" s="95">
        <v>15</v>
      </c>
      <c r="J101" s="100" t="s">
        <v>113</v>
      </c>
    </row>
    <row r="102" spans="1:10" s="2" customFormat="1" ht="28.5" customHeight="1" x14ac:dyDescent="0.3">
      <c r="A102" s="1">
        <v>88</v>
      </c>
      <c r="B102" s="81" t="s">
        <v>242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95" t="s">
        <v>111</v>
      </c>
      <c r="J102" s="100" t="s">
        <v>113</v>
      </c>
    </row>
    <row r="103" spans="1:10" s="2" customFormat="1" ht="30" x14ac:dyDescent="0.3">
      <c r="A103" s="1">
        <v>89</v>
      </c>
      <c r="B103" s="81" t="s">
        <v>243</v>
      </c>
      <c r="C103" s="43">
        <v>10</v>
      </c>
      <c r="D103" s="43">
        <v>13</v>
      </c>
      <c r="E103" s="43">
        <v>0</v>
      </c>
      <c r="F103" s="43">
        <v>0</v>
      </c>
      <c r="G103" s="43">
        <v>0</v>
      </c>
      <c r="H103" s="43">
        <v>0</v>
      </c>
      <c r="I103" s="95">
        <v>13</v>
      </c>
      <c r="J103" s="100" t="s">
        <v>113</v>
      </c>
    </row>
    <row r="104" spans="1:10" s="2" customFormat="1" ht="28.5" customHeight="1" x14ac:dyDescent="0.3">
      <c r="A104" s="1">
        <v>90</v>
      </c>
      <c r="B104" s="81" t="s">
        <v>244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95" t="s">
        <v>111</v>
      </c>
      <c r="J104" s="100" t="s">
        <v>113</v>
      </c>
    </row>
    <row r="105" spans="1:10" s="2" customFormat="1" ht="45" x14ac:dyDescent="0.3">
      <c r="A105" s="1">
        <v>91</v>
      </c>
      <c r="B105" s="81" t="s">
        <v>245</v>
      </c>
      <c r="C105" s="43">
        <v>57</v>
      </c>
      <c r="D105" s="43">
        <v>175</v>
      </c>
      <c r="E105" s="43">
        <v>4</v>
      </c>
      <c r="F105" s="43">
        <v>9</v>
      </c>
      <c r="G105" s="43">
        <v>0</v>
      </c>
      <c r="H105" s="43">
        <v>13</v>
      </c>
      <c r="I105" s="95">
        <v>162</v>
      </c>
      <c r="J105" s="100" t="s">
        <v>289</v>
      </c>
    </row>
    <row r="106" spans="1:10" s="2" customFormat="1" x14ac:dyDescent="0.3">
      <c r="A106" s="1">
        <v>92</v>
      </c>
      <c r="B106" s="81" t="s">
        <v>246</v>
      </c>
      <c r="C106" s="43">
        <v>20</v>
      </c>
      <c r="D106" s="43">
        <v>45</v>
      </c>
      <c r="E106" s="43">
        <v>1</v>
      </c>
      <c r="F106" s="43">
        <v>0</v>
      </c>
      <c r="G106" s="43">
        <v>0</v>
      </c>
      <c r="H106" s="43">
        <v>1</v>
      </c>
      <c r="I106" s="95">
        <v>44</v>
      </c>
      <c r="J106" s="111" t="s">
        <v>290</v>
      </c>
    </row>
    <row r="107" spans="1:10" s="70" customFormat="1" ht="30" x14ac:dyDescent="0.3">
      <c r="A107" s="1">
        <v>93</v>
      </c>
      <c r="B107" s="81" t="s">
        <v>247</v>
      </c>
      <c r="C107" s="43">
        <v>0</v>
      </c>
      <c r="D107" s="43">
        <v>2</v>
      </c>
      <c r="E107" s="43">
        <v>0</v>
      </c>
      <c r="F107" s="43">
        <v>0</v>
      </c>
      <c r="G107" s="43">
        <v>0</v>
      </c>
      <c r="H107" s="43">
        <v>0</v>
      </c>
      <c r="I107" s="95">
        <v>2</v>
      </c>
      <c r="J107" s="100" t="s">
        <v>113</v>
      </c>
    </row>
    <row r="108" spans="1:10" s="2" customFormat="1" ht="28.5" customHeight="1" x14ac:dyDescent="0.3">
      <c r="A108" s="1">
        <v>94</v>
      </c>
      <c r="B108" s="81" t="s">
        <v>248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95" t="s">
        <v>111</v>
      </c>
      <c r="J108" s="100" t="s">
        <v>113</v>
      </c>
    </row>
    <row r="109" spans="1:10" s="2" customFormat="1" ht="28.5" customHeight="1" x14ac:dyDescent="0.3">
      <c r="A109" s="1">
        <v>95</v>
      </c>
      <c r="B109" s="81" t="s">
        <v>249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95" t="s">
        <v>111</v>
      </c>
      <c r="J109" s="100" t="s">
        <v>113</v>
      </c>
    </row>
    <row r="110" spans="1:10" s="2" customFormat="1" ht="28.5" customHeight="1" x14ac:dyDescent="0.3">
      <c r="A110" s="1">
        <v>96</v>
      </c>
      <c r="B110" s="81" t="s">
        <v>250</v>
      </c>
      <c r="C110" s="43">
        <v>15</v>
      </c>
      <c r="D110" s="43">
        <v>32</v>
      </c>
      <c r="E110" s="43">
        <v>0</v>
      </c>
      <c r="F110" s="43">
        <v>0</v>
      </c>
      <c r="G110" s="43">
        <v>1</v>
      </c>
      <c r="H110" s="43">
        <v>1</v>
      </c>
      <c r="I110" s="95">
        <v>31</v>
      </c>
      <c r="J110" s="100" t="s">
        <v>131</v>
      </c>
    </row>
    <row r="111" spans="1:10" s="2" customFormat="1" ht="28.5" customHeight="1" x14ac:dyDescent="0.3">
      <c r="A111" s="1">
        <v>97</v>
      </c>
      <c r="B111" s="81" t="s">
        <v>251</v>
      </c>
      <c r="C111" s="43">
        <v>0</v>
      </c>
      <c r="D111" s="43">
        <v>3</v>
      </c>
      <c r="E111" s="43">
        <v>0</v>
      </c>
      <c r="F111" s="43">
        <v>0</v>
      </c>
      <c r="G111" s="43">
        <v>0</v>
      </c>
      <c r="H111" s="43">
        <v>0</v>
      </c>
      <c r="I111" s="95">
        <v>3</v>
      </c>
      <c r="J111" s="100" t="s">
        <v>113</v>
      </c>
    </row>
    <row r="112" spans="1:10" s="2" customFormat="1" ht="28.5" customHeight="1" x14ac:dyDescent="0.3">
      <c r="A112" s="1">
        <v>98</v>
      </c>
      <c r="B112" s="81" t="s">
        <v>252</v>
      </c>
      <c r="C112" s="43">
        <v>1</v>
      </c>
      <c r="D112" s="43">
        <v>4</v>
      </c>
      <c r="E112" s="43">
        <v>0</v>
      </c>
      <c r="F112" s="43">
        <v>0</v>
      </c>
      <c r="G112" s="43">
        <v>0</v>
      </c>
      <c r="H112" s="43">
        <v>0</v>
      </c>
      <c r="I112" s="95">
        <v>4</v>
      </c>
      <c r="J112" s="100" t="s">
        <v>113</v>
      </c>
    </row>
    <row r="113" spans="1:10" s="24" customFormat="1" ht="30" x14ac:dyDescent="0.3">
      <c r="A113" s="1">
        <v>99</v>
      </c>
      <c r="B113" s="81" t="s">
        <v>253</v>
      </c>
      <c r="C113" s="43">
        <v>13</v>
      </c>
      <c r="D113" s="43">
        <v>13</v>
      </c>
      <c r="E113" s="43">
        <v>0</v>
      </c>
      <c r="F113" s="43">
        <v>0</v>
      </c>
      <c r="G113" s="43">
        <v>0</v>
      </c>
      <c r="H113" s="43">
        <v>0</v>
      </c>
      <c r="I113" s="95">
        <v>13</v>
      </c>
      <c r="J113" s="100" t="s">
        <v>113</v>
      </c>
    </row>
    <row r="114" spans="1:10" s="24" customFormat="1" ht="28.5" customHeight="1" x14ac:dyDescent="0.3">
      <c r="A114" s="1">
        <v>100</v>
      </c>
      <c r="B114" s="81" t="s">
        <v>254</v>
      </c>
      <c r="C114" s="43">
        <v>0</v>
      </c>
      <c r="D114" s="43">
        <v>0</v>
      </c>
      <c r="E114" s="43">
        <v>0</v>
      </c>
      <c r="F114" s="43">
        <v>0</v>
      </c>
      <c r="G114" s="43">
        <v>0</v>
      </c>
      <c r="H114" s="43">
        <v>0</v>
      </c>
      <c r="I114" s="95" t="s">
        <v>111</v>
      </c>
      <c r="J114" s="100" t="s">
        <v>113</v>
      </c>
    </row>
    <row r="115" spans="1:10" s="24" customFormat="1" ht="30" x14ac:dyDescent="0.3">
      <c r="A115" s="1">
        <v>101</v>
      </c>
      <c r="B115" s="81" t="s">
        <v>255</v>
      </c>
      <c r="C115" s="43">
        <v>0</v>
      </c>
      <c r="D115" s="43">
        <v>0</v>
      </c>
      <c r="E115" s="43">
        <v>0</v>
      </c>
      <c r="F115" s="43">
        <v>0</v>
      </c>
      <c r="G115" s="43">
        <v>0</v>
      </c>
      <c r="H115" s="43">
        <v>0</v>
      </c>
      <c r="I115" s="95" t="s">
        <v>111</v>
      </c>
      <c r="J115" s="100" t="s">
        <v>113</v>
      </c>
    </row>
    <row r="116" spans="1:10" s="2" customFormat="1" ht="25.5" customHeight="1" x14ac:dyDescent="0.3">
      <c r="A116" s="1">
        <v>102</v>
      </c>
      <c r="B116" s="81" t="s">
        <v>256</v>
      </c>
      <c r="C116" s="43">
        <v>0</v>
      </c>
      <c r="D116" s="43">
        <v>0</v>
      </c>
      <c r="E116" s="43">
        <v>0</v>
      </c>
      <c r="F116" s="43">
        <v>0</v>
      </c>
      <c r="G116" s="43">
        <v>0</v>
      </c>
      <c r="H116" s="43">
        <v>0</v>
      </c>
      <c r="I116" s="95" t="s">
        <v>111</v>
      </c>
      <c r="J116" s="100" t="s">
        <v>113</v>
      </c>
    </row>
    <row r="117" spans="1:10" s="2" customFormat="1" ht="25.5" customHeight="1" x14ac:dyDescent="0.3">
      <c r="A117" s="1">
        <v>103</v>
      </c>
      <c r="B117" s="81" t="s">
        <v>257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95" t="s">
        <v>111</v>
      </c>
      <c r="J117" s="100" t="s">
        <v>113</v>
      </c>
    </row>
    <row r="118" spans="1:10" s="2" customFormat="1" ht="25.5" customHeight="1" x14ac:dyDescent="0.3">
      <c r="A118" s="1">
        <v>104</v>
      </c>
      <c r="B118" s="81" t="s">
        <v>258</v>
      </c>
      <c r="C118" s="43">
        <v>0</v>
      </c>
      <c r="D118" s="43">
        <v>1</v>
      </c>
      <c r="E118" s="43">
        <v>0</v>
      </c>
      <c r="F118" s="43">
        <v>0</v>
      </c>
      <c r="G118" s="43">
        <v>0</v>
      </c>
      <c r="H118" s="43">
        <v>0</v>
      </c>
      <c r="I118" s="95">
        <v>1</v>
      </c>
      <c r="J118" s="100" t="s">
        <v>113</v>
      </c>
    </row>
    <row r="119" spans="1:10" s="2" customFormat="1" ht="25.5" customHeight="1" x14ac:dyDescent="0.3">
      <c r="A119" s="1">
        <v>105</v>
      </c>
      <c r="B119" s="81" t="s">
        <v>259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95" t="s">
        <v>111</v>
      </c>
      <c r="J119" s="100" t="s">
        <v>113</v>
      </c>
    </row>
    <row r="120" spans="1:10" s="2" customFormat="1" ht="25.5" customHeight="1" x14ac:dyDescent="0.3">
      <c r="A120" s="1">
        <v>106</v>
      </c>
      <c r="B120" s="81" t="s">
        <v>260</v>
      </c>
      <c r="C120" s="43">
        <v>2</v>
      </c>
      <c r="D120" s="43">
        <v>18</v>
      </c>
      <c r="E120" s="43">
        <v>0</v>
      </c>
      <c r="F120" s="43">
        <v>0</v>
      </c>
      <c r="G120" s="43">
        <v>4</v>
      </c>
      <c r="H120" s="43">
        <v>4</v>
      </c>
      <c r="I120" s="95">
        <v>14</v>
      </c>
      <c r="J120" s="100"/>
    </row>
    <row r="121" spans="1:10" s="72" customFormat="1" ht="24.9" customHeight="1" x14ac:dyDescent="0.3">
      <c r="A121" s="1">
        <v>107</v>
      </c>
      <c r="B121" s="81" t="s">
        <v>261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95" t="s">
        <v>111</v>
      </c>
      <c r="J121" s="100" t="s">
        <v>135</v>
      </c>
    </row>
    <row r="122" spans="1:10" s="10" customFormat="1" ht="24.9" customHeight="1" x14ac:dyDescent="0.3">
      <c r="A122" s="43">
        <v>108</v>
      </c>
      <c r="B122" s="81" t="s">
        <v>262</v>
      </c>
      <c r="C122" s="43">
        <v>1</v>
      </c>
      <c r="D122" s="43">
        <v>2</v>
      </c>
      <c r="E122" s="43">
        <v>0</v>
      </c>
      <c r="F122" s="43">
        <v>0</v>
      </c>
      <c r="G122" s="43">
        <v>0</v>
      </c>
      <c r="H122" s="43">
        <v>0</v>
      </c>
      <c r="I122" s="95">
        <v>2</v>
      </c>
      <c r="J122" s="100" t="s">
        <v>113</v>
      </c>
    </row>
    <row r="123" spans="1:10" s="10" customFormat="1" ht="24.9" customHeight="1" x14ac:dyDescent="0.3">
      <c r="A123" s="43">
        <v>109</v>
      </c>
      <c r="B123" s="81" t="s">
        <v>263</v>
      </c>
      <c r="C123" s="43">
        <v>0</v>
      </c>
      <c r="D123" s="43">
        <v>6</v>
      </c>
      <c r="E123" s="43">
        <v>0</v>
      </c>
      <c r="F123" s="43">
        <v>0</v>
      </c>
      <c r="G123" s="43">
        <v>0</v>
      </c>
      <c r="H123" s="43">
        <v>0</v>
      </c>
      <c r="I123" s="95">
        <v>6</v>
      </c>
      <c r="J123" s="100" t="s">
        <v>113</v>
      </c>
    </row>
    <row r="124" spans="1:10" s="10" customFormat="1" ht="24.9" customHeight="1" x14ac:dyDescent="0.3">
      <c r="A124" s="43">
        <v>110</v>
      </c>
      <c r="B124" s="81" t="s">
        <v>264</v>
      </c>
      <c r="C124" s="43">
        <v>0</v>
      </c>
      <c r="D124" s="43">
        <v>29</v>
      </c>
      <c r="E124" s="43">
        <v>0</v>
      </c>
      <c r="F124" s="43">
        <v>0</v>
      </c>
      <c r="G124" s="43">
        <v>0</v>
      </c>
      <c r="H124" s="43">
        <v>0</v>
      </c>
      <c r="I124" s="95">
        <v>29</v>
      </c>
      <c r="J124" s="100" t="s">
        <v>113</v>
      </c>
    </row>
    <row r="125" spans="1:10" s="10" customFormat="1" ht="24.9" customHeight="1" x14ac:dyDescent="0.3">
      <c r="A125" s="43">
        <v>111</v>
      </c>
      <c r="B125" s="81" t="s">
        <v>265</v>
      </c>
      <c r="C125" s="43">
        <v>3</v>
      </c>
      <c r="D125" s="43">
        <v>6</v>
      </c>
      <c r="E125" s="43">
        <v>0</v>
      </c>
      <c r="F125" s="43">
        <v>0</v>
      </c>
      <c r="G125" s="43">
        <v>0</v>
      </c>
      <c r="H125" s="43">
        <v>0</v>
      </c>
      <c r="I125" s="95">
        <v>6</v>
      </c>
      <c r="J125" s="100" t="s">
        <v>113</v>
      </c>
    </row>
    <row r="126" spans="1:10" s="10" customFormat="1" ht="24.9" customHeight="1" x14ac:dyDescent="0.3">
      <c r="A126" s="43">
        <v>112</v>
      </c>
      <c r="B126" s="81" t="s">
        <v>266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95" t="s">
        <v>111</v>
      </c>
      <c r="J126" s="100" t="s">
        <v>113</v>
      </c>
    </row>
    <row r="127" spans="1:10" s="10" customFormat="1" ht="24.9" customHeight="1" x14ac:dyDescent="0.3">
      <c r="A127" s="43">
        <v>113</v>
      </c>
      <c r="B127" s="81" t="s">
        <v>267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95" t="s">
        <v>111</v>
      </c>
      <c r="J127" s="100" t="s">
        <v>113</v>
      </c>
    </row>
    <row r="128" spans="1:10" s="10" customFormat="1" ht="24.9" customHeight="1" x14ac:dyDescent="0.3">
      <c r="A128" s="43">
        <v>114</v>
      </c>
      <c r="B128" s="81" t="s">
        <v>268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95" t="s">
        <v>111</v>
      </c>
      <c r="J128" s="100" t="s">
        <v>113</v>
      </c>
    </row>
    <row r="129" spans="1:10" s="10" customFormat="1" ht="24.9" customHeight="1" x14ac:dyDescent="0.3">
      <c r="A129" s="43">
        <v>115</v>
      </c>
      <c r="B129" s="81" t="s">
        <v>269</v>
      </c>
      <c r="C129" s="43">
        <v>7</v>
      </c>
      <c r="D129" s="43">
        <v>3</v>
      </c>
      <c r="E129" s="43">
        <v>0</v>
      </c>
      <c r="F129" s="43">
        <v>0</v>
      </c>
      <c r="G129" s="43">
        <v>0</v>
      </c>
      <c r="H129" s="43">
        <v>0</v>
      </c>
      <c r="I129" s="95">
        <v>3</v>
      </c>
      <c r="J129" s="100" t="s">
        <v>113</v>
      </c>
    </row>
    <row r="130" spans="1:10" s="10" customFormat="1" ht="24.9" customHeight="1" x14ac:dyDescent="0.3">
      <c r="A130" s="43">
        <v>116</v>
      </c>
      <c r="B130" s="81" t="s">
        <v>270</v>
      </c>
      <c r="C130" s="43">
        <v>3</v>
      </c>
      <c r="D130" s="43">
        <v>6</v>
      </c>
      <c r="E130" s="43">
        <v>0</v>
      </c>
      <c r="F130" s="43">
        <v>0</v>
      </c>
      <c r="G130" s="43">
        <v>0</v>
      </c>
      <c r="H130" s="43">
        <v>0</v>
      </c>
      <c r="I130" s="95">
        <v>6</v>
      </c>
      <c r="J130" s="100" t="s">
        <v>113</v>
      </c>
    </row>
    <row r="131" spans="1:10" s="10" customFormat="1" ht="24.9" customHeight="1" x14ac:dyDescent="0.3">
      <c r="A131" s="43">
        <v>117</v>
      </c>
      <c r="B131" s="81" t="s">
        <v>271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95" t="s">
        <v>111</v>
      </c>
      <c r="J131" s="100" t="s">
        <v>113</v>
      </c>
    </row>
    <row r="132" spans="1:10" s="10" customFormat="1" ht="24.9" customHeight="1" x14ac:dyDescent="0.3">
      <c r="A132" s="43">
        <v>118</v>
      </c>
      <c r="B132" s="81" t="s">
        <v>272</v>
      </c>
      <c r="C132" s="43">
        <v>2</v>
      </c>
      <c r="D132" s="43">
        <v>2</v>
      </c>
      <c r="E132" s="43">
        <v>0</v>
      </c>
      <c r="F132" s="43">
        <v>0</v>
      </c>
      <c r="G132" s="43">
        <v>0</v>
      </c>
      <c r="H132" s="43">
        <v>0</v>
      </c>
      <c r="I132" s="95">
        <v>2</v>
      </c>
      <c r="J132" s="100" t="s">
        <v>113</v>
      </c>
    </row>
    <row r="133" spans="1:10" s="10" customFormat="1" ht="24.9" customHeight="1" x14ac:dyDescent="0.3">
      <c r="A133" s="43">
        <v>119</v>
      </c>
      <c r="B133" s="81" t="s">
        <v>273</v>
      </c>
      <c r="C133" s="43">
        <v>13</v>
      </c>
      <c r="D133" s="43">
        <v>12</v>
      </c>
      <c r="E133" s="43">
        <v>0</v>
      </c>
      <c r="F133" s="43">
        <v>0</v>
      </c>
      <c r="G133" s="43">
        <v>1</v>
      </c>
      <c r="H133" s="43">
        <v>1</v>
      </c>
      <c r="I133" s="95">
        <v>11</v>
      </c>
      <c r="J133" s="103" t="s">
        <v>136</v>
      </c>
    </row>
    <row r="134" spans="1:10" s="10" customFormat="1" ht="35.25" customHeight="1" x14ac:dyDescent="0.3">
      <c r="A134" s="43">
        <v>120</v>
      </c>
      <c r="B134" s="81" t="s">
        <v>274</v>
      </c>
      <c r="C134" s="43">
        <v>32</v>
      </c>
      <c r="D134" s="43">
        <v>32</v>
      </c>
      <c r="E134" s="43">
        <v>0</v>
      </c>
      <c r="F134" s="43">
        <v>0</v>
      </c>
      <c r="G134" s="43">
        <v>3</v>
      </c>
      <c r="H134" s="43">
        <v>3</v>
      </c>
      <c r="I134" s="95">
        <v>29</v>
      </c>
      <c r="J134" s="100" t="s">
        <v>291</v>
      </c>
    </row>
    <row r="135" spans="1:10" s="10" customFormat="1" ht="24.9" customHeight="1" x14ac:dyDescent="0.3">
      <c r="A135" s="43">
        <v>121</v>
      </c>
      <c r="B135" s="81" t="s">
        <v>275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95" t="s">
        <v>111</v>
      </c>
      <c r="J135" s="100" t="s">
        <v>113</v>
      </c>
    </row>
    <row r="136" spans="1:10" s="10" customFormat="1" ht="24.9" customHeight="1" x14ac:dyDescent="0.3">
      <c r="A136" s="43">
        <v>122</v>
      </c>
      <c r="B136" s="81" t="s">
        <v>276</v>
      </c>
      <c r="C136" s="43">
        <v>0</v>
      </c>
      <c r="D136" s="43">
        <v>0</v>
      </c>
      <c r="E136" s="43">
        <v>0</v>
      </c>
      <c r="F136" s="43">
        <v>0</v>
      </c>
      <c r="G136" s="43">
        <v>0</v>
      </c>
      <c r="H136" s="43">
        <v>0</v>
      </c>
      <c r="I136" s="95" t="s">
        <v>111</v>
      </c>
      <c r="J136" s="100" t="s">
        <v>113</v>
      </c>
    </row>
    <row r="137" spans="1:10" s="10" customFormat="1" ht="24.9" customHeight="1" x14ac:dyDescent="0.3">
      <c r="A137" s="43">
        <v>123</v>
      </c>
      <c r="B137" s="81" t="s">
        <v>277</v>
      </c>
      <c r="C137" s="43">
        <v>0</v>
      </c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95" t="s">
        <v>111</v>
      </c>
      <c r="J137" s="100" t="s">
        <v>113</v>
      </c>
    </row>
    <row r="138" spans="1:10" s="10" customFormat="1" ht="24.9" customHeight="1" x14ac:dyDescent="0.3">
      <c r="A138" s="43">
        <v>124</v>
      </c>
      <c r="B138" s="81" t="s">
        <v>278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95" t="s">
        <v>111</v>
      </c>
      <c r="J138" s="100" t="s">
        <v>113</v>
      </c>
    </row>
    <row r="139" spans="1:10" s="10" customFormat="1" ht="30" x14ac:dyDescent="0.3">
      <c r="A139" s="43">
        <v>125</v>
      </c>
      <c r="B139" s="81" t="s">
        <v>279</v>
      </c>
      <c r="C139" s="43">
        <v>1</v>
      </c>
      <c r="D139" s="43">
        <v>1</v>
      </c>
      <c r="E139" s="43">
        <v>0</v>
      </c>
      <c r="F139" s="43">
        <v>0</v>
      </c>
      <c r="G139" s="43">
        <v>0</v>
      </c>
      <c r="H139" s="43">
        <v>0</v>
      </c>
      <c r="I139" s="95">
        <v>1</v>
      </c>
      <c r="J139" s="100" t="s">
        <v>113</v>
      </c>
    </row>
  </sheetData>
  <mergeCells count="5">
    <mergeCell ref="A3:J3"/>
    <mergeCell ref="A1:J2"/>
    <mergeCell ref="E4:H4"/>
    <mergeCell ref="C4:D4"/>
    <mergeCell ref="A75:B75"/>
  </mergeCells>
  <phoneticPr fontId="19" type="noConversion"/>
  <conditionalFormatting sqref="A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pageMargins left="0.25" right="0" top="0.25" bottom="0.25" header="0.31496062992126" footer="0.31496062992126"/>
  <pageSetup paperSize="5" scale="57" orientation="portrait" horizontalDpi="4294967293" r:id="rId1"/>
  <rowBreaks count="3" manualBreakCount="3">
    <brk id="29" max="34" man="1"/>
    <brk id="70" max="34" man="1"/>
    <brk id="96" max="3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R230"/>
  <sheetViews>
    <sheetView view="pageBreakPreview" zoomScale="70" zoomScaleNormal="100" zoomScaleSheetLayoutView="70" workbookViewId="0">
      <pane ySplit="4" topLeftCell="A195" activePane="bottomLeft" state="frozen"/>
      <selection activeCell="C137" sqref="C137"/>
      <selection pane="bottomLeft" activeCell="A231" sqref="A231:XFD231"/>
    </sheetView>
  </sheetViews>
  <sheetFormatPr defaultColWidth="9.109375" defaultRowHeight="15" x14ac:dyDescent="0.25"/>
  <cols>
    <col min="1" max="1" width="7.88671875" style="9" customWidth="1"/>
    <col min="2" max="2" width="28.88671875" style="3" bestFit="1" customWidth="1"/>
    <col min="3" max="3" width="9.88671875" style="8" customWidth="1"/>
    <col min="4" max="4" width="7.88671875" style="8" customWidth="1"/>
    <col min="5" max="5" width="6.6640625" style="8" customWidth="1"/>
    <col min="6" max="7" width="5" style="8" customWidth="1"/>
    <col min="8" max="9" width="9" style="8" customWidth="1"/>
    <col min="10" max="10" width="49" style="9" customWidth="1"/>
    <col min="11" max="16384" width="9.109375" style="8"/>
  </cols>
  <sheetData>
    <row r="1" spans="1:18" ht="24" customHeight="1" x14ac:dyDescent="0.25">
      <c r="A1" s="246" t="s">
        <v>124</v>
      </c>
      <c r="B1" s="246"/>
      <c r="C1" s="246"/>
      <c r="D1" s="246"/>
      <c r="E1" s="246"/>
      <c r="F1" s="246"/>
      <c r="G1" s="246"/>
      <c r="H1" s="246"/>
      <c r="I1" s="246"/>
      <c r="J1" s="246"/>
    </row>
    <row r="2" spans="1:18" ht="36.75" customHeight="1" x14ac:dyDescent="0.25">
      <c r="A2" s="243" t="s">
        <v>105</v>
      </c>
      <c r="B2" s="243"/>
      <c r="C2" s="243"/>
      <c r="D2" s="243"/>
      <c r="E2" s="243"/>
      <c r="F2" s="243"/>
      <c r="G2" s="243"/>
      <c r="H2" s="243"/>
      <c r="I2" s="243"/>
      <c r="J2" s="243"/>
    </row>
    <row r="3" spans="1:18" s="6" customFormat="1" ht="46.8" x14ac:dyDescent="0.35">
      <c r="A3" s="48" t="s">
        <v>80</v>
      </c>
      <c r="B3" s="48" t="s">
        <v>14</v>
      </c>
      <c r="C3" s="52" t="s">
        <v>17</v>
      </c>
      <c r="D3" s="52"/>
      <c r="E3" s="244" t="s">
        <v>110</v>
      </c>
      <c r="F3" s="244"/>
      <c r="G3" s="244"/>
      <c r="H3" s="48" t="s">
        <v>18</v>
      </c>
      <c r="I3" s="60" t="s">
        <v>31</v>
      </c>
      <c r="J3" s="48" t="s">
        <v>107</v>
      </c>
      <c r="K3" s="130"/>
      <c r="L3" s="130"/>
      <c r="M3" s="130"/>
      <c r="N3" s="130"/>
      <c r="O3" s="130"/>
      <c r="P3" s="130"/>
      <c r="Q3" s="130"/>
      <c r="R3" s="130"/>
    </row>
    <row r="4" spans="1:18" s="6" customFormat="1" ht="28.5" customHeight="1" x14ac:dyDescent="0.25">
      <c r="A4" s="48"/>
      <c r="B4" s="48"/>
      <c r="C4" s="67" t="s">
        <v>23</v>
      </c>
      <c r="D4" s="67" t="s">
        <v>24</v>
      </c>
      <c r="E4" s="60" t="s">
        <v>32</v>
      </c>
      <c r="F4" s="60" t="s">
        <v>33</v>
      </c>
      <c r="G4" s="60" t="s">
        <v>36</v>
      </c>
      <c r="H4" s="42"/>
      <c r="I4" s="52"/>
      <c r="J4" s="52"/>
    </row>
    <row r="5" spans="1:18" ht="26.25" customHeight="1" x14ac:dyDescent="0.25">
      <c r="A5" s="1" t="s">
        <v>1</v>
      </c>
      <c r="B5" s="44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19" t="s">
        <v>10</v>
      </c>
    </row>
    <row r="6" spans="1:18" ht="24" customHeight="1" x14ac:dyDescent="0.25">
      <c r="A6" s="241" t="s">
        <v>95</v>
      </c>
      <c r="B6" s="242"/>
      <c r="C6" s="242"/>
      <c r="D6" s="242"/>
      <c r="E6" s="242"/>
      <c r="F6" s="242"/>
      <c r="G6" s="242"/>
      <c r="H6" s="242"/>
      <c r="I6" s="242"/>
      <c r="J6" s="245"/>
    </row>
    <row r="7" spans="1:18" ht="24" customHeight="1" x14ac:dyDescent="0.25">
      <c r="A7" s="65" t="s">
        <v>96</v>
      </c>
      <c r="B7" s="66"/>
      <c r="C7" s="66"/>
      <c r="D7" s="66"/>
      <c r="E7" s="66"/>
      <c r="F7" s="66"/>
      <c r="G7" s="66"/>
      <c r="H7" s="66"/>
      <c r="I7" s="66"/>
      <c r="J7" s="62"/>
    </row>
    <row r="8" spans="1:18" s="30" customFormat="1" ht="62.25" customHeight="1" x14ac:dyDescent="0.3">
      <c r="A8" s="67">
        <v>1</v>
      </c>
      <c r="B8" s="93" t="s">
        <v>292</v>
      </c>
      <c r="C8" s="43">
        <v>16</v>
      </c>
      <c r="D8" s="43">
        <v>10</v>
      </c>
      <c r="E8" s="43">
        <v>1</v>
      </c>
      <c r="F8" s="43">
        <v>0</v>
      </c>
      <c r="G8" s="43">
        <v>1</v>
      </c>
      <c r="H8" s="43">
        <v>2</v>
      </c>
      <c r="I8" s="95">
        <v>8</v>
      </c>
      <c r="J8" s="107" t="s">
        <v>137</v>
      </c>
    </row>
    <row r="9" spans="1:18" s="73" customFormat="1" ht="51.75" customHeight="1" x14ac:dyDescent="0.25">
      <c r="A9" s="1">
        <v>2</v>
      </c>
      <c r="B9" s="93" t="s">
        <v>293</v>
      </c>
      <c r="C9" s="43">
        <v>11</v>
      </c>
      <c r="D9" s="43">
        <v>14</v>
      </c>
      <c r="E9" s="43">
        <v>0</v>
      </c>
      <c r="F9" s="43">
        <v>0</v>
      </c>
      <c r="G9" s="43">
        <v>1</v>
      </c>
      <c r="H9" s="43">
        <v>1</v>
      </c>
      <c r="I9" s="95">
        <v>13</v>
      </c>
      <c r="J9" s="107" t="s">
        <v>138</v>
      </c>
    </row>
    <row r="10" spans="1:18" s="30" customFormat="1" ht="63.75" customHeight="1" x14ac:dyDescent="0.3">
      <c r="A10" s="67">
        <v>3</v>
      </c>
      <c r="B10" s="93" t="s">
        <v>294</v>
      </c>
      <c r="C10" s="43">
        <v>11</v>
      </c>
      <c r="D10" s="43">
        <v>13</v>
      </c>
      <c r="E10" s="43">
        <v>2</v>
      </c>
      <c r="F10" s="43">
        <v>0</v>
      </c>
      <c r="G10" s="43">
        <v>3</v>
      </c>
      <c r="H10" s="43">
        <v>5</v>
      </c>
      <c r="I10" s="95">
        <v>8</v>
      </c>
      <c r="J10" s="107" t="s">
        <v>503</v>
      </c>
    </row>
    <row r="11" spans="1:18" ht="20.25" customHeight="1" x14ac:dyDescent="0.25">
      <c r="A11" s="1">
        <v>4</v>
      </c>
      <c r="B11" s="93" t="s">
        <v>295</v>
      </c>
      <c r="C11" s="43">
        <v>1</v>
      </c>
      <c r="D11" s="43">
        <v>9</v>
      </c>
      <c r="E11" s="43">
        <v>0</v>
      </c>
      <c r="F11" s="43">
        <v>0</v>
      </c>
      <c r="G11" s="43">
        <v>1</v>
      </c>
      <c r="H11" s="43">
        <v>1</v>
      </c>
      <c r="I11" s="95">
        <v>8</v>
      </c>
      <c r="J11" s="107" t="s">
        <v>115</v>
      </c>
    </row>
    <row r="12" spans="1:18" ht="26.25" customHeight="1" x14ac:dyDescent="0.25">
      <c r="A12" s="1">
        <v>5</v>
      </c>
      <c r="B12" s="93" t="s">
        <v>296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95" t="s">
        <v>111</v>
      </c>
      <c r="J12" s="123"/>
    </row>
    <row r="13" spans="1:18" ht="26.25" customHeight="1" x14ac:dyDescent="0.25">
      <c r="A13" s="46" t="s">
        <v>83</v>
      </c>
      <c r="B13" s="61"/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95" t="s">
        <v>111</v>
      </c>
      <c r="J13" s="123"/>
    </row>
    <row r="14" spans="1:18" s="73" customFormat="1" ht="23.25" customHeight="1" x14ac:dyDescent="0.25">
      <c r="A14" s="44">
        <v>6</v>
      </c>
      <c r="B14" s="82" t="s">
        <v>297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95" t="s">
        <v>111</v>
      </c>
      <c r="J14" s="123"/>
    </row>
    <row r="15" spans="1:18" s="73" customFormat="1" ht="23.25" customHeight="1" x14ac:dyDescent="0.25">
      <c r="A15" s="44">
        <v>7</v>
      </c>
      <c r="B15" s="82" t="s">
        <v>298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95" t="s">
        <v>111</v>
      </c>
      <c r="J15" s="123"/>
    </row>
    <row r="16" spans="1:18" ht="26.25" customHeight="1" x14ac:dyDescent="0.25">
      <c r="A16" s="46" t="s">
        <v>82</v>
      </c>
      <c r="B16" s="61"/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95" t="s">
        <v>111</v>
      </c>
      <c r="J16" s="123"/>
    </row>
    <row r="17" spans="1:10" s="74" customFormat="1" ht="66.75" customHeight="1" x14ac:dyDescent="0.3">
      <c r="A17" s="1">
        <v>8</v>
      </c>
      <c r="B17" s="82" t="s">
        <v>299</v>
      </c>
      <c r="C17" s="43">
        <v>13</v>
      </c>
      <c r="D17" s="43">
        <v>19</v>
      </c>
      <c r="E17" s="43">
        <v>0</v>
      </c>
      <c r="F17" s="43">
        <v>1</v>
      </c>
      <c r="G17" s="43">
        <v>0</v>
      </c>
      <c r="H17" s="43">
        <v>1</v>
      </c>
      <c r="I17" s="95">
        <v>18</v>
      </c>
      <c r="J17" s="131" t="s">
        <v>504</v>
      </c>
    </row>
    <row r="18" spans="1:10" s="91" customFormat="1" ht="93" customHeight="1" x14ac:dyDescent="0.3">
      <c r="A18" s="84">
        <v>9</v>
      </c>
      <c r="B18" s="82" t="s">
        <v>300</v>
      </c>
      <c r="C18" s="43">
        <v>38</v>
      </c>
      <c r="D18" s="43">
        <v>39</v>
      </c>
      <c r="E18" s="43">
        <v>1</v>
      </c>
      <c r="F18" s="43">
        <v>0</v>
      </c>
      <c r="G18" s="43">
        <v>2</v>
      </c>
      <c r="H18" s="43">
        <v>3</v>
      </c>
      <c r="I18" s="95">
        <v>36</v>
      </c>
      <c r="J18" s="107" t="s">
        <v>151</v>
      </c>
    </row>
    <row r="19" spans="1:10" ht="26.25" customHeight="1" x14ac:dyDescent="0.25">
      <c r="A19" s="1">
        <v>10</v>
      </c>
      <c r="B19" s="82" t="s">
        <v>301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95" t="s">
        <v>111</v>
      </c>
      <c r="J19" s="123"/>
    </row>
    <row r="20" spans="1:10" ht="34.5" customHeight="1" x14ac:dyDescent="0.25">
      <c r="A20" s="1">
        <v>11</v>
      </c>
      <c r="B20" s="82" t="s">
        <v>302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95" t="s">
        <v>111</v>
      </c>
      <c r="J20" s="123"/>
    </row>
    <row r="21" spans="1:10" ht="30" x14ac:dyDescent="0.25">
      <c r="A21" s="1">
        <v>12</v>
      </c>
      <c r="B21" s="82" t="s">
        <v>303</v>
      </c>
      <c r="C21" s="43">
        <v>2</v>
      </c>
      <c r="D21" s="43">
        <v>2</v>
      </c>
      <c r="E21" s="43">
        <v>0</v>
      </c>
      <c r="F21" s="43">
        <v>0</v>
      </c>
      <c r="G21" s="43">
        <v>1</v>
      </c>
      <c r="H21" s="43">
        <v>1</v>
      </c>
      <c r="I21" s="95">
        <v>1</v>
      </c>
      <c r="J21" s="107" t="s">
        <v>505</v>
      </c>
    </row>
    <row r="22" spans="1:10" ht="23.25" customHeight="1" x14ac:dyDescent="0.25">
      <c r="A22" s="1">
        <v>13</v>
      </c>
      <c r="B22" s="82" t="s">
        <v>304</v>
      </c>
      <c r="C22" s="43">
        <v>1</v>
      </c>
      <c r="D22" s="43">
        <v>2</v>
      </c>
      <c r="E22" s="43">
        <v>0</v>
      </c>
      <c r="F22" s="43">
        <v>0</v>
      </c>
      <c r="G22" s="43">
        <v>0</v>
      </c>
      <c r="H22" s="43">
        <v>0</v>
      </c>
      <c r="I22" s="95">
        <v>2</v>
      </c>
      <c r="J22" s="123"/>
    </row>
    <row r="23" spans="1:10" s="92" customFormat="1" ht="87" customHeight="1" x14ac:dyDescent="0.3">
      <c r="A23" s="60">
        <v>14</v>
      </c>
      <c r="B23" s="82" t="s">
        <v>305</v>
      </c>
      <c r="C23" s="43">
        <v>6</v>
      </c>
      <c r="D23" s="43">
        <v>13</v>
      </c>
      <c r="E23" s="43">
        <v>1</v>
      </c>
      <c r="F23" s="43">
        <v>0</v>
      </c>
      <c r="G23" s="43">
        <v>1</v>
      </c>
      <c r="H23" s="43">
        <v>2</v>
      </c>
      <c r="I23" s="95">
        <v>11</v>
      </c>
      <c r="J23" s="107" t="s">
        <v>506</v>
      </c>
    </row>
    <row r="24" spans="1:10" s="55" customFormat="1" ht="42.75" customHeight="1" x14ac:dyDescent="0.3">
      <c r="A24" s="1">
        <v>15</v>
      </c>
      <c r="B24" s="82" t="s">
        <v>306</v>
      </c>
      <c r="C24" s="43">
        <v>1</v>
      </c>
      <c r="D24" s="43">
        <v>2</v>
      </c>
      <c r="E24" s="43">
        <v>1</v>
      </c>
      <c r="F24" s="43">
        <v>0</v>
      </c>
      <c r="G24" s="43">
        <v>0</v>
      </c>
      <c r="H24" s="43">
        <v>1</v>
      </c>
      <c r="I24" s="95">
        <v>1</v>
      </c>
      <c r="J24" s="107" t="s">
        <v>152</v>
      </c>
    </row>
    <row r="25" spans="1:10" ht="33" customHeight="1" x14ac:dyDescent="0.25">
      <c r="A25" s="1">
        <v>16</v>
      </c>
      <c r="B25" s="82" t="s">
        <v>307</v>
      </c>
      <c r="C25" s="43">
        <v>0</v>
      </c>
      <c r="D25" s="43">
        <v>2</v>
      </c>
      <c r="E25" s="43">
        <v>0</v>
      </c>
      <c r="F25" s="43">
        <v>0</v>
      </c>
      <c r="G25" s="43">
        <v>0</v>
      </c>
      <c r="H25" s="43">
        <v>0</v>
      </c>
      <c r="I25" s="95">
        <v>2</v>
      </c>
      <c r="J25" s="123"/>
    </row>
    <row r="26" spans="1:10" ht="15.75" customHeight="1" x14ac:dyDescent="0.25">
      <c r="A26" s="46" t="s">
        <v>97</v>
      </c>
      <c r="B26" s="61"/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95" t="s">
        <v>111</v>
      </c>
      <c r="J26" s="123"/>
    </row>
    <row r="27" spans="1:10" s="30" customFormat="1" ht="46.5" customHeight="1" x14ac:dyDescent="0.3">
      <c r="A27" s="67">
        <v>17</v>
      </c>
      <c r="B27" s="85" t="s">
        <v>308</v>
      </c>
      <c r="C27" s="43">
        <v>0</v>
      </c>
      <c r="D27" s="43">
        <v>2</v>
      </c>
      <c r="E27" s="43">
        <v>1</v>
      </c>
      <c r="F27" s="43">
        <v>0</v>
      </c>
      <c r="G27" s="43">
        <v>1</v>
      </c>
      <c r="H27" s="43">
        <v>2</v>
      </c>
      <c r="I27" s="95">
        <v>0</v>
      </c>
      <c r="J27" s="107" t="s">
        <v>153</v>
      </c>
    </row>
    <row r="28" spans="1:10" s="30" customFormat="1" ht="71.25" customHeight="1" x14ac:dyDescent="0.3">
      <c r="A28" s="60">
        <v>18</v>
      </c>
      <c r="B28" s="85" t="s">
        <v>309</v>
      </c>
      <c r="C28" s="43">
        <v>13</v>
      </c>
      <c r="D28" s="43">
        <v>13</v>
      </c>
      <c r="E28" s="43">
        <v>1</v>
      </c>
      <c r="F28" s="43">
        <v>0</v>
      </c>
      <c r="G28" s="43">
        <v>0</v>
      </c>
      <c r="H28" s="43">
        <v>1</v>
      </c>
      <c r="I28" s="95">
        <v>12</v>
      </c>
      <c r="J28" s="108" t="s">
        <v>154</v>
      </c>
    </row>
    <row r="29" spans="1:10" s="2" customFormat="1" ht="15.6" x14ac:dyDescent="0.3">
      <c r="A29" s="1">
        <v>19</v>
      </c>
      <c r="B29" s="85" t="s">
        <v>310</v>
      </c>
      <c r="C29" s="43">
        <v>5</v>
      </c>
      <c r="D29" s="43">
        <v>13</v>
      </c>
      <c r="E29" s="43">
        <v>0</v>
      </c>
      <c r="F29" s="43">
        <v>0</v>
      </c>
      <c r="G29" s="43">
        <v>1</v>
      </c>
      <c r="H29" s="43">
        <v>1</v>
      </c>
      <c r="I29" s="95">
        <v>12</v>
      </c>
      <c r="J29" s="123" t="s">
        <v>121</v>
      </c>
    </row>
    <row r="30" spans="1:10" ht="15.6" x14ac:dyDescent="0.25">
      <c r="A30" s="1">
        <v>20</v>
      </c>
      <c r="B30" s="85" t="s">
        <v>311</v>
      </c>
      <c r="C30" s="43">
        <v>46</v>
      </c>
      <c r="D30" s="43">
        <v>53</v>
      </c>
      <c r="E30" s="43">
        <v>0</v>
      </c>
      <c r="F30" s="43">
        <v>0</v>
      </c>
      <c r="G30" s="43">
        <v>0</v>
      </c>
      <c r="H30" s="43">
        <v>0</v>
      </c>
      <c r="I30" s="95">
        <v>53</v>
      </c>
      <c r="J30" s="107"/>
    </row>
    <row r="31" spans="1:10" ht="21" customHeight="1" x14ac:dyDescent="0.25">
      <c r="A31" s="1">
        <v>21</v>
      </c>
      <c r="B31" s="85" t="s">
        <v>312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95" t="s">
        <v>111</v>
      </c>
      <c r="J31" s="123"/>
    </row>
    <row r="32" spans="1:10" ht="54" customHeight="1" x14ac:dyDescent="0.25">
      <c r="A32" s="1">
        <v>22</v>
      </c>
      <c r="B32" s="85" t="s">
        <v>313</v>
      </c>
      <c r="C32" s="64">
        <v>0</v>
      </c>
      <c r="D32" s="64">
        <v>4</v>
      </c>
      <c r="E32" s="64">
        <v>0</v>
      </c>
      <c r="F32" s="64">
        <v>0</v>
      </c>
      <c r="G32" s="64">
        <v>0</v>
      </c>
      <c r="H32" s="64">
        <v>0</v>
      </c>
      <c r="I32" s="79">
        <v>4</v>
      </c>
      <c r="J32" s="108"/>
    </row>
    <row r="33" spans="1:10" s="73" customFormat="1" ht="21" customHeight="1" x14ac:dyDescent="0.25">
      <c r="A33" s="1">
        <v>23</v>
      </c>
      <c r="B33" s="85" t="s">
        <v>314</v>
      </c>
      <c r="C33" s="64">
        <v>8</v>
      </c>
      <c r="D33" s="64">
        <v>7</v>
      </c>
      <c r="E33" s="64">
        <v>0</v>
      </c>
      <c r="F33" s="64">
        <v>0</v>
      </c>
      <c r="G33" s="64">
        <v>0</v>
      </c>
      <c r="H33" s="64">
        <v>0</v>
      </c>
      <c r="I33" s="79">
        <v>7</v>
      </c>
      <c r="J33" s="123"/>
    </row>
    <row r="34" spans="1:10" s="75" customFormat="1" ht="15.6" x14ac:dyDescent="0.3">
      <c r="A34" s="1">
        <v>24</v>
      </c>
      <c r="B34" s="85" t="s">
        <v>315</v>
      </c>
      <c r="C34" s="43">
        <v>0</v>
      </c>
      <c r="D34" s="43">
        <v>5</v>
      </c>
      <c r="E34" s="43">
        <v>0</v>
      </c>
      <c r="F34" s="43">
        <v>0</v>
      </c>
      <c r="G34" s="43">
        <v>0</v>
      </c>
      <c r="H34" s="43">
        <v>0</v>
      </c>
      <c r="I34" s="95">
        <v>5</v>
      </c>
      <c r="J34" s="123"/>
    </row>
    <row r="35" spans="1:10" ht="25.5" customHeight="1" x14ac:dyDescent="0.25">
      <c r="A35" s="1">
        <v>25</v>
      </c>
      <c r="B35" s="85" t="s">
        <v>316</v>
      </c>
      <c r="C35" s="43">
        <v>17</v>
      </c>
      <c r="D35" s="43">
        <v>27</v>
      </c>
      <c r="E35" s="43">
        <v>0</v>
      </c>
      <c r="F35" s="43">
        <v>0</v>
      </c>
      <c r="G35" s="43">
        <v>0</v>
      </c>
      <c r="H35" s="43">
        <v>0</v>
      </c>
      <c r="I35" s="95">
        <v>27</v>
      </c>
      <c r="J35" s="123"/>
    </row>
    <row r="36" spans="1:10" ht="15.75" customHeight="1" x14ac:dyDescent="0.25">
      <c r="A36" s="46" t="s">
        <v>84</v>
      </c>
      <c r="B36" s="61"/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95" t="s">
        <v>111</v>
      </c>
      <c r="J36" s="123"/>
    </row>
    <row r="37" spans="1:10" x14ac:dyDescent="0.25">
      <c r="A37" s="44">
        <v>26</v>
      </c>
      <c r="B37" s="82" t="s">
        <v>317</v>
      </c>
      <c r="C37" s="43">
        <v>2</v>
      </c>
      <c r="D37" s="43">
        <v>1</v>
      </c>
      <c r="E37" s="43">
        <v>0</v>
      </c>
      <c r="F37" s="43">
        <v>0</v>
      </c>
      <c r="G37" s="43">
        <v>1</v>
      </c>
      <c r="H37" s="43">
        <v>1</v>
      </c>
      <c r="I37" s="95">
        <v>0</v>
      </c>
      <c r="J37" s="107" t="s">
        <v>123</v>
      </c>
    </row>
    <row r="38" spans="1:10" x14ac:dyDescent="0.25">
      <c r="A38" s="44">
        <v>27</v>
      </c>
      <c r="B38" s="82" t="s">
        <v>318</v>
      </c>
      <c r="C38" s="43">
        <v>0</v>
      </c>
      <c r="D38" s="43">
        <v>1</v>
      </c>
      <c r="E38" s="43">
        <v>0</v>
      </c>
      <c r="F38" s="43">
        <v>0</v>
      </c>
      <c r="G38" s="43">
        <v>0</v>
      </c>
      <c r="H38" s="43">
        <v>0</v>
      </c>
      <c r="I38" s="95">
        <v>1</v>
      </c>
      <c r="J38" s="123"/>
    </row>
    <row r="39" spans="1:10" ht="24.75" customHeight="1" x14ac:dyDescent="0.25">
      <c r="A39" s="1">
        <v>28</v>
      </c>
      <c r="B39" s="82" t="s">
        <v>319</v>
      </c>
      <c r="C39" s="43">
        <v>1</v>
      </c>
      <c r="D39" s="43">
        <v>1</v>
      </c>
      <c r="E39" s="43">
        <v>0</v>
      </c>
      <c r="F39" s="43">
        <v>0</v>
      </c>
      <c r="G39" s="43">
        <v>0</v>
      </c>
      <c r="H39" s="43">
        <v>0</v>
      </c>
      <c r="I39" s="95">
        <v>1</v>
      </c>
      <c r="J39" s="123"/>
    </row>
    <row r="40" spans="1:10" ht="15.6" x14ac:dyDescent="0.25">
      <c r="A40" s="46" t="s">
        <v>98</v>
      </c>
      <c r="B40" s="61"/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95" t="s">
        <v>111</v>
      </c>
      <c r="J40" s="123"/>
    </row>
    <row r="41" spans="1:10" x14ac:dyDescent="0.25">
      <c r="A41" s="1">
        <v>29</v>
      </c>
      <c r="B41" s="82" t="s">
        <v>320</v>
      </c>
      <c r="C41" s="43">
        <v>12</v>
      </c>
      <c r="D41" s="43">
        <v>13</v>
      </c>
      <c r="E41" s="43">
        <v>0</v>
      </c>
      <c r="F41" s="43">
        <v>0</v>
      </c>
      <c r="G41" s="43">
        <v>0</v>
      </c>
      <c r="H41" s="43">
        <v>0</v>
      </c>
      <c r="I41" s="95">
        <v>13</v>
      </c>
      <c r="J41" s="123"/>
    </row>
    <row r="42" spans="1:10" x14ac:dyDescent="0.25">
      <c r="A42" s="1">
        <v>30</v>
      </c>
      <c r="B42" s="82" t="s">
        <v>321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95" t="s">
        <v>111</v>
      </c>
      <c r="J42" s="123"/>
    </row>
    <row r="43" spans="1:10" x14ac:dyDescent="0.25">
      <c r="A43" s="1">
        <v>31</v>
      </c>
      <c r="B43" s="82" t="s">
        <v>322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95" t="s">
        <v>111</v>
      </c>
      <c r="J43" s="123"/>
    </row>
    <row r="44" spans="1:10" x14ac:dyDescent="0.25">
      <c r="A44" s="1">
        <v>32</v>
      </c>
      <c r="B44" s="82" t="s">
        <v>323</v>
      </c>
      <c r="C44" s="43">
        <v>0</v>
      </c>
      <c r="D44" s="43">
        <v>3</v>
      </c>
      <c r="E44" s="43">
        <v>0</v>
      </c>
      <c r="F44" s="43">
        <v>0</v>
      </c>
      <c r="G44" s="43">
        <v>0</v>
      </c>
      <c r="H44" s="43">
        <v>0</v>
      </c>
      <c r="I44" s="95">
        <v>3</v>
      </c>
      <c r="J44" s="123"/>
    </row>
    <row r="45" spans="1:10" ht="20.25" customHeight="1" x14ac:dyDescent="0.25">
      <c r="A45" s="1">
        <v>33</v>
      </c>
      <c r="B45" s="82" t="s">
        <v>324</v>
      </c>
      <c r="C45" s="43">
        <v>19</v>
      </c>
      <c r="D45" s="43">
        <v>37</v>
      </c>
      <c r="E45" s="43">
        <v>0</v>
      </c>
      <c r="F45" s="43">
        <v>0</v>
      </c>
      <c r="G45" s="43">
        <v>0</v>
      </c>
      <c r="H45" s="43">
        <v>0</v>
      </c>
      <c r="I45" s="95">
        <v>37</v>
      </c>
      <c r="J45" s="118"/>
    </row>
    <row r="46" spans="1:10" x14ac:dyDescent="0.25">
      <c r="A46" s="1">
        <v>34</v>
      </c>
      <c r="B46" s="82" t="s">
        <v>325</v>
      </c>
      <c r="C46" s="43">
        <v>14</v>
      </c>
      <c r="D46" s="43">
        <v>24</v>
      </c>
      <c r="E46" s="43">
        <v>0</v>
      </c>
      <c r="F46" s="43">
        <v>0</v>
      </c>
      <c r="G46" s="43">
        <v>0</v>
      </c>
      <c r="H46" s="43">
        <v>0</v>
      </c>
      <c r="I46" s="95">
        <v>24</v>
      </c>
      <c r="J46" s="123"/>
    </row>
    <row r="47" spans="1:10" x14ac:dyDescent="0.25">
      <c r="A47" s="44">
        <v>35</v>
      </c>
      <c r="B47" s="82" t="s">
        <v>326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95" t="s">
        <v>111</v>
      </c>
      <c r="J47" s="123"/>
    </row>
    <row r="48" spans="1:10" x14ac:dyDescent="0.25">
      <c r="A48" s="1">
        <v>36</v>
      </c>
      <c r="B48" s="82" t="s">
        <v>327</v>
      </c>
      <c r="C48" s="43">
        <v>4</v>
      </c>
      <c r="D48" s="43">
        <v>10</v>
      </c>
      <c r="E48" s="43">
        <v>0</v>
      </c>
      <c r="F48" s="43">
        <v>0</v>
      </c>
      <c r="G48" s="43">
        <v>0</v>
      </c>
      <c r="H48" s="43">
        <v>0</v>
      </c>
      <c r="I48" s="95">
        <v>10</v>
      </c>
      <c r="J48" s="123"/>
    </row>
    <row r="49" spans="1:10" x14ac:dyDescent="0.25">
      <c r="A49" s="44">
        <v>37</v>
      </c>
      <c r="B49" s="82" t="s">
        <v>328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95" t="s">
        <v>111</v>
      </c>
      <c r="J49" s="123"/>
    </row>
    <row r="50" spans="1:10" x14ac:dyDescent="0.25">
      <c r="A50" s="1">
        <v>38</v>
      </c>
      <c r="B50" s="82" t="s">
        <v>329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95" t="s">
        <v>111</v>
      </c>
      <c r="J50" s="123"/>
    </row>
    <row r="51" spans="1:10" ht="15.6" x14ac:dyDescent="0.25">
      <c r="A51" s="61" t="s">
        <v>99</v>
      </c>
      <c r="B51" s="61"/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95" t="s">
        <v>111</v>
      </c>
      <c r="J51" s="123"/>
    </row>
    <row r="52" spans="1:10" x14ac:dyDescent="0.25">
      <c r="A52" s="1">
        <v>39</v>
      </c>
      <c r="B52" s="82" t="s">
        <v>330</v>
      </c>
      <c r="C52" s="43">
        <v>6</v>
      </c>
      <c r="D52" s="43">
        <v>1</v>
      </c>
      <c r="E52" s="43">
        <v>0</v>
      </c>
      <c r="F52" s="43">
        <v>0</v>
      </c>
      <c r="G52" s="43">
        <v>0</v>
      </c>
      <c r="H52" s="43">
        <v>0</v>
      </c>
      <c r="I52" s="95">
        <v>1</v>
      </c>
      <c r="J52" s="123"/>
    </row>
    <row r="53" spans="1:10" x14ac:dyDescent="0.25">
      <c r="A53" s="1">
        <v>40</v>
      </c>
      <c r="B53" s="82" t="s">
        <v>331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95" t="s">
        <v>111</v>
      </c>
      <c r="J53" s="123"/>
    </row>
    <row r="54" spans="1:10" ht="15.6" x14ac:dyDescent="0.25">
      <c r="A54" s="61" t="s">
        <v>100</v>
      </c>
      <c r="B54" s="61"/>
      <c r="C54" s="96"/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95" t="s">
        <v>111</v>
      </c>
      <c r="J54" s="123"/>
    </row>
    <row r="55" spans="1:10" ht="42" customHeight="1" x14ac:dyDescent="0.25">
      <c r="A55" s="1">
        <v>41</v>
      </c>
      <c r="B55" s="83" t="s">
        <v>332</v>
      </c>
      <c r="C55" s="43">
        <v>27</v>
      </c>
      <c r="D55" s="43">
        <v>32</v>
      </c>
      <c r="E55" s="43">
        <v>0</v>
      </c>
      <c r="F55" s="43">
        <v>0</v>
      </c>
      <c r="G55" s="43">
        <v>1</v>
      </c>
      <c r="H55" s="43">
        <v>1</v>
      </c>
      <c r="I55" s="95">
        <v>31</v>
      </c>
      <c r="J55" s="107" t="s">
        <v>507</v>
      </c>
    </row>
    <row r="56" spans="1:10" x14ac:dyDescent="0.25">
      <c r="A56" s="1">
        <v>42</v>
      </c>
      <c r="B56" s="83" t="s">
        <v>333</v>
      </c>
      <c r="C56" s="43">
        <v>8</v>
      </c>
      <c r="D56" s="43">
        <v>26</v>
      </c>
      <c r="E56" s="43">
        <v>0</v>
      </c>
      <c r="F56" s="43">
        <v>0</v>
      </c>
      <c r="G56" s="43">
        <v>0</v>
      </c>
      <c r="H56" s="43">
        <v>0</v>
      </c>
      <c r="I56" s="95">
        <v>26</v>
      </c>
      <c r="J56" s="123"/>
    </row>
    <row r="57" spans="1:10" ht="15.6" x14ac:dyDescent="0.25">
      <c r="A57" s="1">
        <v>43</v>
      </c>
      <c r="B57" s="83" t="s">
        <v>334</v>
      </c>
      <c r="C57" s="43">
        <v>4</v>
      </c>
      <c r="D57" s="43">
        <v>4</v>
      </c>
      <c r="E57" s="43">
        <v>0</v>
      </c>
      <c r="F57" s="43">
        <v>0</v>
      </c>
      <c r="G57" s="43">
        <v>0</v>
      </c>
      <c r="H57" s="43">
        <v>0</v>
      </c>
      <c r="I57" s="95">
        <v>4</v>
      </c>
      <c r="J57" s="117"/>
    </row>
    <row r="58" spans="1:10" x14ac:dyDescent="0.25">
      <c r="A58" s="1">
        <v>44</v>
      </c>
      <c r="B58" s="83" t="s">
        <v>335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95" t="s">
        <v>111</v>
      </c>
      <c r="J58" s="107"/>
    </row>
    <row r="59" spans="1:10" x14ac:dyDescent="0.25">
      <c r="A59" s="1">
        <v>45</v>
      </c>
      <c r="B59" s="83" t="s">
        <v>336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95" t="s">
        <v>111</v>
      </c>
      <c r="J59" s="123"/>
    </row>
    <row r="60" spans="1:10" x14ac:dyDescent="0.25">
      <c r="A60" s="1">
        <v>46</v>
      </c>
      <c r="B60" s="83" t="s">
        <v>337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95" t="s">
        <v>111</v>
      </c>
      <c r="J60" s="123"/>
    </row>
    <row r="61" spans="1:10" x14ac:dyDescent="0.25">
      <c r="A61" s="1">
        <v>47</v>
      </c>
      <c r="B61" s="83" t="s">
        <v>338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95" t="s">
        <v>111</v>
      </c>
      <c r="J61" s="123"/>
    </row>
    <row r="62" spans="1:10" ht="25.5" customHeight="1" x14ac:dyDescent="0.25">
      <c r="A62" s="1">
        <v>48</v>
      </c>
      <c r="B62" s="83" t="s">
        <v>339</v>
      </c>
      <c r="C62" s="43">
        <v>0</v>
      </c>
      <c r="D62" s="43">
        <v>3</v>
      </c>
      <c r="E62" s="43">
        <v>0</v>
      </c>
      <c r="F62" s="43">
        <v>0</v>
      </c>
      <c r="G62" s="43">
        <v>0</v>
      </c>
      <c r="H62" s="43">
        <v>0</v>
      </c>
      <c r="I62" s="95">
        <v>3</v>
      </c>
      <c r="J62" s="123"/>
    </row>
    <row r="63" spans="1:10" x14ac:dyDescent="0.25">
      <c r="A63" s="1">
        <v>49</v>
      </c>
      <c r="B63" s="83" t="s">
        <v>340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95" t="s">
        <v>111</v>
      </c>
      <c r="J63" s="123"/>
    </row>
    <row r="64" spans="1:10" s="73" customFormat="1" x14ac:dyDescent="0.25">
      <c r="A64" s="1">
        <v>50</v>
      </c>
      <c r="B64" s="83" t="s">
        <v>341</v>
      </c>
      <c r="C64" s="43">
        <v>19</v>
      </c>
      <c r="D64" s="43">
        <v>30</v>
      </c>
      <c r="E64" s="43">
        <v>0</v>
      </c>
      <c r="F64" s="43">
        <v>0</v>
      </c>
      <c r="G64" s="43">
        <v>0</v>
      </c>
      <c r="H64" s="43">
        <v>0</v>
      </c>
      <c r="I64" s="95">
        <v>30</v>
      </c>
      <c r="J64" s="123" t="s">
        <v>127</v>
      </c>
    </row>
    <row r="65" spans="1:10" ht="15.75" customHeight="1" x14ac:dyDescent="0.25">
      <c r="A65" s="46" t="s">
        <v>101</v>
      </c>
      <c r="B65" s="61"/>
      <c r="C65" s="97"/>
      <c r="D65" s="97"/>
      <c r="E65" s="43">
        <v>0</v>
      </c>
      <c r="F65" s="43">
        <v>0</v>
      </c>
      <c r="G65" s="97"/>
      <c r="H65" s="97"/>
      <c r="I65" s="95" t="s">
        <v>111</v>
      </c>
      <c r="J65" s="124"/>
    </row>
    <row r="66" spans="1:10" ht="15.75" customHeight="1" x14ac:dyDescent="0.25">
      <c r="A66" s="46" t="s">
        <v>102</v>
      </c>
      <c r="B66" s="61"/>
      <c r="C66" s="98"/>
      <c r="D66" s="94"/>
      <c r="E66" s="43">
        <v>0</v>
      </c>
      <c r="F66" s="43">
        <v>0</v>
      </c>
      <c r="G66" s="94"/>
      <c r="H66" s="94"/>
      <c r="I66" s="95" t="s">
        <v>111</v>
      </c>
      <c r="J66" s="123"/>
    </row>
    <row r="67" spans="1:10" ht="48" customHeight="1" x14ac:dyDescent="0.25">
      <c r="A67" s="1">
        <v>51</v>
      </c>
      <c r="B67" s="82" t="s">
        <v>342</v>
      </c>
      <c r="C67" s="43">
        <v>9</v>
      </c>
      <c r="D67" s="43">
        <v>7</v>
      </c>
      <c r="E67" s="43">
        <v>1</v>
      </c>
      <c r="F67" s="43">
        <v>0</v>
      </c>
      <c r="G67" s="43">
        <v>0</v>
      </c>
      <c r="H67" s="43">
        <v>1</v>
      </c>
      <c r="I67" s="95">
        <v>6</v>
      </c>
      <c r="J67" s="108" t="s">
        <v>139</v>
      </c>
    </row>
    <row r="68" spans="1:10" ht="30" x14ac:dyDescent="0.25">
      <c r="A68" s="1">
        <v>52</v>
      </c>
      <c r="B68" s="82" t="s">
        <v>343</v>
      </c>
      <c r="C68" s="43">
        <v>12</v>
      </c>
      <c r="D68" s="43">
        <v>12</v>
      </c>
      <c r="E68" s="43">
        <v>1</v>
      </c>
      <c r="F68" s="43">
        <v>0</v>
      </c>
      <c r="G68" s="43">
        <v>0</v>
      </c>
      <c r="H68" s="43">
        <v>1</v>
      </c>
      <c r="I68" s="95">
        <v>11</v>
      </c>
      <c r="J68" s="107" t="s">
        <v>116</v>
      </c>
    </row>
    <row r="69" spans="1:10" ht="15.6" x14ac:dyDescent="0.25">
      <c r="A69" s="46" t="s">
        <v>103</v>
      </c>
      <c r="B69" s="61"/>
      <c r="C69" s="43">
        <v>3</v>
      </c>
      <c r="D69" s="43">
        <v>3</v>
      </c>
      <c r="E69" s="43">
        <v>0</v>
      </c>
      <c r="F69" s="43">
        <v>0</v>
      </c>
      <c r="G69" s="43">
        <v>0</v>
      </c>
      <c r="H69" s="43">
        <v>0</v>
      </c>
      <c r="I69" s="95">
        <v>3</v>
      </c>
      <c r="J69" s="123"/>
    </row>
    <row r="70" spans="1:10" x14ac:dyDescent="0.25">
      <c r="A70" s="1">
        <v>53</v>
      </c>
      <c r="B70" s="82" t="s">
        <v>344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95" t="s">
        <v>111</v>
      </c>
      <c r="J70" s="107"/>
    </row>
    <row r="71" spans="1:10" x14ac:dyDescent="0.25">
      <c r="A71" s="1">
        <v>54</v>
      </c>
      <c r="B71" s="82" t="s">
        <v>345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95" t="s">
        <v>111</v>
      </c>
      <c r="J71" s="123"/>
    </row>
    <row r="72" spans="1:10" x14ac:dyDescent="0.25">
      <c r="A72" s="1">
        <v>55</v>
      </c>
      <c r="B72" s="82" t="s">
        <v>346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95" t="s">
        <v>111</v>
      </c>
      <c r="J72" s="125"/>
    </row>
    <row r="73" spans="1:10" x14ac:dyDescent="0.25">
      <c r="A73" s="1">
        <v>56</v>
      </c>
      <c r="B73" s="82" t="s">
        <v>347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95" t="s">
        <v>111</v>
      </c>
      <c r="J73" s="123"/>
    </row>
    <row r="74" spans="1:10" x14ac:dyDescent="0.25">
      <c r="A74" s="1">
        <v>57</v>
      </c>
      <c r="B74" s="82" t="s">
        <v>348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95" t="s">
        <v>111</v>
      </c>
      <c r="J74" s="123"/>
    </row>
    <row r="75" spans="1:10" x14ac:dyDescent="0.25">
      <c r="A75" s="1">
        <v>58</v>
      </c>
      <c r="B75" s="82" t="s">
        <v>349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95" t="s">
        <v>111</v>
      </c>
      <c r="J75" s="123"/>
    </row>
    <row r="76" spans="1:10" x14ac:dyDescent="0.25">
      <c r="A76" s="1">
        <v>59</v>
      </c>
      <c r="B76" s="82" t="s">
        <v>350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95" t="s">
        <v>111</v>
      </c>
      <c r="J76" s="123"/>
    </row>
    <row r="77" spans="1:10" x14ac:dyDescent="0.25">
      <c r="A77" s="1">
        <v>60</v>
      </c>
      <c r="B77" s="82" t="s">
        <v>351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95" t="s">
        <v>111</v>
      </c>
      <c r="J77" s="123"/>
    </row>
    <row r="78" spans="1:10" ht="15.6" x14ac:dyDescent="0.25">
      <c r="A78" s="46" t="s">
        <v>104</v>
      </c>
      <c r="B78" s="61"/>
      <c r="C78" s="99"/>
      <c r="D78" s="99"/>
      <c r="E78" s="43">
        <v>0</v>
      </c>
      <c r="F78" s="43">
        <v>0</v>
      </c>
      <c r="G78" s="99"/>
      <c r="H78" s="99"/>
      <c r="I78" s="95" t="s">
        <v>111</v>
      </c>
      <c r="J78" s="118"/>
    </row>
    <row r="79" spans="1:10" x14ac:dyDescent="0.25">
      <c r="A79" s="1">
        <v>61</v>
      </c>
      <c r="B79" s="82" t="s">
        <v>352</v>
      </c>
      <c r="C79" s="43">
        <v>1</v>
      </c>
      <c r="D79" s="43">
        <v>2</v>
      </c>
      <c r="E79" s="43">
        <v>0</v>
      </c>
      <c r="F79" s="43">
        <v>0</v>
      </c>
      <c r="G79" s="43">
        <v>0</v>
      </c>
      <c r="H79" s="43">
        <v>0</v>
      </c>
      <c r="I79" s="95">
        <v>2</v>
      </c>
      <c r="J79" s="123"/>
    </row>
    <row r="80" spans="1:10" ht="46.2" x14ac:dyDescent="0.25">
      <c r="A80" s="1">
        <v>62</v>
      </c>
      <c r="B80" s="82" t="s">
        <v>353</v>
      </c>
      <c r="C80" s="43">
        <v>76</v>
      </c>
      <c r="D80" s="43">
        <v>76</v>
      </c>
      <c r="E80" s="43">
        <v>0</v>
      </c>
      <c r="F80" s="43">
        <v>0</v>
      </c>
      <c r="G80" s="43">
        <v>0</v>
      </c>
      <c r="H80" s="43">
        <v>0</v>
      </c>
      <c r="I80" s="95">
        <v>76</v>
      </c>
      <c r="J80" s="118" t="s">
        <v>122</v>
      </c>
    </row>
    <row r="81" spans="1:10" x14ac:dyDescent="0.25">
      <c r="A81" s="1">
        <v>63</v>
      </c>
      <c r="B81" s="82" t="s">
        <v>354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95" t="s">
        <v>111</v>
      </c>
      <c r="J81" s="123"/>
    </row>
    <row r="82" spans="1:10" ht="30.75" customHeight="1" x14ac:dyDescent="0.25">
      <c r="A82" s="1">
        <v>64</v>
      </c>
      <c r="B82" s="82" t="s">
        <v>355</v>
      </c>
      <c r="C82" s="43">
        <v>0</v>
      </c>
      <c r="D82" s="43">
        <v>2</v>
      </c>
      <c r="E82" s="43">
        <v>0</v>
      </c>
      <c r="F82" s="43">
        <v>0</v>
      </c>
      <c r="G82" s="43">
        <v>0</v>
      </c>
      <c r="H82" s="43">
        <v>0</v>
      </c>
      <c r="I82" s="95">
        <v>2</v>
      </c>
      <c r="J82" s="123"/>
    </row>
    <row r="83" spans="1:10" s="73" customFormat="1" ht="26.25" customHeight="1" x14ac:dyDescent="0.25">
      <c r="A83" s="1">
        <v>65</v>
      </c>
      <c r="B83" s="82" t="s">
        <v>356</v>
      </c>
      <c r="C83" s="43">
        <v>17</v>
      </c>
      <c r="D83" s="43">
        <v>17</v>
      </c>
      <c r="E83" s="43">
        <v>0</v>
      </c>
      <c r="F83" s="43">
        <v>0</v>
      </c>
      <c r="G83" s="43">
        <v>0</v>
      </c>
      <c r="H83" s="43">
        <v>0</v>
      </c>
      <c r="I83" s="95">
        <v>17</v>
      </c>
      <c r="J83" s="123"/>
    </row>
    <row r="84" spans="1:10" ht="23.25" customHeight="1" x14ac:dyDescent="0.25">
      <c r="A84" s="1">
        <v>66</v>
      </c>
      <c r="B84" s="82" t="s">
        <v>357</v>
      </c>
      <c r="C84" s="43">
        <v>4</v>
      </c>
      <c r="D84" s="43">
        <v>7</v>
      </c>
      <c r="E84" s="43">
        <v>0</v>
      </c>
      <c r="F84" s="43">
        <v>0</v>
      </c>
      <c r="G84" s="43">
        <v>0</v>
      </c>
      <c r="H84" s="43">
        <v>0</v>
      </c>
      <c r="I84" s="95">
        <v>7</v>
      </c>
      <c r="J84" s="123"/>
    </row>
    <row r="85" spans="1:10" x14ac:dyDescent="0.25">
      <c r="A85" s="1">
        <v>67</v>
      </c>
      <c r="B85" s="82" t="s">
        <v>358</v>
      </c>
      <c r="C85" s="43">
        <v>3</v>
      </c>
      <c r="D85" s="43">
        <v>3</v>
      </c>
      <c r="E85" s="43">
        <v>0</v>
      </c>
      <c r="F85" s="43">
        <v>0</v>
      </c>
      <c r="G85" s="43">
        <v>0</v>
      </c>
      <c r="H85" s="43">
        <v>0</v>
      </c>
      <c r="I85" s="95">
        <v>3</v>
      </c>
      <c r="J85" s="123"/>
    </row>
    <row r="86" spans="1:10" s="73" customFormat="1" x14ac:dyDescent="0.25">
      <c r="A86" s="1">
        <v>68</v>
      </c>
      <c r="B86" s="82" t="s">
        <v>359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95" t="s">
        <v>111</v>
      </c>
      <c r="J86" s="123"/>
    </row>
    <row r="87" spans="1:10" x14ac:dyDescent="0.25">
      <c r="A87" s="1">
        <v>69</v>
      </c>
      <c r="B87" s="82" t="s">
        <v>360</v>
      </c>
      <c r="C87" s="43">
        <v>0</v>
      </c>
      <c r="D87" s="43">
        <v>17</v>
      </c>
      <c r="E87" s="43">
        <v>0</v>
      </c>
      <c r="F87" s="43">
        <v>0</v>
      </c>
      <c r="G87" s="43">
        <v>0</v>
      </c>
      <c r="H87" s="43">
        <v>0</v>
      </c>
      <c r="I87" s="95">
        <v>17</v>
      </c>
      <c r="J87" s="123"/>
    </row>
    <row r="88" spans="1:10" s="73" customFormat="1" ht="15.6" x14ac:dyDescent="0.25">
      <c r="A88" s="1">
        <v>70</v>
      </c>
      <c r="B88" s="82" t="s">
        <v>361</v>
      </c>
      <c r="C88" s="43">
        <v>38</v>
      </c>
      <c r="D88" s="43">
        <v>14</v>
      </c>
      <c r="E88" s="43">
        <v>0</v>
      </c>
      <c r="F88" s="43">
        <v>0</v>
      </c>
      <c r="G88" s="43">
        <v>0</v>
      </c>
      <c r="H88" s="43">
        <v>0</v>
      </c>
      <c r="I88" s="95">
        <v>14</v>
      </c>
      <c r="J88" s="118"/>
    </row>
    <row r="89" spans="1:10" x14ac:dyDescent="0.25">
      <c r="A89" s="1">
        <v>71</v>
      </c>
      <c r="B89" s="82" t="s">
        <v>362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95" t="s">
        <v>111</v>
      </c>
      <c r="J89" s="123"/>
    </row>
    <row r="90" spans="1:10" x14ac:dyDescent="0.25">
      <c r="A90" s="1">
        <v>72</v>
      </c>
      <c r="B90" s="82" t="s">
        <v>363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95" t="s">
        <v>111</v>
      </c>
      <c r="J90" s="123"/>
    </row>
    <row r="91" spans="1:10" ht="30" x14ac:dyDescent="0.25">
      <c r="A91" s="1">
        <v>73</v>
      </c>
      <c r="B91" s="82" t="s">
        <v>364</v>
      </c>
      <c r="C91" s="43">
        <v>5</v>
      </c>
      <c r="D91" s="43">
        <v>18</v>
      </c>
      <c r="E91" s="43">
        <v>1</v>
      </c>
      <c r="F91" s="43">
        <v>0</v>
      </c>
      <c r="G91" s="43">
        <v>2</v>
      </c>
      <c r="H91" s="43">
        <v>3</v>
      </c>
      <c r="I91" s="95">
        <v>15</v>
      </c>
      <c r="J91" s="107" t="s">
        <v>132</v>
      </c>
    </row>
    <row r="92" spans="1:10" x14ac:dyDescent="0.25">
      <c r="A92" s="1">
        <v>74</v>
      </c>
      <c r="B92" s="82" t="s">
        <v>365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95" t="s">
        <v>111</v>
      </c>
      <c r="J92" s="123"/>
    </row>
    <row r="93" spans="1:10" x14ac:dyDescent="0.25">
      <c r="A93" s="1">
        <v>75</v>
      </c>
      <c r="B93" s="82" t="s">
        <v>366</v>
      </c>
      <c r="C93" s="43">
        <v>0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95" t="s">
        <v>111</v>
      </c>
      <c r="J93" s="123"/>
    </row>
    <row r="94" spans="1:10" ht="24.75" customHeight="1" x14ac:dyDescent="0.25">
      <c r="A94" s="1">
        <v>76</v>
      </c>
      <c r="B94" s="82" t="s">
        <v>367</v>
      </c>
      <c r="C94" s="43">
        <v>4</v>
      </c>
      <c r="D94" s="43">
        <v>21</v>
      </c>
      <c r="E94" s="43">
        <v>0</v>
      </c>
      <c r="F94" s="43">
        <v>0</v>
      </c>
      <c r="G94" s="43">
        <v>0</v>
      </c>
      <c r="H94" s="43">
        <v>0</v>
      </c>
      <c r="I94" s="95">
        <v>21</v>
      </c>
      <c r="J94" s="123"/>
    </row>
    <row r="95" spans="1:10" ht="23.25" customHeight="1" x14ac:dyDescent="0.25">
      <c r="A95" s="1">
        <v>77</v>
      </c>
      <c r="B95" s="82" t="s">
        <v>368</v>
      </c>
      <c r="C95" s="43">
        <v>9</v>
      </c>
      <c r="D95" s="43">
        <v>14</v>
      </c>
      <c r="E95" s="43">
        <v>0</v>
      </c>
      <c r="F95" s="43">
        <v>0</v>
      </c>
      <c r="G95" s="43">
        <v>0</v>
      </c>
      <c r="H95" s="43">
        <v>0</v>
      </c>
      <c r="I95" s="95">
        <v>14</v>
      </c>
      <c r="J95" s="123"/>
    </row>
    <row r="96" spans="1:10" s="73" customFormat="1" ht="37.5" customHeight="1" x14ac:dyDescent="0.25">
      <c r="A96" s="1">
        <v>78</v>
      </c>
      <c r="B96" s="82" t="s">
        <v>369</v>
      </c>
      <c r="C96" s="43">
        <v>15</v>
      </c>
      <c r="D96" s="43">
        <v>11</v>
      </c>
      <c r="E96" s="43">
        <v>0</v>
      </c>
      <c r="F96" s="43">
        <v>0</v>
      </c>
      <c r="G96" s="43">
        <v>0</v>
      </c>
      <c r="H96" s="43">
        <v>0</v>
      </c>
      <c r="I96" s="95">
        <v>11</v>
      </c>
      <c r="J96" s="123"/>
    </row>
    <row r="97" spans="1:10" x14ac:dyDescent="0.25">
      <c r="A97" s="1">
        <v>79</v>
      </c>
      <c r="B97" s="82" t="s">
        <v>370</v>
      </c>
      <c r="C97" s="43">
        <v>9</v>
      </c>
      <c r="D97" s="43">
        <v>5</v>
      </c>
      <c r="E97" s="43">
        <v>0</v>
      </c>
      <c r="F97" s="43">
        <v>0</v>
      </c>
      <c r="G97" s="43">
        <v>0</v>
      </c>
      <c r="H97" s="43">
        <v>0</v>
      </c>
      <c r="I97" s="95">
        <v>5</v>
      </c>
      <c r="J97" s="123"/>
    </row>
    <row r="98" spans="1:10" s="73" customFormat="1" x14ac:dyDescent="0.25">
      <c r="A98" s="1">
        <v>80</v>
      </c>
      <c r="B98" s="82" t="s">
        <v>371</v>
      </c>
      <c r="C98" s="43">
        <v>9</v>
      </c>
      <c r="D98" s="43">
        <v>92</v>
      </c>
      <c r="E98" s="43">
        <v>0</v>
      </c>
      <c r="F98" s="43">
        <v>0</v>
      </c>
      <c r="G98" s="43">
        <v>0</v>
      </c>
      <c r="H98" s="43">
        <v>0</v>
      </c>
      <c r="I98" s="95">
        <v>92</v>
      </c>
      <c r="J98" s="123"/>
    </row>
    <row r="99" spans="1:10" x14ac:dyDescent="0.25">
      <c r="A99" s="1">
        <v>81</v>
      </c>
      <c r="B99" s="82" t="s">
        <v>372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95" t="s">
        <v>111</v>
      </c>
      <c r="J99" s="123"/>
    </row>
    <row r="100" spans="1:10" x14ac:dyDescent="0.25">
      <c r="A100" s="1">
        <v>82</v>
      </c>
      <c r="B100" s="82" t="s">
        <v>373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95" t="s">
        <v>111</v>
      </c>
      <c r="J100" s="123"/>
    </row>
    <row r="101" spans="1:10" x14ac:dyDescent="0.25">
      <c r="A101" s="1">
        <v>83</v>
      </c>
      <c r="B101" s="82" t="s">
        <v>374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95" t="s">
        <v>111</v>
      </c>
      <c r="J101" s="123"/>
    </row>
    <row r="102" spans="1:10" x14ac:dyDescent="0.25">
      <c r="A102" s="1">
        <v>84</v>
      </c>
      <c r="B102" s="82" t="s">
        <v>375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95" t="s">
        <v>111</v>
      </c>
      <c r="J102" s="123"/>
    </row>
    <row r="103" spans="1:10" ht="28.5" customHeight="1" x14ac:dyDescent="0.25">
      <c r="A103" s="1">
        <v>85</v>
      </c>
      <c r="B103" s="82" t="s">
        <v>376</v>
      </c>
      <c r="C103" s="43">
        <v>29</v>
      </c>
      <c r="D103" s="43">
        <v>26</v>
      </c>
      <c r="E103" s="43">
        <v>0</v>
      </c>
      <c r="F103" s="43">
        <v>0</v>
      </c>
      <c r="G103" s="43">
        <v>0</v>
      </c>
      <c r="H103" s="43">
        <v>0</v>
      </c>
      <c r="I103" s="95">
        <v>26</v>
      </c>
      <c r="J103" s="123"/>
    </row>
    <row r="104" spans="1:10" ht="38.25" customHeight="1" x14ac:dyDescent="0.25">
      <c r="A104" s="1">
        <v>86</v>
      </c>
      <c r="B104" s="82" t="s">
        <v>377</v>
      </c>
      <c r="C104" s="43">
        <v>3</v>
      </c>
      <c r="D104" s="43">
        <v>3</v>
      </c>
      <c r="E104" s="43">
        <v>0</v>
      </c>
      <c r="F104" s="43">
        <v>0</v>
      </c>
      <c r="G104" s="43">
        <v>0</v>
      </c>
      <c r="H104" s="43">
        <v>0</v>
      </c>
      <c r="I104" s="95">
        <v>3</v>
      </c>
      <c r="J104" s="123"/>
    </row>
    <row r="105" spans="1:10" s="73" customFormat="1" x14ac:dyDescent="0.25">
      <c r="A105" s="1">
        <v>87</v>
      </c>
      <c r="B105" s="82" t="s">
        <v>378</v>
      </c>
      <c r="C105" s="43">
        <v>3</v>
      </c>
      <c r="D105" s="43">
        <v>3</v>
      </c>
      <c r="E105" s="43">
        <v>0</v>
      </c>
      <c r="F105" s="43">
        <v>0</v>
      </c>
      <c r="G105" s="43">
        <v>0</v>
      </c>
      <c r="H105" s="43">
        <v>0</v>
      </c>
      <c r="I105" s="95">
        <v>3</v>
      </c>
      <c r="J105" s="123"/>
    </row>
    <row r="106" spans="1:10" x14ac:dyDescent="0.25">
      <c r="A106" s="1">
        <v>88</v>
      </c>
      <c r="B106" s="82" t="s">
        <v>379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95" t="s">
        <v>111</v>
      </c>
      <c r="J106" s="123"/>
    </row>
    <row r="107" spans="1:10" ht="28.5" customHeight="1" x14ac:dyDescent="0.25">
      <c r="A107" s="1">
        <v>89</v>
      </c>
      <c r="B107" s="82" t="s">
        <v>380</v>
      </c>
      <c r="C107" s="43">
        <v>1</v>
      </c>
      <c r="D107" s="43">
        <v>2</v>
      </c>
      <c r="E107" s="43">
        <v>0</v>
      </c>
      <c r="F107" s="43">
        <v>0</v>
      </c>
      <c r="G107" s="43">
        <v>0</v>
      </c>
      <c r="H107" s="43">
        <v>0</v>
      </c>
      <c r="I107" s="95">
        <v>2</v>
      </c>
      <c r="J107" s="123"/>
    </row>
    <row r="108" spans="1:10" s="73" customFormat="1" ht="36.75" customHeight="1" x14ac:dyDescent="0.25">
      <c r="A108" s="1">
        <v>90</v>
      </c>
      <c r="B108" s="82" t="s">
        <v>381</v>
      </c>
      <c r="C108" s="43">
        <v>0</v>
      </c>
      <c r="D108" s="43">
        <v>1</v>
      </c>
      <c r="E108" s="43">
        <v>0</v>
      </c>
      <c r="F108" s="43">
        <v>0</v>
      </c>
      <c r="G108" s="43">
        <v>0</v>
      </c>
      <c r="H108" s="43">
        <v>0</v>
      </c>
      <c r="I108" s="95">
        <v>1</v>
      </c>
      <c r="J108" s="123"/>
    </row>
    <row r="109" spans="1:10" x14ac:dyDescent="0.25">
      <c r="A109" s="1">
        <v>91</v>
      </c>
      <c r="B109" s="82" t="s">
        <v>382</v>
      </c>
      <c r="C109" s="43">
        <v>0</v>
      </c>
      <c r="D109" s="43">
        <v>3</v>
      </c>
      <c r="E109" s="43">
        <v>0</v>
      </c>
      <c r="F109" s="43">
        <v>0</v>
      </c>
      <c r="G109" s="43">
        <v>0</v>
      </c>
      <c r="H109" s="43">
        <v>0</v>
      </c>
      <c r="I109" s="95">
        <v>3</v>
      </c>
      <c r="J109" s="123"/>
    </row>
    <row r="110" spans="1:10" x14ac:dyDescent="0.25">
      <c r="A110" s="1">
        <v>92</v>
      </c>
      <c r="B110" s="82" t="s">
        <v>383</v>
      </c>
      <c r="C110" s="43">
        <v>0</v>
      </c>
      <c r="D110" s="43">
        <v>1</v>
      </c>
      <c r="E110" s="43">
        <v>0</v>
      </c>
      <c r="F110" s="43">
        <v>0</v>
      </c>
      <c r="G110" s="43">
        <v>0</v>
      </c>
      <c r="H110" s="43">
        <v>0</v>
      </c>
      <c r="I110" s="95">
        <v>1</v>
      </c>
      <c r="J110" s="123"/>
    </row>
    <row r="111" spans="1:10" ht="36" customHeight="1" x14ac:dyDescent="0.25">
      <c r="A111" s="1">
        <v>93</v>
      </c>
      <c r="B111" s="82" t="s">
        <v>384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95" t="s">
        <v>111</v>
      </c>
      <c r="J111" s="123"/>
    </row>
    <row r="112" spans="1:10" x14ac:dyDescent="0.25">
      <c r="A112" s="1">
        <v>94</v>
      </c>
      <c r="B112" s="82" t="s">
        <v>385</v>
      </c>
      <c r="C112" s="43">
        <v>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95" t="s">
        <v>111</v>
      </c>
      <c r="J112" s="123"/>
    </row>
    <row r="113" spans="1:10" x14ac:dyDescent="0.25">
      <c r="A113" s="1">
        <v>95</v>
      </c>
      <c r="B113" s="82" t="s">
        <v>386</v>
      </c>
      <c r="C113" s="43">
        <v>0</v>
      </c>
      <c r="D113" s="43">
        <v>25</v>
      </c>
      <c r="E113" s="43">
        <v>0</v>
      </c>
      <c r="F113" s="43">
        <v>0</v>
      </c>
      <c r="G113" s="43">
        <v>0</v>
      </c>
      <c r="H113" s="43">
        <v>0</v>
      </c>
      <c r="I113" s="95">
        <v>25</v>
      </c>
      <c r="J113" s="123"/>
    </row>
    <row r="114" spans="1:10" x14ac:dyDescent="0.25">
      <c r="A114" s="1">
        <v>96</v>
      </c>
      <c r="B114" s="82" t="s">
        <v>387</v>
      </c>
      <c r="C114" s="43">
        <v>0</v>
      </c>
      <c r="D114" s="43">
        <v>0</v>
      </c>
      <c r="E114" s="43">
        <v>0</v>
      </c>
      <c r="F114" s="43">
        <v>0</v>
      </c>
      <c r="G114" s="43">
        <v>0</v>
      </c>
      <c r="H114" s="43">
        <v>0</v>
      </c>
      <c r="I114" s="95" t="s">
        <v>111</v>
      </c>
      <c r="J114" s="123"/>
    </row>
    <row r="115" spans="1:10" x14ac:dyDescent="0.25">
      <c r="A115" s="1">
        <v>97</v>
      </c>
      <c r="B115" s="82" t="s">
        <v>388</v>
      </c>
      <c r="C115" s="43">
        <v>0</v>
      </c>
      <c r="D115" s="43">
        <v>1</v>
      </c>
      <c r="E115" s="43">
        <v>0</v>
      </c>
      <c r="F115" s="43">
        <v>0</v>
      </c>
      <c r="G115" s="43">
        <v>0</v>
      </c>
      <c r="H115" s="43">
        <v>0</v>
      </c>
      <c r="I115" s="95">
        <v>1</v>
      </c>
      <c r="J115" s="123"/>
    </row>
    <row r="116" spans="1:10" x14ac:dyDescent="0.25">
      <c r="A116" s="1">
        <v>98</v>
      </c>
      <c r="B116" s="82" t="s">
        <v>389</v>
      </c>
      <c r="C116" s="43">
        <v>29</v>
      </c>
      <c r="D116" s="43">
        <v>42</v>
      </c>
      <c r="E116" s="43">
        <v>0</v>
      </c>
      <c r="F116" s="43">
        <v>0</v>
      </c>
      <c r="G116" s="43">
        <v>2</v>
      </c>
      <c r="H116" s="43">
        <v>2</v>
      </c>
      <c r="I116" s="95">
        <v>40</v>
      </c>
      <c r="J116" s="123" t="s">
        <v>128</v>
      </c>
    </row>
    <row r="117" spans="1:10" x14ac:dyDescent="0.25">
      <c r="A117" s="1">
        <v>99</v>
      </c>
      <c r="B117" s="82" t="s">
        <v>390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95" t="s">
        <v>111</v>
      </c>
      <c r="J117" s="123"/>
    </row>
    <row r="118" spans="1:10" x14ac:dyDescent="0.25">
      <c r="A118" s="1">
        <v>100</v>
      </c>
      <c r="B118" s="82" t="s">
        <v>391</v>
      </c>
      <c r="C118" s="43">
        <v>0</v>
      </c>
      <c r="D118" s="43">
        <v>0</v>
      </c>
      <c r="E118" s="43">
        <v>0</v>
      </c>
      <c r="F118" s="43">
        <v>0</v>
      </c>
      <c r="G118" s="43">
        <v>0</v>
      </c>
      <c r="H118" s="43">
        <v>0</v>
      </c>
      <c r="I118" s="95" t="s">
        <v>111</v>
      </c>
      <c r="J118" s="123"/>
    </row>
    <row r="119" spans="1:10" x14ac:dyDescent="0.25">
      <c r="A119" s="1">
        <v>101</v>
      </c>
      <c r="B119" s="82" t="s">
        <v>392</v>
      </c>
      <c r="C119" s="43">
        <v>2</v>
      </c>
      <c r="D119" s="43">
        <v>13</v>
      </c>
      <c r="E119" s="43">
        <v>0</v>
      </c>
      <c r="F119" s="43">
        <v>0</v>
      </c>
      <c r="G119" s="43">
        <v>0</v>
      </c>
      <c r="H119" s="43">
        <v>0</v>
      </c>
      <c r="I119" s="95">
        <v>13</v>
      </c>
      <c r="J119" s="123" t="s">
        <v>117</v>
      </c>
    </row>
    <row r="120" spans="1:10" ht="28.5" customHeight="1" x14ac:dyDescent="0.25">
      <c r="A120" s="1">
        <v>102</v>
      </c>
      <c r="B120" s="82" t="s">
        <v>393</v>
      </c>
      <c r="C120" s="43">
        <v>0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95" t="s">
        <v>111</v>
      </c>
      <c r="J120" s="123"/>
    </row>
    <row r="121" spans="1:10" x14ac:dyDescent="0.25">
      <c r="A121" s="1">
        <v>103</v>
      </c>
      <c r="B121" s="82" t="s">
        <v>394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95" t="s">
        <v>111</v>
      </c>
      <c r="J121" s="123"/>
    </row>
    <row r="122" spans="1:10" x14ac:dyDescent="0.25">
      <c r="A122" s="1">
        <v>104</v>
      </c>
      <c r="B122" s="82" t="s">
        <v>395</v>
      </c>
      <c r="C122" s="43">
        <v>0</v>
      </c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95" t="s">
        <v>111</v>
      </c>
      <c r="J122" s="123"/>
    </row>
    <row r="123" spans="1:10" x14ac:dyDescent="0.25">
      <c r="A123" s="1">
        <v>105</v>
      </c>
      <c r="B123" s="82" t="s">
        <v>396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95" t="s">
        <v>111</v>
      </c>
      <c r="J123" s="123"/>
    </row>
    <row r="124" spans="1:10" x14ac:dyDescent="0.25">
      <c r="A124" s="1">
        <v>106</v>
      </c>
      <c r="B124" s="82" t="s">
        <v>397</v>
      </c>
      <c r="C124" s="43">
        <v>4</v>
      </c>
      <c r="D124" s="43">
        <v>6</v>
      </c>
      <c r="E124" s="43">
        <v>0</v>
      </c>
      <c r="F124" s="43">
        <v>0</v>
      </c>
      <c r="G124" s="43">
        <v>0</v>
      </c>
      <c r="H124" s="43">
        <v>0</v>
      </c>
      <c r="I124" s="95">
        <v>6</v>
      </c>
      <c r="J124" s="123"/>
    </row>
    <row r="125" spans="1:10" x14ac:dyDescent="0.25">
      <c r="A125" s="1">
        <v>107</v>
      </c>
      <c r="B125" s="82" t="s">
        <v>398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95" t="s">
        <v>111</v>
      </c>
      <c r="J125" s="123"/>
    </row>
    <row r="126" spans="1:10" ht="15.6" x14ac:dyDescent="0.25">
      <c r="A126" s="46" t="s">
        <v>108</v>
      </c>
      <c r="B126" s="61"/>
      <c r="C126" s="43"/>
      <c r="D126" s="43"/>
      <c r="E126" s="43"/>
      <c r="F126" s="43"/>
      <c r="G126" s="43"/>
      <c r="H126" s="43"/>
      <c r="I126" s="95"/>
      <c r="J126" s="126"/>
    </row>
    <row r="127" spans="1:10" s="2" customFormat="1" ht="22.5" customHeight="1" x14ac:dyDescent="0.3">
      <c r="A127" s="44">
        <v>108</v>
      </c>
      <c r="B127" s="59" t="s">
        <v>399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95" t="s">
        <v>111</v>
      </c>
      <c r="J127" s="47"/>
    </row>
    <row r="128" spans="1:10" s="2" customFormat="1" ht="33" customHeight="1" x14ac:dyDescent="0.3">
      <c r="A128" s="44">
        <v>109</v>
      </c>
      <c r="B128" s="59" t="s">
        <v>400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95" t="s">
        <v>111</v>
      </c>
      <c r="J128" s="47"/>
    </row>
    <row r="129" spans="1:10" x14ac:dyDescent="0.25">
      <c r="A129" s="44">
        <v>110</v>
      </c>
      <c r="B129" s="59" t="s">
        <v>401</v>
      </c>
      <c r="C129" s="43">
        <v>7</v>
      </c>
      <c r="D129" s="43">
        <v>4</v>
      </c>
      <c r="E129" s="43">
        <v>0</v>
      </c>
      <c r="F129" s="43">
        <v>0</v>
      </c>
      <c r="G129" s="43">
        <v>0</v>
      </c>
      <c r="H129" s="43">
        <v>0</v>
      </c>
      <c r="I129" s="95">
        <v>4</v>
      </c>
      <c r="J129" s="120"/>
    </row>
    <row r="130" spans="1:10" ht="25.5" customHeight="1" x14ac:dyDescent="0.25">
      <c r="A130" s="44">
        <v>111</v>
      </c>
      <c r="B130" s="59" t="s">
        <v>402</v>
      </c>
      <c r="C130" s="43">
        <v>1</v>
      </c>
      <c r="D130" s="43">
        <v>1</v>
      </c>
      <c r="E130" s="43">
        <v>0</v>
      </c>
      <c r="F130" s="43">
        <v>0</v>
      </c>
      <c r="G130" s="43">
        <v>0</v>
      </c>
      <c r="H130" s="43">
        <v>0</v>
      </c>
      <c r="I130" s="95">
        <v>1</v>
      </c>
      <c r="J130" s="120"/>
    </row>
    <row r="131" spans="1:10" s="56" customFormat="1" x14ac:dyDescent="0.3">
      <c r="A131" s="44">
        <v>112</v>
      </c>
      <c r="B131" s="59" t="s">
        <v>403</v>
      </c>
      <c r="C131" s="43">
        <v>8</v>
      </c>
      <c r="D131" s="43">
        <v>8</v>
      </c>
      <c r="E131" s="43">
        <v>0</v>
      </c>
      <c r="F131" s="43">
        <v>0</v>
      </c>
      <c r="G131" s="43">
        <v>0</v>
      </c>
      <c r="H131" s="43">
        <v>0</v>
      </c>
      <c r="I131" s="95">
        <v>8</v>
      </c>
      <c r="J131" s="42"/>
    </row>
    <row r="132" spans="1:10" x14ac:dyDescent="0.25">
      <c r="A132" s="44">
        <v>113</v>
      </c>
      <c r="B132" s="59" t="s">
        <v>404</v>
      </c>
      <c r="C132" s="43">
        <v>0</v>
      </c>
      <c r="D132" s="43">
        <v>20</v>
      </c>
      <c r="E132" s="43">
        <v>0</v>
      </c>
      <c r="F132" s="43">
        <v>0</v>
      </c>
      <c r="G132" s="43">
        <v>0</v>
      </c>
      <c r="H132" s="43">
        <v>0</v>
      </c>
      <c r="I132" s="95">
        <v>20</v>
      </c>
    </row>
    <row r="133" spans="1:10" x14ac:dyDescent="0.25">
      <c r="A133" s="44">
        <v>114</v>
      </c>
      <c r="B133" s="59" t="s">
        <v>405</v>
      </c>
      <c r="C133" s="43">
        <v>0</v>
      </c>
      <c r="D133" s="43">
        <v>1</v>
      </c>
      <c r="E133" s="43">
        <v>0</v>
      </c>
      <c r="F133" s="43">
        <v>0</v>
      </c>
      <c r="G133" s="43">
        <v>0</v>
      </c>
      <c r="H133" s="43">
        <v>0</v>
      </c>
      <c r="I133" s="95">
        <v>1</v>
      </c>
      <c r="J133" s="42"/>
    </row>
    <row r="134" spans="1:10" s="55" customFormat="1" ht="22.5" customHeight="1" x14ac:dyDescent="0.3">
      <c r="A134" s="44">
        <v>115</v>
      </c>
      <c r="B134" s="59" t="s">
        <v>406</v>
      </c>
      <c r="C134" s="43">
        <v>22</v>
      </c>
      <c r="D134" s="43">
        <v>38</v>
      </c>
      <c r="E134" s="43">
        <v>0</v>
      </c>
      <c r="F134" s="43">
        <v>0</v>
      </c>
      <c r="G134" s="43">
        <v>0</v>
      </c>
      <c r="H134" s="43">
        <v>0</v>
      </c>
      <c r="I134" s="95">
        <v>38</v>
      </c>
      <c r="J134" s="42"/>
    </row>
    <row r="135" spans="1:10" x14ac:dyDescent="0.25">
      <c r="A135" s="44">
        <v>116</v>
      </c>
      <c r="B135" s="59" t="s">
        <v>407</v>
      </c>
      <c r="C135" s="43">
        <v>0</v>
      </c>
      <c r="D135" s="43">
        <v>29</v>
      </c>
      <c r="E135" s="43">
        <v>0</v>
      </c>
      <c r="F135" s="43">
        <v>0</v>
      </c>
      <c r="G135" s="43">
        <v>0</v>
      </c>
      <c r="H135" s="43">
        <v>0</v>
      </c>
      <c r="I135" s="95">
        <v>29</v>
      </c>
      <c r="J135" s="120"/>
    </row>
    <row r="136" spans="1:10" s="73" customFormat="1" ht="33" customHeight="1" x14ac:dyDescent="0.25">
      <c r="A136" s="44">
        <v>117</v>
      </c>
      <c r="B136" s="59" t="s">
        <v>408</v>
      </c>
      <c r="C136" s="43">
        <v>251</v>
      </c>
      <c r="D136" s="43">
        <v>190</v>
      </c>
      <c r="E136" s="43">
        <v>1</v>
      </c>
      <c r="F136" s="43">
        <v>0</v>
      </c>
      <c r="G136" s="43">
        <v>0</v>
      </c>
      <c r="H136" s="43">
        <v>1</v>
      </c>
      <c r="I136" s="95">
        <v>189</v>
      </c>
      <c r="J136" s="109" t="s">
        <v>508</v>
      </c>
    </row>
    <row r="137" spans="1:10" ht="19.5" customHeight="1" x14ac:dyDescent="0.25">
      <c r="A137" s="44">
        <v>118</v>
      </c>
      <c r="B137" s="59" t="s">
        <v>409</v>
      </c>
      <c r="C137" s="43">
        <v>0</v>
      </c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95" t="s">
        <v>111</v>
      </c>
      <c r="J137" s="42"/>
    </row>
    <row r="138" spans="1:10" ht="30" customHeight="1" x14ac:dyDescent="0.25">
      <c r="A138" s="44">
        <v>119</v>
      </c>
      <c r="B138" s="59" t="s">
        <v>410</v>
      </c>
      <c r="C138" s="43">
        <v>55</v>
      </c>
      <c r="D138" s="43">
        <v>226</v>
      </c>
      <c r="E138" s="43">
        <v>1</v>
      </c>
      <c r="F138" s="43">
        <v>0</v>
      </c>
      <c r="G138" s="43">
        <v>2</v>
      </c>
      <c r="H138" s="43">
        <v>3</v>
      </c>
      <c r="I138" s="95">
        <v>223</v>
      </c>
      <c r="J138" s="121" t="s">
        <v>140</v>
      </c>
    </row>
    <row r="139" spans="1:10" s="73" customFormat="1" ht="33" customHeight="1" x14ac:dyDescent="0.25">
      <c r="A139" s="44">
        <v>120</v>
      </c>
      <c r="B139" s="59" t="s">
        <v>411</v>
      </c>
      <c r="C139" s="43">
        <v>26</v>
      </c>
      <c r="D139" s="43">
        <v>34</v>
      </c>
      <c r="E139" s="43">
        <v>0</v>
      </c>
      <c r="F139" s="43">
        <v>0</v>
      </c>
      <c r="G139" s="43">
        <v>0</v>
      </c>
      <c r="H139" s="43">
        <v>0</v>
      </c>
      <c r="I139" s="95">
        <v>34</v>
      </c>
      <c r="J139" s="47"/>
    </row>
    <row r="140" spans="1:10" x14ac:dyDescent="0.25">
      <c r="A140" s="44">
        <v>121</v>
      </c>
      <c r="B140" s="59" t="s">
        <v>412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95" t="s">
        <v>111</v>
      </c>
      <c r="J140" s="127"/>
    </row>
    <row r="141" spans="1:10" ht="19.5" customHeight="1" x14ac:dyDescent="0.25">
      <c r="A141" s="44">
        <v>122</v>
      </c>
      <c r="B141" s="59" t="s">
        <v>413</v>
      </c>
      <c r="C141" s="43">
        <v>6</v>
      </c>
      <c r="D141" s="43">
        <v>23</v>
      </c>
      <c r="E141" s="43">
        <v>0</v>
      </c>
      <c r="F141" s="43">
        <v>0</v>
      </c>
      <c r="G141" s="43">
        <v>0</v>
      </c>
      <c r="H141" s="43">
        <v>0</v>
      </c>
      <c r="I141" s="95">
        <v>23</v>
      </c>
      <c r="J141" s="47"/>
    </row>
    <row r="142" spans="1:10" ht="48" customHeight="1" x14ac:dyDescent="0.25">
      <c r="A142" s="44">
        <v>123</v>
      </c>
      <c r="B142" s="59" t="s">
        <v>414</v>
      </c>
      <c r="C142" s="43">
        <v>10</v>
      </c>
      <c r="D142" s="43">
        <v>43</v>
      </c>
      <c r="E142" s="43">
        <v>0</v>
      </c>
      <c r="F142" s="43">
        <v>0</v>
      </c>
      <c r="G142" s="43">
        <v>1</v>
      </c>
      <c r="H142" s="43">
        <v>1</v>
      </c>
      <c r="I142" s="95">
        <v>42</v>
      </c>
      <c r="J142" s="47" t="s">
        <v>509</v>
      </c>
    </row>
    <row r="143" spans="1:10" s="5" customFormat="1" ht="24" customHeight="1" x14ac:dyDescent="0.25">
      <c r="A143" s="44">
        <v>124</v>
      </c>
      <c r="B143" s="59" t="s">
        <v>415</v>
      </c>
      <c r="C143" s="43">
        <v>11</v>
      </c>
      <c r="D143" s="43">
        <v>23</v>
      </c>
      <c r="E143" s="43">
        <v>0</v>
      </c>
      <c r="F143" s="43">
        <v>0</v>
      </c>
      <c r="G143" s="43">
        <v>0</v>
      </c>
      <c r="H143" s="43">
        <v>0</v>
      </c>
      <c r="I143" s="95">
        <v>23</v>
      </c>
      <c r="J143" s="106"/>
    </row>
    <row r="144" spans="1:10" x14ac:dyDescent="0.25">
      <c r="A144" s="44">
        <v>125</v>
      </c>
      <c r="B144" s="59" t="s">
        <v>416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95" t="s">
        <v>111</v>
      </c>
      <c r="J144" s="47"/>
    </row>
    <row r="145" spans="1:10" x14ac:dyDescent="0.25">
      <c r="A145" s="44">
        <v>126</v>
      </c>
      <c r="B145" s="59" t="s">
        <v>417</v>
      </c>
      <c r="C145" s="43">
        <v>4</v>
      </c>
      <c r="D145" s="43">
        <v>9</v>
      </c>
      <c r="E145" s="43">
        <v>0</v>
      </c>
      <c r="F145" s="43">
        <v>0</v>
      </c>
      <c r="G145" s="43">
        <v>0</v>
      </c>
      <c r="H145" s="43">
        <v>0</v>
      </c>
      <c r="I145" s="95">
        <v>9</v>
      </c>
      <c r="J145" s="47"/>
    </row>
    <row r="146" spans="1:10" s="55" customFormat="1" x14ac:dyDescent="0.3">
      <c r="A146" s="44">
        <v>127</v>
      </c>
      <c r="B146" s="59" t="s">
        <v>418</v>
      </c>
      <c r="C146" s="43">
        <v>2</v>
      </c>
      <c r="D146" s="43">
        <v>2</v>
      </c>
      <c r="E146" s="43">
        <v>0</v>
      </c>
      <c r="F146" s="43">
        <v>0</v>
      </c>
      <c r="G146" s="43">
        <v>0</v>
      </c>
      <c r="H146" s="43">
        <v>0</v>
      </c>
      <c r="I146" s="95">
        <v>2</v>
      </c>
      <c r="J146" s="47"/>
    </row>
    <row r="147" spans="1:10" ht="15.6" x14ac:dyDescent="0.25">
      <c r="A147" s="44">
        <v>128</v>
      </c>
      <c r="B147" s="59" t="s">
        <v>419</v>
      </c>
      <c r="C147" s="43">
        <v>0</v>
      </c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95" t="s">
        <v>111</v>
      </c>
      <c r="J147" s="106"/>
    </row>
    <row r="148" spans="1:10" ht="24.9" customHeight="1" x14ac:dyDescent="0.25">
      <c r="A148" s="44">
        <v>129</v>
      </c>
      <c r="B148" s="59" t="s">
        <v>420</v>
      </c>
      <c r="C148" s="43">
        <v>8</v>
      </c>
      <c r="D148" s="43">
        <v>14</v>
      </c>
      <c r="E148" s="43">
        <v>0</v>
      </c>
      <c r="F148" s="43">
        <v>0</v>
      </c>
      <c r="G148" s="43">
        <v>0</v>
      </c>
      <c r="H148" s="43">
        <v>0</v>
      </c>
      <c r="I148" s="95">
        <v>14</v>
      </c>
      <c r="J148" s="120"/>
    </row>
    <row r="149" spans="1:10" s="73" customFormat="1" ht="25.5" customHeight="1" x14ac:dyDescent="0.25">
      <c r="A149" s="44">
        <v>130</v>
      </c>
      <c r="B149" s="59" t="s">
        <v>421</v>
      </c>
      <c r="C149" s="43">
        <v>15</v>
      </c>
      <c r="D149" s="43">
        <v>46</v>
      </c>
      <c r="E149" s="43">
        <v>0</v>
      </c>
      <c r="F149" s="43">
        <v>0</v>
      </c>
      <c r="G149" s="43">
        <v>0</v>
      </c>
      <c r="H149" s="43">
        <v>0</v>
      </c>
      <c r="I149" s="95">
        <v>46</v>
      </c>
      <c r="J149" s="115"/>
    </row>
    <row r="150" spans="1:10" x14ac:dyDescent="0.25">
      <c r="A150" s="44">
        <v>131</v>
      </c>
      <c r="B150" s="59" t="s">
        <v>422</v>
      </c>
      <c r="C150" s="43">
        <v>14</v>
      </c>
      <c r="D150" s="43">
        <v>7</v>
      </c>
      <c r="E150" s="43">
        <v>0</v>
      </c>
      <c r="F150" s="43">
        <v>0</v>
      </c>
      <c r="G150" s="43">
        <v>0</v>
      </c>
      <c r="H150" s="43">
        <v>0</v>
      </c>
      <c r="I150" s="95">
        <v>7</v>
      </c>
      <c r="J150" s="47"/>
    </row>
    <row r="151" spans="1:10" ht="15.6" x14ac:dyDescent="0.25">
      <c r="A151" s="44">
        <v>132</v>
      </c>
      <c r="B151" s="59" t="s">
        <v>423</v>
      </c>
      <c r="C151" s="43">
        <v>4</v>
      </c>
      <c r="D151" s="43">
        <v>0</v>
      </c>
      <c r="E151" s="43">
        <v>0</v>
      </c>
      <c r="F151" s="43">
        <v>0</v>
      </c>
      <c r="G151" s="43">
        <v>0</v>
      </c>
      <c r="H151" s="43">
        <v>0</v>
      </c>
      <c r="I151" s="95" t="s">
        <v>111</v>
      </c>
      <c r="J151" s="106"/>
    </row>
    <row r="152" spans="1:10" x14ac:dyDescent="0.25">
      <c r="A152" s="44">
        <v>133</v>
      </c>
      <c r="B152" s="59" t="s">
        <v>424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95" t="s">
        <v>111</v>
      </c>
      <c r="J152" s="120"/>
    </row>
    <row r="153" spans="1:10" x14ac:dyDescent="0.25">
      <c r="A153" s="44">
        <v>134</v>
      </c>
      <c r="B153" s="59" t="s">
        <v>425</v>
      </c>
      <c r="C153" s="43">
        <v>8</v>
      </c>
      <c r="D153" s="43">
        <v>16</v>
      </c>
      <c r="E153" s="43">
        <v>0</v>
      </c>
      <c r="F153" s="43">
        <v>0</v>
      </c>
      <c r="G153" s="43">
        <v>2</v>
      </c>
      <c r="H153" s="43">
        <v>2</v>
      </c>
      <c r="I153" s="95">
        <v>14</v>
      </c>
      <c r="J153" s="121" t="s">
        <v>118</v>
      </c>
    </row>
    <row r="154" spans="1:10" ht="15.6" x14ac:dyDescent="0.25">
      <c r="A154" s="44">
        <v>135</v>
      </c>
      <c r="B154" s="59" t="s">
        <v>426</v>
      </c>
      <c r="C154" s="43">
        <v>5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95" t="s">
        <v>111</v>
      </c>
      <c r="J154" s="63"/>
    </row>
    <row r="155" spans="1:10" ht="20.25" customHeight="1" x14ac:dyDescent="0.25">
      <c r="A155" s="44">
        <v>136</v>
      </c>
      <c r="B155" s="59" t="s">
        <v>427</v>
      </c>
      <c r="C155" s="43">
        <v>2</v>
      </c>
      <c r="D155" s="43">
        <v>3</v>
      </c>
      <c r="E155" s="43">
        <v>0</v>
      </c>
      <c r="F155" s="43">
        <v>0</v>
      </c>
      <c r="G155" s="43">
        <v>0</v>
      </c>
      <c r="H155" s="43">
        <v>0</v>
      </c>
      <c r="I155" s="95">
        <v>3</v>
      </c>
      <c r="J155" s="47"/>
    </row>
    <row r="156" spans="1:10" ht="15.6" x14ac:dyDescent="0.25">
      <c r="A156" s="44">
        <v>137</v>
      </c>
      <c r="B156" s="59" t="s">
        <v>428</v>
      </c>
      <c r="C156" s="43">
        <v>4</v>
      </c>
      <c r="D156" s="43">
        <v>13</v>
      </c>
      <c r="E156" s="43">
        <v>0</v>
      </c>
      <c r="F156" s="43">
        <v>0</v>
      </c>
      <c r="G156" s="43">
        <v>0</v>
      </c>
      <c r="H156" s="43">
        <v>0</v>
      </c>
      <c r="I156" s="95">
        <v>13</v>
      </c>
      <c r="J156" s="114"/>
    </row>
    <row r="157" spans="1:10" s="73" customFormat="1" x14ac:dyDescent="0.25">
      <c r="A157" s="44">
        <v>138</v>
      </c>
      <c r="B157" s="59" t="s">
        <v>429</v>
      </c>
      <c r="C157" s="43">
        <v>4</v>
      </c>
      <c r="D157" s="43">
        <v>30</v>
      </c>
      <c r="E157" s="43">
        <v>0</v>
      </c>
      <c r="F157" s="43">
        <v>0</v>
      </c>
      <c r="G157" s="43">
        <v>0</v>
      </c>
      <c r="H157" s="43">
        <v>0</v>
      </c>
      <c r="I157" s="95">
        <v>30</v>
      </c>
      <c r="J157" s="47"/>
    </row>
    <row r="158" spans="1:10" ht="15.6" x14ac:dyDescent="0.25">
      <c r="A158" s="44">
        <v>139</v>
      </c>
      <c r="B158" s="59" t="s">
        <v>430</v>
      </c>
      <c r="C158" s="43">
        <v>1</v>
      </c>
      <c r="D158" s="43">
        <v>8</v>
      </c>
      <c r="E158" s="43">
        <v>0</v>
      </c>
      <c r="F158" s="43">
        <v>0</v>
      </c>
      <c r="G158" s="43">
        <v>0</v>
      </c>
      <c r="H158" s="43">
        <v>0</v>
      </c>
      <c r="I158" s="95">
        <v>8</v>
      </c>
      <c r="J158" s="122"/>
    </row>
    <row r="159" spans="1:10" s="55" customFormat="1" ht="15.6" x14ac:dyDescent="0.3">
      <c r="A159" s="44">
        <v>140</v>
      </c>
      <c r="B159" s="59" t="s">
        <v>431</v>
      </c>
      <c r="C159" s="43">
        <v>4</v>
      </c>
      <c r="D159" s="43">
        <v>15</v>
      </c>
      <c r="E159" s="43">
        <v>0</v>
      </c>
      <c r="F159" s="43">
        <v>0</v>
      </c>
      <c r="G159" s="43">
        <v>0</v>
      </c>
      <c r="H159" s="43">
        <v>0</v>
      </c>
      <c r="I159" s="95">
        <v>15</v>
      </c>
      <c r="J159" s="106"/>
    </row>
    <row r="160" spans="1:10" x14ac:dyDescent="0.25">
      <c r="A160" s="44">
        <v>141</v>
      </c>
      <c r="B160" s="59" t="s">
        <v>432</v>
      </c>
      <c r="C160" s="43">
        <v>3</v>
      </c>
      <c r="D160" s="43">
        <v>7</v>
      </c>
      <c r="E160" s="43">
        <v>0</v>
      </c>
      <c r="F160" s="43">
        <v>0</v>
      </c>
      <c r="G160" s="43">
        <v>0</v>
      </c>
      <c r="H160" s="43">
        <v>0</v>
      </c>
      <c r="I160" s="95">
        <v>7</v>
      </c>
      <c r="J160" s="47"/>
    </row>
    <row r="161" spans="1:10" x14ac:dyDescent="0.25">
      <c r="A161" s="44">
        <v>142</v>
      </c>
      <c r="B161" s="59" t="s">
        <v>433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95" t="s">
        <v>111</v>
      </c>
      <c r="J161" s="47"/>
    </row>
    <row r="162" spans="1:10" x14ac:dyDescent="0.25">
      <c r="A162" s="44">
        <v>143</v>
      </c>
      <c r="B162" s="59" t="s">
        <v>434</v>
      </c>
      <c r="C162" s="43">
        <v>2</v>
      </c>
      <c r="D162" s="43">
        <v>1</v>
      </c>
      <c r="E162" s="43">
        <v>0</v>
      </c>
      <c r="F162" s="43">
        <v>0</v>
      </c>
      <c r="G162" s="43">
        <v>0</v>
      </c>
      <c r="H162" s="43">
        <v>0</v>
      </c>
      <c r="I162" s="95">
        <v>1</v>
      </c>
      <c r="J162" s="120"/>
    </row>
    <row r="163" spans="1:10" ht="15.6" x14ac:dyDescent="0.25">
      <c r="A163" s="44">
        <v>144</v>
      </c>
      <c r="B163" s="59" t="s">
        <v>435</v>
      </c>
      <c r="C163" s="43">
        <v>0</v>
      </c>
      <c r="D163" s="43">
        <v>0</v>
      </c>
      <c r="E163" s="43">
        <v>0</v>
      </c>
      <c r="F163" s="43">
        <v>0</v>
      </c>
      <c r="G163" s="43">
        <v>0</v>
      </c>
      <c r="H163" s="43">
        <v>0</v>
      </c>
      <c r="I163" s="95" t="s">
        <v>111</v>
      </c>
      <c r="J163" s="114"/>
    </row>
    <row r="164" spans="1:10" x14ac:dyDescent="0.25">
      <c r="A164" s="44">
        <v>145</v>
      </c>
      <c r="B164" s="59" t="s">
        <v>436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95" t="s">
        <v>111</v>
      </c>
      <c r="J164" s="120"/>
    </row>
    <row r="165" spans="1:10" x14ac:dyDescent="0.25">
      <c r="A165" s="44">
        <v>146</v>
      </c>
      <c r="B165" s="59" t="s">
        <v>437</v>
      </c>
      <c r="C165" s="43">
        <v>3</v>
      </c>
      <c r="D165" s="43">
        <v>3</v>
      </c>
      <c r="E165" s="43">
        <v>0</v>
      </c>
      <c r="F165" s="43">
        <v>0</v>
      </c>
      <c r="G165" s="43">
        <v>0</v>
      </c>
      <c r="H165" s="43">
        <v>0</v>
      </c>
      <c r="I165" s="95">
        <v>3</v>
      </c>
      <c r="J165" s="120"/>
    </row>
    <row r="166" spans="1:10" x14ac:dyDescent="0.25">
      <c r="A166" s="44">
        <v>147</v>
      </c>
      <c r="B166" s="59" t="s">
        <v>438</v>
      </c>
      <c r="C166" s="43">
        <v>3</v>
      </c>
      <c r="D166" s="43">
        <v>5</v>
      </c>
      <c r="E166" s="43">
        <v>0</v>
      </c>
      <c r="F166" s="43">
        <v>0</v>
      </c>
      <c r="G166" s="43">
        <v>0</v>
      </c>
      <c r="H166" s="43">
        <v>0</v>
      </c>
      <c r="I166" s="95">
        <v>5</v>
      </c>
      <c r="J166" s="120"/>
    </row>
    <row r="167" spans="1:10" s="55" customFormat="1" ht="15.6" x14ac:dyDescent="0.3">
      <c r="A167" s="44">
        <v>148</v>
      </c>
      <c r="B167" s="59" t="s">
        <v>439</v>
      </c>
      <c r="C167" s="43">
        <v>13</v>
      </c>
      <c r="D167" s="43">
        <v>13</v>
      </c>
      <c r="E167" s="43">
        <v>0</v>
      </c>
      <c r="F167" s="43">
        <v>0</v>
      </c>
      <c r="G167" s="43">
        <v>0</v>
      </c>
      <c r="H167" s="43">
        <v>0</v>
      </c>
      <c r="I167" s="95">
        <v>13</v>
      </c>
      <c r="J167" s="106"/>
    </row>
    <row r="168" spans="1:10" x14ac:dyDescent="0.25">
      <c r="A168" s="44">
        <v>149</v>
      </c>
      <c r="B168" s="59" t="s">
        <v>440</v>
      </c>
      <c r="C168" s="43">
        <v>17</v>
      </c>
      <c r="D168" s="43">
        <v>25</v>
      </c>
      <c r="E168" s="43">
        <v>0</v>
      </c>
      <c r="F168" s="43">
        <v>0</v>
      </c>
      <c r="G168" s="43">
        <v>0</v>
      </c>
      <c r="H168" s="43">
        <v>0</v>
      </c>
      <c r="I168" s="95">
        <v>25</v>
      </c>
      <c r="J168" s="47"/>
    </row>
    <row r="169" spans="1:10" x14ac:dyDescent="0.25">
      <c r="A169" s="44">
        <v>150</v>
      </c>
      <c r="B169" s="59" t="s">
        <v>441</v>
      </c>
      <c r="C169" s="43">
        <v>3</v>
      </c>
      <c r="D169" s="43">
        <v>8</v>
      </c>
      <c r="E169" s="43">
        <v>0</v>
      </c>
      <c r="F169" s="43">
        <v>0</v>
      </c>
      <c r="G169" s="43">
        <v>0</v>
      </c>
      <c r="H169" s="43">
        <v>0</v>
      </c>
      <c r="I169" s="95">
        <v>8</v>
      </c>
      <c r="J169" s="47"/>
    </row>
    <row r="170" spans="1:10" s="7" customFormat="1" ht="22.5" customHeight="1" x14ac:dyDescent="0.25">
      <c r="A170" s="44">
        <v>151</v>
      </c>
      <c r="B170" s="59" t="s">
        <v>442</v>
      </c>
      <c r="C170" s="43">
        <v>13</v>
      </c>
      <c r="D170" s="43">
        <v>13</v>
      </c>
      <c r="E170" s="43">
        <v>0</v>
      </c>
      <c r="F170" s="43">
        <v>0</v>
      </c>
      <c r="G170" s="43">
        <v>2</v>
      </c>
      <c r="H170" s="43">
        <v>2</v>
      </c>
      <c r="I170" s="95">
        <v>11</v>
      </c>
      <c r="J170" s="106" t="s">
        <v>133</v>
      </c>
    </row>
    <row r="171" spans="1:10" x14ac:dyDescent="0.25">
      <c r="A171" s="44">
        <v>152</v>
      </c>
      <c r="B171" s="59" t="s">
        <v>443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95" t="s">
        <v>111</v>
      </c>
      <c r="J171" s="120"/>
    </row>
    <row r="172" spans="1:10" s="4" customFormat="1" ht="15.6" x14ac:dyDescent="0.3">
      <c r="A172" s="44">
        <v>153</v>
      </c>
      <c r="B172" s="59" t="s">
        <v>444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95" t="s">
        <v>111</v>
      </c>
      <c r="J172" s="120"/>
    </row>
    <row r="173" spans="1:10" s="55" customFormat="1" ht="15.6" x14ac:dyDescent="0.3">
      <c r="A173" s="44">
        <v>154</v>
      </c>
      <c r="B173" s="59" t="s">
        <v>445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95" t="s">
        <v>111</v>
      </c>
      <c r="J173" s="106"/>
    </row>
    <row r="174" spans="1:10" s="55" customFormat="1" ht="15.6" x14ac:dyDescent="0.3">
      <c r="A174" s="44">
        <v>155</v>
      </c>
      <c r="B174" s="59" t="s">
        <v>446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95" t="s">
        <v>111</v>
      </c>
      <c r="J174" s="106"/>
    </row>
    <row r="175" spans="1:10" x14ac:dyDescent="0.25">
      <c r="A175" s="44">
        <v>156</v>
      </c>
      <c r="B175" s="59" t="s">
        <v>447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95" t="s">
        <v>111</v>
      </c>
      <c r="J175" s="120"/>
    </row>
    <row r="176" spans="1:10" x14ac:dyDescent="0.25">
      <c r="A176" s="44">
        <v>157</v>
      </c>
      <c r="B176" s="59" t="s">
        <v>448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95" t="s">
        <v>111</v>
      </c>
      <c r="J176" s="120"/>
    </row>
    <row r="177" spans="1:10" x14ac:dyDescent="0.25">
      <c r="A177" s="44">
        <v>158</v>
      </c>
      <c r="B177" s="59" t="s">
        <v>449</v>
      </c>
      <c r="C177" s="43">
        <v>0</v>
      </c>
      <c r="D177" s="43">
        <v>0</v>
      </c>
      <c r="E177" s="43">
        <v>0</v>
      </c>
      <c r="F177" s="43">
        <v>0</v>
      </c>
      <c r="G177" s="43">
        <v>0</v>
      </c>
      <c r="H177" s="43">
        <v>0</v>
      </c>
      <c r="I177" s="95" t="s">
        <v>111</v>
      </c>
      <c r="J177" s="120"/>
    </row>
    <row r="178" spans="1:10" x14ac:dyDescent="0.25">
      <c r="A178" s="44">
        <v>159</v>
      </c>
      <c r="B178" s="59" t="s">
        <v>450</v>
      </c>
      <c r="C178" s="43">
        <v>3</v>
      </c>
      <c r="D178" s="43">
        <v>3</v>
      </c>
      <c r="E178" s="43">
        <v>0</v>
      </c>
      <c r="F178" s="43">
        <v>0</v>
      </c>
      <c r="G178" s="43">
        <v>0</v>
      </c>
      <c r="H178" s="43">
        <v>0</v>
      </c>
      <c r="I178" s="95">
        <v>3</v>
      </c>
      <c r="J178" s="120"/>
    </row>
    <row r="179" spans="1:10" s="55" customFormat="1" ht="15.6" x14ac:dyDescent="0.3">
      <c r="A179" s="44">
        <v>160</v>
      </c>
      <c r="B179" s="59" t="s">
        <v>451</v>
      </c>
      <c r="C179" s="43">
        <v>0</v>
      </c>
      <c r="D179" s="43">
        <v>0</v>
      </c>
      <c r="E179" s="43">
        <v>0</v>
      </c>
      <c r="F179" s="43">
        <v>0</v>
      </c>
      <c r="G179" s="43">
        <v>0</v>
      </c>
      <c r="H179" s="43">
        <v>0</v>
      </c>
      <c r="I179" s="95" t="s">
        <v>111</v>
      </c>
      <c r="J179" s="106"/>
    </row>
    <row r="180" spans="1:10" s="75" customFormat="1" ht="30.75" customHeight="1" x14ac:dyDescent="0.3">
      <c r="A180" s="44">
        <v>161</v>
      </c>
      <c r="B180" s="59" t="s">
        <v>452</v>
      </c>
      <c r="C180" s="43">
        <v>0</v>
      </c>
      <c r="D180" s="43">
        <v>9</v>
      </c>
      <c r="E180" s="43">
        <v>0</v>
      </c>
      <c r="F180" s="43">
        <v>0</v>
      </c>
      <c r="G180" s="43">
        <v>0</v>
      </c>
      <c r="H180" s="43">
        <v>0</v>
      </c>
      <c r="I180" s="95">
        <v>9</v>
      </c>
      <c r="J180" s="42"/>
    </row>
    <row r="181" spans="1:10" s="55" customFormat="1" ht="15.6" x14ac:dyDescent="0.3">
      <c r="A181" s="44">
        <v>162</v>
      </c>
      <c r="B181" s="59" t="s">
        <v>453</v>
      </c>
      <c r="C181" s="43">
        <v>0</v>
      </c>
      <c r="D181" s="43">
        <v>18</v>
      </c>
      <c r="E181" s="43">
        <v>0</v>
      </c>
      <c r="F181" s="43">
        <v>0</v>
      </c>
      <c r="G181" s="43">
        <v>1</v>
      </c>
      <c r="H181" s="43">
        <v>1</v>
      </c>
      <c r="I181" s="95">
        <v>17</v>
      </c>
      <c r="J181" s="106" t="s">
        <v>150</v>
      </c>
    </row>
    <row r="182" spans="1:10" s="55" customFormat="1" ht="15.6" x14ac:dyDescent="0.3">
      <c r="A182" s="44">
        <v>163</v>
      </c>
      <c r="B182" s="59" t="s">
        <v>454</v>
      </c>
      <c r="C182" s="43">
        <v>0</v>
      </c>
      <c r="D182" s="43">
        <v>0</v>
      </c>
      <c r="E182" s="43">
        <v>0</v>
      </c>
      <c r="F182" s="43">
        <v>0</v>
      </c>
      <c r="G182" s="43">
        <v>0</v>
      </c>
      <c r="H182" s="43">
        <v>0</v>
      </c>
      <c r="I182" s="95" t="s">
        <v>111</v>
      </c>
      <c r="J182" s="106"/>
    </row>
    <row r="183" spans="1:10" s="55" customFormat="1" x14ac:dyDescent="0.3">
      <c r="A183" s="44">
        <v>164</v>
      </c>
      <c r="B183" s="59" t="s">
        <v>455</v>
      </c>
      <c r="C183" s="43">
        <v>3</v>
      </c>
      <c r="D183" s="43">
        <v>7</v>
      </c>
      <c r="E183" s="43">
        <v>0</v>
      </c>
      <c r="F183" s="43">
        <v>0</v>
      </c>
      <c r="G183" s="43">
        <v>0</v>
      </c>
      <c r="H183" s="43">
        <v>0</v>
      </c>
      <c r="I183" s="95">
        <v>7</v>
      </c>
      <c r="J183" s="47"/>
    </row>
    <row r="184" spans="1:10" s="55" customFormat="1" ht="15.6" x14ac:dyDescent="0.3">
      <c r="A184" s="44">
        <v>165</v>
      </c>
      <c r="B184" s="59" t="s">
        <v>456</v>
      </c>
      <c r="C184" s="43">
        <v>23</v>
      </c>
      <c r="D184" s="43">
        <v>66</v>
      </c>
      <c r="E184" s="43">
        <v>0</v>
      </c>
      <c r="F184" s="43">
        <v>0</v>
      </c>
      <c r="G184" s="43">
        <v>0</v>
      </c>
      <c r="H184" s="43">
        <v>0</v>
      </c>
      <c r="I184" s="95">
        <v>66</v>
      </c>
      <c r="J184" s="106"/>
    </row>
    <row r="185" spans="1:10" s="55" customFormat="1" ht="15.6" x14ac:dyDescent="0.3">
      <c r="A185" s="44">
        <v>166</v>
      </c>
      <c r="B185" s="59" t="s">
        <v>457</v>
      </c>
      <c r="C185" s="43">
        <v>0</v>
      </c>
      <c r="D185" s="43">
        <v>5</v>
      </c>
      <c r="E185" s="43">
        <v>0</v>
      </c>
      <c r="F185" s="43">
        <v>0</v>
      </c>
      <c r="G185" s="43">
        <v>0</v>
      </c>
      <c r="H185" s="43">
        <v>0</v>
      </c>
      <c r="I185" s="95">
        <v>5</v>
      </c>
      <c r="J185" s="106"/>
    </row>
    <row r="186" spans="1:10" s="55" customFormat="1" ht="15.6" x14ac:dyDescent="0.3">
      <c r="A186" s="44">
        <v>167</v>
      </c>
      <c r="B186" s="59" t="s">
        <v>458</v>
      </c>
      <c r="C186" s="43">
        <v>25</v>
      </c>
      <c r="D186" s="43">
        <v>90</v>
      </c>
      <c r="E186" s="43">
        <v>0</v>
      </c>
      <c r="F186" s="43">
        <v>0</v>
      </c>
      <c r="G186" s="43">
        <v>3</v>
      </c>
      <c r="H186" s="43">
        <v>2</v>
      </c>
      <c r="I186" s="95">
        <v>88</v>
      </c>
      <c r="J186" s="106" t="s">
        <v>133</v>
      </c>
    </row>
    <row r="187" spans="1:10" s="55" customFormat="1" ht="15.6" x14ac:dyDescent="0.3">
      <c r="A187" s="44">
        <v>168</v>
      </c>
      <c r="B187" s="59" t="s">
        <v>459</v>
      </c>
      <c r="C187" s="43">
        <v>8</v>
      </c>
      <c r="D187" s="43">
        <v>5</v>
      </c>
      <c r="E187" s="43">
        <v>0</v>
      </c>
      <c r="F187" s="43">
        <v>0</v>
      </c>
      <c r="G187" s="43">
        <v>0</v>
      </c>
      <c r="H187" s="43">
        <v>0</v>
      </c>
      <c r="I187" s="95">
        <v>5</v>
      </c>
      <c r="J187" s="106"/>
    </row>
    <row r="188" spans="1:10" s="55" customFormat="1" ht="15.6" x14ac:dyDescent="0.3">
      <c r="A188" s="44">
        <v>169</v>
      </c>
      <c r="B188" s="59" t="s">
        <v>460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95" t="s">
        <v>111</v>
      </c>
      <c r="J188" s="106"/>
    </row>
    <row r="189" spans="1:10" s="55" customFormat="1" ht="15.6" x14ac:dyDescent="0.3">
      <c r="A189" s="44">
        <v>170</v>
      </c>
      <c r="B189" s="59" t="s">
        <v>461</v>
      </c>
      <c r="C189" s="43">
        <v>0</v>
      </c>
      <c r="D189" s="43">
        <v>4</v>
      </c>
      <c r="E189" s="43">
        <v>0</v>
      </c>
      <c r="F189" s="43">
        <v>0</v>
      </c>
      <c r="G189" s="43">
        <v>0</v>
      </c>
      <c r="H189" s="43">
        <v>0</v>
      </c>
      <c r="I189" s="95">
        <v>4</v>
      </c>
      <c r="J189" s="106"/>
    </row>
    <row r="190" spans="1:10" s="55" customFormat="1" x14ac:dyDescent="0.3">
      <c r="A190" s="44">
        <v>171</v>
      </c>
      <c r="B190" s="59" t="s">
        <v>462</v>
      </c>
      <c r="C190" s="43">
        <v>0</v>
      </c>
      <c r="D190" s="43">
        <v>10</v>
      </c>
      <c r="E190" s="43">
        <v>0</v>
      </c>
      <c r="F190" s="43">
        <v>0</v>
      </c>
      <c r="G190" s="43">
        <v>0</v>
      </c>
      <c r="H190" s="43">
        <v>0</v>
      </c>
      <c r="I190" s="95">
        <v>10</v>
      </c>
      <c r="J190" s="47"/>
    </row>
    <row r="191" spans="1:10" s="55" customFormat="1" x14ac:dyDescent="0.3">
      <c r="A191" s="44">
        <v>172</v>
      </c>
      <c r="B191" s="59" t="s">
        <v>463</v>
      </c>
      <c r="C191" s="43">
        <v>2</v>
      </c>
      <c r="D191" s="43">
        <v>11</v>
      </c>
      <c r="E191" s="43">
        <v>0</v>
      </c>
      <c r="F191" s="43">
        <v>0</v>
      </c>
      <c r="G191" s="43">
        <v>1</v>
      </c>
      <c r="H191" s="43">
        <v>1</v>
      </c>
      <c r="I191" s="95">
        <v>10</v>
      </c>
      <c r="J191" s="47" t="s">
        <v>119</v>
      </c>
    </row>
    <row r="192" spans="1:10" s="55" customFormat="1" ht="15.6" x14ac:dyDescent="0.3">
      <c r="A192" s="44">
        <v>173</v>
      </c>
      <c r="B192" s="59" t="s">
        <v>464</v>
      </c>
      <c r="C192" s="43">
        <v>0</v>
      </c>
      <c r="D192" s="43">
        <v>26</v>
      </c>
      <c r="E192" s="43">
        <v>0</v>
      </c>
      <c r="F192" s="43">
        <v>0</v>
      </c>
      <c r="G192" s="43">
        <v>0</v>
      </c>
      <c r="H192" s="43">
        <v>0</v>
      </c>
      <c r="I192" s="95">
        <v>26</v>
      </c>
      <c r="J192" s="106"/>
    </row>
    <row r="193" spans="1:10" s="55" customFormat="1" ht="15.6" x14ac:dyDescent="0.3">
      <c r="A193" s="44">
        <v>174</v>
      </c>
      <c r="B193" s="59" t="s">
        <v>465</v>
      </c>
      <c r="C193" s="43">
        <v>0</v>
      </c>
      <c r="D193" s="43">
        <v>3</v>
      </c>
      <c r="E193" s="43">
        <v>0</v>
      </c>
      <c r="F193" s="43">
        <v>0</v>
      </c>
      <c r="G193" s="43">
        <v>0</v>
      </c>
      <c r="H193" s="43">
        <v>0</v>
      </c>
      <c r="I193" s="95">
        <v>3</v>
      </c>
      <c r="J193" s="106"/>
    </row>
    <row r="194" spans="1:10" s="55" customFormat="1" ht="15.6" x14ac:dyDescent="0.3">
      <c r="A194" s="44">
        <v>175</v>
      </c>
      <c r="B194" s="59" t="s">
        <v>466</v>
      </c>
      <c r="C194" s="43">
        <v>1</v>
      </c>
      <c r="D194" s="43">
        <v>3</v>
      </c>
      <c r="E194" s="43">
        <v>0</v>
      </c>
      <c r="F194" s="43">
        <v>0</v>
      </c>
      <c r="G194" s="43">
        <v>0</v>
      </c>
      <c r="H194" s="43">
        <v>0</v>
      </c>
      <c r="I194" s="95">
        <v>3</v>
      </c>
      <c r="J194" s="106"/>
    </row>
    <row r="195" spans="1:10" s="75" customFormat="1" ht="77.25" customHeight="1" x14ac:dyDescent="0.3">
      <c r="A195" s="44">
        <v>176</v>
      </c>
      <c r="B195" s="59" t="s">
        <v>467</v>
      </c>
      <c r="C195" s="43">
        <v>145</v>
      </c>
      <c r="D195" s="43">
        <v>165</v>
      </c>
      <c r="E195" s="43">
        <v>1</v>
      </c>
      <c r="F195" s="43">
        <v>0</v>
      </c>
      <c r="G195" s="43">
        <v>3</v>
      </c>
      <c r="H195" s="43">
        <v>4</v>
      </c>
      <c r="I195" s="95">
        <v>161</v>
      </c>
      <c r="J195" s="121" t="s">
        <v>129</v>
      </c>
    </row>
    <row r="196" spans="1:10" s="55" customFormat="1" x14ac:dyDescent="0.3">
      <c r="A196" s="44">
        <v>177</v>
      </c>
      <c r="B196" s="59" t="s">
        <v>468</v>
      </c>
      <c r="C196" s="43">
        <v>2</v>
      </c>
      <c r="D196" s="43">
        <v>11</v>
      </c>
      <c r="E196" s="43">
        <v>0</v>
      </c>
      <c r="F196" s="43">
        <v>0</v>
      </c>
      <c r="G196" s="43">
        <v>0</v>
      </c>
      <c r="H196" s="43">
        <v>0</v>
      </c>
      <c r="I196" s="95">
        <v>11</v>
      </c>
      <c r="J196" s="47"/>
    </row>
    <row r="197" spans="1:10" s="55" customFormat="1" x14ac:dyDescent="0.3">
      <c r="A197" s="44">
        <v>178</v>
      </c>
      <c r="B197" s="59" t="s">
        <v>469</v>
      </c>
      <c r="C197" s="43">
        <v>0</v>
      </c>
      <c r="D197" s="43">
        <v>0</v>
      </c>
      <c r="E197" s="43">
        <v>0</v>
      </c>
      <c r="F197" s="43">
        <v>0</v>
      </c>
      <c r="G197" s="43">
        <v>0</v>
      </c>
      <c r="H197" s="43">
        <v>0</v>
      </c>
      <c r="I197" s="95" t="s">
        <v>111</v>
      </c>
      <c r="J197" s="47"/>
    </row>
    <row r="198" spans="1:10" s="55" customFormat="1" x14ac:dyDescent="0.3">
      <c r="A198" s="44">
        <v>179</v>
      </c>
      <c r="B198" s="59" t="s">
        <v>470</v>
      </c>
      <c r="C198" s="43">
        <v>0</v>
      </c>
      <c r="D198" s="43">
        <v>13</v>
      </c>
      <c r="E198" s="43">
        <v>0</v>
      </c>
      <c r="F198" s="43">
        <v>0</v>
      </c>
      <c r="G198" s="43">
        <v>0</v>
      </c>
      <c r="H198" s="43">
        <v>0</v>
      </c>
      <c r="I198" s="95">
        <v>13</v>
      </c>
      <c r="J198" s="47"/>
    </row>
    <row r="199" spans="1:10" s="55" customFormat="1" x14ac:dyDescent="0.3">
      <c r="A199" s="44">
        <v>180</v>
      </c>
      <c r="B199" s="59" t="s">
        <v>471</v>
      </c>
      <c r="C199" s="43">
        <v>0</v>
      </c>
      <c r="D199" s="43">
        <v>16</v>
      </c>
      <c r="E199" s="43">
        <v>0</v>
      </c>
      <c r="F199" s="43">
        <v>0</v>
      </c>
      <c r="G199" s="43">
        <v>0</v>
      </c>
      <c r="H199" s="43">
        <v>0</v>
      </c>
      <c r="I199" s="95">
        <v>16</v>
      </c>
      <c r="J199" s="47"/>
    </row>
    <row r="200" spans="1:10" s="55" customFormat="1" x14ac:dyDescent="0.3">
      <c r="A200" s="44">
        <v>181</v>
      </c>
      <c r="B200" s="59" t="s">
        <v>472</v>
      </c>
      <c r="C200" s="43">
        <v>28</v>
      </c>
      <c r="D200" s="43">
        <v>45</v>
      </c>
      <c r="E200" s="43">
        <v>0</v>
      </c>
      <c r="F200" s="43">
        <v>0</v>
      </c>
      <c r="G200" s="43">
        <v>0</v>
      </c>
      <c r="H200" s="43">
        <v>0</v>
      </c>
      <c r="I200" s="95">
        <v>45</v>
      </c>
      <c r="J200" s="47"/>
    </row>
    <row r="201" spans="1:10" s="55" customFormat="1" x14ac:dyDescent="0.3">
      <c r="A201" s="44">
        <v>182</v>
      </c>
      <c r="B201" s="59" t="s">
        <v>473</v>
      </c>
      <c r="C201" s="43">
        <v>3</v>
      </c>
      <c r="D201" s="43">
        <v>9</v>
      </c>
      <c r="E201" s="43">
        <v>0</v>
      </c>
      <c r="F201" s="43">
        <v>0</v>
      </c>
      <c r="G201" s="43">
        <v>0</v>
      </c>
      <c r="H201" s="43">
        <v>0</v>
      </c>
      <c r="I201" s="95">
        <v>9</v>
      </c>
      <c r="J201" s="47"/>
    </row>
    <row r="202" spans="1:10" s="55" customFormat="1" x14ac:dyDescent="0.3">
      <c r="A202" s="44">
        <v>183</v>
      </c>
      <c r="B202" s="59" t="s">
        <v>474</v>
      </c>
      <c r="C202" s="43">
        <v>1</v>
      </c>
      <c r="D202" s="43">
        <v>4</v>
      </c>
      <c r="E202" s="43">
        <v>0</v>
      </c>
      <c r="F202" s="43">
        <v>0</v>
      </c>
      <c r="G202" s="43">
        <v>0</v>
      </c>
      <c r="H202" s="43">
        <v>0</v>
      </c>
      <c r="I202" s="95">
        <v>4</v>
      </c>
      <c r="J202" s="47"/>
    </row>
    <row r="203" spans="1:10" s="55" customFormat="1" ht="15.6" x14ac:dyDescent="0.3">
      <c r="A203" s="44">
        <v>184</v>
      </c>
      <c r="B203" s="59" t="s">
        <v>475</v>
      </c>
      <c r="C203" s="43">
        <v>0</v>
      </c>
      <c r="D203" s="43">
        <v>0</v>
      </c>
      <c r="E203" s="43">
        <v>0</v>
      </c>
      <c r="F203" s="43">
        <v>0</v>
      </c>
      <c r="G203" s="43">
        <v>0</v>
      </c>
      <c r="H203" s="43">
        <v>0</v>
      </c>
      <c r="I203" s="95" t="s">
        <v>111</v>
      </c>
      <c r="J203" s="106"/>
    </row>
    <row r="204" spans="1:10" s="55" customFormat="1" ht="15.6" x14ac:dyDescent="0.3">
      <c r="A204" s="44">
        <v>185</v>
      </c>
      <c r="B204" s="59" t="s">
        <v>476</v>
      </c>
      <c r="C204" s="43">
        <v>0</v>
      </c>
      <c r="D204" s="43">
        <v>0</v>
      </c>
      <c r="E204" s="43">
        <v>0</v>
      </c>
      <c r="F204" s="43">
        <v>0</v>
      </c>
      <c r="G204" s="43">
        <v>0</v>
      </c>
      <c r="H204" s="43">
        <v>0</v>
      </c>
      <c r="I204" s="95" t="s">
        <v>111</v>
      </c>
      <c r="J204" s="106"/>
    </row>
    <row r="205" spans="1:10" s="55" customFormat="1" ht="15.6" x14ac:dyDescent="0.3">
      <c r="A205" s="44">
        <v>186</v>
      </c>
      <c r="B205" s="59" t="s">
        <v>477</v>
      </c>
      <c r="C205" s="43">
        <v>0</v>
      </c>
      <c r="D205" s="43">
        <v>0</v>
      </c>
      <c r="E205" s="43">
        <v>0</v>
      </c>
      <c r="F205" s="43">
        <v>0</v>
      </c>
      <c r="G205" s="43">
        <v>0</v>
      </c>
      <c r="H205" s="43">
        <v>0</v>
      </c>
      <c r="I205" s="95" t="s">
        <v>111</v>
      </c>
      <c r="J205" s="106"/>
    </row>
    <row r="206" spans="1:10" s="55" customFormat="1" ht="15.6" x14ac:dyDescent="0.3">
      <c r="A206" s="44">
        <v>187</v>
      </c>
      <c r="B206" s="59" t="s">
        <v>478</v>
      </c>
      <c r="C206" s="43">
        <v>0</v>
      </c>
      <c r="D206" s="43">
        <v>0</v>
      </c>
      <c r="E206" s="43">
        <v>0</v>
      </c>
      <c r="F206" s="43">
        <v>0</v>
      </c>
      <c r="G206" s="43">
        <v>0</v>
      </c>
      <c r="H206" s="43">
        <v>0</v>
      </c>
      <c r="I206" s="95" t="s">
        <v>111</v>
      </c>
      <c r="J206" s="106"/>
    </row>
    <row r="207" spans="1:10" s="55" customFormat="1" x14ac:dyDescent="0.3">
      <c r="A207" s="44">
        <v>188</v>
      </c>
      <c r="B207" s="59" t="s">
        <v>479</v>
      </c>
      <c r="C207" s="43">
        <v>11</v>
      </c>
      <c r="D207" s="43">
        <v>16</v>
      </c>
      <c r="E207" s="43">
        <v>0</v>
      </c>
      <c r="F207" s="43">
        <v>0</v>
      </c>
      <c r="G207" s="43">
        <v>0</v>
      </c>
      <c r="H207" s="43">
        <v>0</v>
      </c>
      <c r="I207" s="95">
        <v>16</v>
      </c>
      <c r="J207" s="47"/>
    </row>
    <row r="208" spans="1:10" s="55" customFormat="1" ht="15.6" x14ac:dyDescent="0.3">
      <c r="A208" s="44">
        <v>189</v>
      </c>
      <c r="B208" s="59" t="s">
        <v>480</v>
      </c>
      <c r="C208" s="43">
        <v>0</v>
      </c>
      <c r="D208" s="43">
        <v>3</v>
      </c>
      <c r="E208" s="43">
        <v>0</v>
      </c>
      <c r="F208" s="43">
        <v>0</v>
      </c>
      <c r="G208" s="43">
        <v>0</v>
      </c>
      <c r="H208" s="43">
        <v>0</v>
      </c>
      <c r="I208" s="95">
        <v>3</v>
      </c>
      <c r="J208" s="106"/>
    </row>
    <row r="209" spans="1:10" s="55" customFormat="1" x14ac:dyDescent="0.3">
      <c r="A209" s="44">
        <v>190</v>
      </c>
      <c r="B209" s="59" t="s">
        <v>481</v>
      </c>
      <c r="C209" s="43">
        <v>0</v>
      </c>
      <c r="D209" s="43">
        <v>4</v>
      </c>
      <c r="E209" s="43">
        <v>0</v>
      </c>
      <c r="F209" s="43">
        <v>0</v>
      </c>
      <c r="G209" s="43">
        <v>0</v>
      </c>
      <c r="H209" s="43">
        <v>0</v>
      </c>
      <c r="I209" s="95">
        <v>4</v>
      </c>
      <c r="J209" s="47"/>
    </row>
    <row r="210" spans="1:10" s="55" customFormat="1" ht="15.6" x14ac:dyDescent="0.3">
      <c r="A210" s="44">
        <v>191</v>
      </c>
      <c r="B210" s="59" t="s">
        <v>482</v>
      </c>
      <c r="C210" s="43">
        <v>0</v>
      </c>
      <c r="D210" s="43">
        <v>0</v>
      </c>
      <c r="E210" s="43">
        <v>0</v>
      </c>
      <c r="F210" s="43">
        <v>0</v>
      </c>
      <c r="G210" s="43">
        <v>0</v>
      </c>
      <c r="H210" s="43">
        <v>0</v>
      </c>
      <c r="I210" s="95" t="s">
        <v>111</v>
      </c>
      <c r="J210" s="106"/>
    </row>
    <row r="211" spans="1:10" s="55" customFormat="1" ht="15.6" x14ac:dyDescent="0.3">
      <c r="A211" s="44">
        <v>192</v>
      </c>
      <c r="B211" s="59" t="s">
        <v>483</v>
      </c>
      <c r="C211" s="43">
        <v>0</v>
      </c>
      <c r="D211" s="43">
        <v>0</v>
      </c>
      <c r="E211" s="43">
        <v>0</v>
      </c>
      <c r="F211" s="43">
        <v>0</v>
      </c>
      <c r="G211" s="43">
        <v>0</v>
      </c>
      <c r="H211" s="43">
        <v>0</v>
      </c>
      <c r="I211" s="95" t="s">
        <v>111</v>
      </c>
      <c r="J211" s="106"/>
    </row>
    <row r="212" spans="1:10" s="55" customFormat="1" ht="15.6" x14ac:dyDescent="0.3">
      <c r="A212" s="44">
        <v>193</v>
      </c>
      <c r="B212" s="59" t="s">
        <v>484</v>
      </c>
      <c r="C212" s="43">
        <v>0</v>
      </c>
      <c r="D212" s="43">
        <v>0</v>
      </c>
      <c r="E212" s="43">
        <v>0</v>
      </c>
      <c r="F212" s="43">
        <v>0</v>
      </c>
      <c r="G212" s="43">
        <v>0</v>
      </c>
      <c r="H212" s="43">
        <v>0</v>
      </c>
      <c r="I212" s="95" t="s">
        <v>111</v>
      </c>
      <c r="J212" s="106"/>
    </row>
    <row r="213" spans="1:10" s="55" customFormat="1" ht="15.6" x14ac:dyDescent="0.3">
      <c r="A213" s="44">
        <v>194</v>
      </c>
      <c r="B213" s="59" t="s">
        <v>485</v>
      </c>
      <c r="C213" s="43">
        <v>0</v>
      </c>
      <c r="D213" s="43">
        <v>0</v>
      </c>
      <c r="E213" s="43">
        <v>0</v>
      </c>
      <c r="F213" s="43">
        <v>0</v>
      </c>
      <c r="G213" s="43">
        <v>0</v>
      </c>
      <c r="H213" s="43">
        <v>0</v>
      </c>
      <c r="I213" s="95" t="s">
        <v>111</v>
      </c>
      <c r="J213" s="106"/>
    </row>
    <row r="214" spans="1:10" s="55" customFormat="1" ht="15.6" x14ac:dyDescent="0.3">
      <c r="A214" s="44">
        <v>195</v>
      </c>
      <c r="B214" s="59" t="s">
        <v>486</v>
      </c>
      <c r="C214" s="43">
        <v>0</v>
      </c>
      <c r="D214" s="43">
        <v>0</v>
      </c>
      <c r="E214" s="43">
        <v>0</v>
      </c>
      <c r="F214" s="43">
        <v>0</v>
      </c>
      <c r="G214" s="43">
        <v>0</v>
      </c>
      <c r="H214" s="43">
        <v>0</v>
      </c>
      <c r="I214" s="95" t="s">
        <v>111</v>
      </c>
      <c r="J214" s="106"/>
    </row>
    <row r="215" spans="1:10" s="55" customFormat="1" ht="15.6" x14ac:dyDescent="0.3">
      <c r="A215" s="44">
        <v>196</v>
      </c>
      <c r="B215" s="59" t="s">
        <v>487</v>
      </c>
      <c r="C215" s="43">
        <v>0</v>
      </c>
      <c r="D215" s="43">
        <v>0</v>
      </c>
      <c r="E215" s="43">
        <v>0</v>
      </c>
      <c r="F215" s="43">
        <v>0</v>
      </c>
      <c r="G215" s="43">
        <v>0</v>
      </c>
      <c r="H215" s="43">
        <v>0</v>
      </c>
      <c r="I215" s="95" t="s">
        <v>111</v>
      </c>
      <c r="J215" s="106"/>
    </row>
    <row r="216" spans="1:10" s="55" customFormat="1" ht="15.6" x14ac:dyDescent="0.3">
      <c r="A216" s="44">
        <v>197</v>
      </c>
      <c r="B216" s="59" t="s">
        <v>488</v>
      </c>
      <c r="C216" s="43">
        <v>0</v>
      </c>
      <c r="D216" s="43">
        <v>0</v>
      </c>
      <c r="E216" s="43">
        <v>0</v>
      </c>
      <c r="F216" s="43">
        <v>0</v>
      </c>
      <c r="G216" s="43">
        <v>0</v>
      </c>
      <c r="H216" s="43">
        <v>0</v>
      </c>
      <c r="I216" s="95" t="s">
        <v>111</v>
      </c>
      <c r="J216" s="106"/>
    </row>
    <row r="217" spans="1:10" s="55" customFormat="1" ht="15.6" x14ac:dyDescent="0.3">
      <c r="A217" s="44">
        <v>198</v>
      </c>
      <c r="B217" s="59" t="s">
        <v>489</v>
      </c>
      <c r="C217" s="43">
        <v>0</v>
      </c>
      <c r="D217" s="43">
        <v>0</v>
      </c>
      <c r="E217" s="43">
        <v>0</v>
      </c>
      <c r="F217" s="43">
        <v>0</v>
      </c>
      <c r="G217" s="43">
        <v>0</v>
      </c>
      <c r="H217" s="43">
        <v>0</v>
      </c>
      <c r="I217" s="95" t="s">
        <v>111</v>
      </c>
      <c r="J217" s="106"/>
    </row>
    <row r="218" spans="1:10" s="55" customFormat="1" ht="15.6" x14ac:dyDescent="0.3">
      <c r="A218" s="44">
        <v>199</v>
      </c>
      <c r="B218" s="59" t="s">
        <v>490</v>
      </c>
      <c r="C218" s="43">
        <v>0</v>
      </c>
      <c r="D218" s="43">
        <v>0</v>
      </c>
      <c r="E218" s="43">
        <v>0</v>
      </c>
      <c r="F218" s="43">
        <v>0</v>
      </c>
      <c r="G218" s="43">
        <v>0</v>
      </c>
      <c r="H218" s="43">
        <v>0</v>
      </c>
      <c r="I218" s="95" t="s">
        <v>111</v>
      </c>
      <c r="J218" s="106"/>
    </row>
    <row r="219" spans="1:10" s="55" customFormat="1" x14ac:dyDescent="0.3">
      <c r="A219" s="44">
        <v>200</v>
      </c>
      <c r="B219" s="59" t="s">
        <v>491</v>
      </c>
      <c r="C219" s="43">
        <v>0</v>
      </c>
      <c r="D219" s="43">
        <v>1</v>
      </c>
      <c r="E219" s="43">
        <v>0</v>
      </c>
      <c r="F219" s="43">
        <v>0</v>
      </c>
      <c r="G219" s="43">
        <v>0</v>
      </c>
      <c r="H219" s="43">
        <v>0</v>
      </c>
      <c r="I219" s="95">
        <v>1</v>
      </c>
      <c r="J219" s="47"/>
    </row>
    <row r="220" spans="1:10" s="55" customFormat="1" x14ac:dyDescent="0.3">
      <c r="A220" s="44">
        <v>201</v>
      </c>
      <c r="B220" s="59" t="s">
        <v>492</v>
      </c>
      <c r="C220" s="43">
        <v>0</v>
      </c>
      <c r="D220" s="43">
        <v>2</v>
      </c>
      <c r="E220" s="43">
        <v>0</v>
      </c>
      <c r="F220" s="43">
        <v>0</v>
      </c>
      <c r="G220" s="43">
        <v>0</v>
      </c>
      <c r="H220" s="43">
        <v>0</v>
      </c>
      <c r="I220" s="95">
        <v>2</v>
      </c>
      <c r="J220" s="47"/>
    </row>
    <row r="221" spans="1:10" s="55" customFormat="1" ht="15.6" x14ac:dyDescent="0.3">
      <c r="A221" s="44">
        <v>202</v>
      </c>
      <c r="B221" s="59" t="s">
        <v>493</v>
      </c>
      <c r="C221" s="43">
        <v>2</v>
      </c>
      <c r="D221" s="43">
        <v>9</v>
      </c>
      <c r="E221" s="43">
        <v>0</v>
      </c>
      <c r="F221" s="43">
        <v>0</v>
      </c>
      <c r="G221" s="43">
        <v>0</v>
      </c>
      <c r="H221" s="43">
        <v>0</v>
      </c>
      <c r="I221" s="95">
        <v>9</v>
      </c>
      <c r="J221" s="106"/>
    </row>
    <row r="222" spans="1:10" s="55" customFormat="1" ht="30" customHeight="1" x14ac:dyDescent="0.3">
      <c r="A222" s="44">
        <v>203</v>
      </c>
      <c r="B222" s="59" t="s">
        <v>494</v>
      </c>
      <c r="C222" s="43">
        <v>3</v>
      </c>
      <c r="D222" s="43">
        <v>6</v>
      </c>
      <c r="E222" s="43">
        <v>0</v>
      </c>
      <c r="F222" s="43">
        <v>0</v>
      </c>
      <c r="G222" s="43">
        <v>0</v>
      </c>
      <c r="H222" s="43">
        <v>0</v>
      </c>
      <c r="I222" s="95">
        <v>6</v>
      </c>
      <c r="J222" s="106"/>
    </row>
    <row r="223" spans="1:10" s="55" customFormat="1" ht="15.6" x14ac:dyDescent="0.3">
      <c r="A223" s="44">
        <v>204</v>
      </c>
      <c r="B223" s="59" t="s">
        <v>495</v>
      </c>
      <c r="C223" s="43">
        <v>8</v>
      </c>
      <c r="D223" s="43">
        <v>15</v>
      </c>
      <c r="E223" s="43">
        <v>0</v>
      </c>
      <c r="F223" s="43">
        <v>0</v>
      </c>
      <c r="G223" s="43">
        <v>0</v>
      </c>
      <c r="H223" s="43">
        <v>0</v>
      </c>
      <c r="I223" s="95">
        <v>15</v>
      </c>
      <c r="J223" s="106"/>
    </row>
    <row r="224" spans="1:10" s="55" customFormat="1" ht="15.6" x14ac:dyDescent="0.3">
      <c r="A224" s="44">
        <v>205</v>
      </c>
      <c r="B224" s="59" t="s">
        <v>496</v>
      </c>
      <c r="C224" s="43">
        <v>16</v>
      </c>
      <c r="D224" s="43">
        <v>19</v>
      </c>
      <c r="E224" s="43">
        <v>0</v>
      </c>
      <c r="F224" s="43">
        <v>0</v>
      </c>
      <c r="G224" s="43">
        <v>0</v>
      </c>
      <c r="H224" s="43">
        <v>0</v>
      </c>
      <c r="I224" s="95">
        <v>19</v>
      </c>
      <c r="J224" s="106"/>
    </row>
    <row r="225" spans="1:10" s="55" customFormat="1" ht="15.6" x14ac:dyDescent="0.3">
      <c r="A225" s="44">
        <v>206</v>
      </c>
      <c r="B225" s="59" t="s">
        <v>497</v>
      </c>
      <c r="C225" s="43">
        <v>5</v>
      </c>
      <c r="D225" s="43">
        <v>4</v>
      </c>
      <c r="E225" s="43">
        <v>0</v>
      </c>
      <c r="F225" s="43">
        <v>0</v>
      </c>
      <c r="G225" s="43">
        <v>0</v>
      </c>
      <c r="H225" s="43">
        <v>0</v>
      </c>
      <c r="I225" s="95">
        <v>4</v>
      </c>
      <c r="J225" s="106"/>
    </row>
    <row r="226" spans="1:10" s="55" customFormat="1" x14ac:dyDescent="0.3">
      <c r="A226" s="44">
        <v>207</v>
      </c>
      <c r="B226" s="59" t="s">
        <v>498</v>
      </c>
      <c r="C226" s="43">
        <v>3</v>
      </c>
      <c r="D226" s="43">
        <v>8</v>
      </c>
      <c r="E226" s="43">
        <v>0</v>
      </c>
      <c r="F226" s="43">
        <v>0</v>
      </c>
      <c r="G226" s="43">
        <v>2</v>
      </c>
      <c r="H226" s="43">
        <v>2</v>
      </c>
      <c r="I226" s="95">
        <v>6</v>
      </c>
      <c r="J226" s="47" t="s">
        <v>120</v>
      </c>
    </row>
    <row r="227" spans="1:10" s="55" customFormat="1" ht="15.6" x14ac:dyDescent="0.3">
      <c r="A227" s="44">
        <v>208</v>
      </c>
      <c r="B227" s="59" t="s">
        <v>499</v>
      </c>
      <c r="C227" s="112">
        <v>10</v>
      </c>
      <c r="D227" s="112">
        <v>21</v>
      </c>
      <c r="E227" s="112">
        <v>0</v>
      </c>
      <c r="F227" s="112">
        <v>0</v>
      </c>
      <c r="G227" s="112">
        <v>1</v>
      </c>
      <c r="H227" s="112">
        <v>1</v>
      </c>
      <c r="I227" s="113">
        <v>20</v>
      </c>
      <c r="J227" s="106" t="s">
        <v>127</v>
      </c>
    </row>
    <row r="228" spans="1:10" s="55" customFormat="1" x14ac:dyDescent="0.3">
      <c r="A228" s="44">
        <v>209</v>
      </c>
      <c r="B228" s="59" t="s">
        <v>500</v>
      </c>
      <c r="C228" s="43">
        <v>1</v>
      </c>
      <c r="D228" s="43">
        <v>1</v>
      </c>
      <c r="E228" s="43">
        <v>0</v>
      </c>
      <c r="F228" s="43">
        <v>0</v>
      </c>
      <c r="G228" s="43">
        <v>0</v>
      </c>
      <c r="H228" s="43">
        <v>0</v>
      </c>
      <c r="I228" s="95">
        <v>1</v>
      </c>
      <c r="J228" s="47"/>
    </row>
    <row r="229" spans="1:10" s="55" customFormat="1" x14ac:dyDescent="0.3">
      <c r="A229" s="44">
        <v>210</v>
      </c>
      <c r="B229" s="59" t="s">
        <v>501</v>
      </c>
      <c r="C229" s="43">
        <v>0</v>
      </c>
      <c r="D229" s="43">
        <v>3</v>
      </c>
      <c r="E229" s="43">
        <v>0</v>
      </c>
      <c r="F229" s="43">
        <v>0</v>
      </c>
      <c r="G229" s="43">
        <v>0</v>
      </c>
      <c r="H229" s="43">
        <v>0</v>
      </c>
      <c r="I229" s="95">
        <v>3</v>
      </c>
      <c r="J229" s="115"/>
    </row>
    <row r="230" spans="1:10" s="75" customFormat="1" x14ac:dyDescent="0.3">
      <c r="A230" s="76">
        <v>211</v>
      </c>
      <c r="B230" s="59" t="s">
        <v>502</v>
      </c>
      <c r="C230" s="43">
        <v>0</v>
      </c>
      <c r="D230" s="43">
        <v>2</v>
      </c>
      <c r="E230" s="43">
        <v>0</v>
      </c>
      <c r="F230" s="43">
        <v>0</v>
      </c>
      <c r="G230" s="43">
        <v>0</v>
      </c>
      <c r="H230" s="43">
        <v>0</v>
      </c>
      <c r="I230" s="95">
        <v>2</v>
      </c>
      <c r="J230" s="115"/>
    </row>
  </sheetData>
  <mergeCells count="4">
    <mergeCell ref="A2:J2"/>
    <mergeCell ref="E3:G3"/>
    <mergeCell ref="A6:J6"/>
    <mergeCell ref="A1:J1"/>
  </mergeCells>
  <phoneticPr fontId="19" type="noConversion"/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0866141732283505" right="0.70866141732283505" top="0.74803149606299202" bottom="0.74803149606299202" header="0.31496062992126" footer="0.31496062992126"/>
  <pageSetup scale="50" orientation="portrait" horizontalDpi="4294967293" r:id="rId1"/>
  <rowBreaks count="2" manualBreakCount="2">
    <brk id="39" max="9" man="1"/>
    <brk id="48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A108-05F4-444E-B5D7-42A7E416B8F1}">
  <dimension ref="A1:U29"/>
  <sheetViews>
    <sheetView workbookViewId="0">
      <selection activeCell="I8" sqref="I8"/>
    </sheetView>
  </sheetViews>
  <sheetFormatPr defaultColWidth="9.109375" defaultRowHeight="15.6" x14ac:dyDescent="0.3"/>
  <cols>
    <col min="1" max="1" width="6.33203125" style="6" customWidth="1"/>
    <col min="2" max="2" width="36.33203125" style="5" bestFit="1" customWidth="1"/>
    <col min="3" max="3" width="8.109375" style="31" customWidth="1"/>
    <col min="4" max="4" width="8.5546875" style="31" customWidth="1"/>
    <col min="5" max="5" width="7.109375" style="31" bestFit="1" customWidth="1"/>
    <col min="6" max="6" width="8.6640625" style="31" bestFit="1" customWidth="1"/>
    <col min="7" max="7" width="9" style="31" customWidth="1"/>
    <col min="8" max="8" width="5.88671875" style="31" customWidth="1"/>
    <col min="9" max="9" width="6.88671875" style="31" bestFit="1" customWidth="1"/>
    <col min="10" max="10" width="6.109375" style="31" bestFit="1" customWidth="1"/>
    <col min="11" max="11" width="6.44140625" style="31" bestFit="1" customWidth="1"/>
    <col min="12" max="12" width="8.109375" style="31" bestFit="1" customWidth="1"/>
    <col min="13" max="13" width="9.109375" style="31"/>
    <col min="14" max="14" width="9.88671875" style="31" customWidth="1"/>
    <col min="15" max="15" width="8.88671875" style="4" customWidth="1"/>
    <col min="16" max="16" width="18" style="5" customWidth="1"/>
    <col min="17" max="17" width="13.44140625" style="5" bestFit="1" customWidth="1"/>
    <col min="18" max="18" width="14.6640625" style="5" customWidth="1"/>
    <col min="19" max="19" width="14.109375" style="5" customWidth="1"/>
    <col min="20" max="20" width="52" style="5" customWidth="1"/>
    <col min="21" max="16384" width="9.109375" style="5"/>
  </cols>
  <sheetData>
    <row r="1" spans="1:21" ht="22.8" x14ac:dyDescent="0.25">
      <c r="A1" s="250" t="s">
        <v>511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</row>
    <row r="2" spans="1:21" x14ac:dyDescent="0.3">
      <c r="A2" s="31"/>
      <c r="B2" s="132"/>
      <c r="R2" s="251"/>
      <c r="S2" s="252"/>
      <c r="T2" s="252"/>
    </row>
    <row r="3" spans="1:21" s="133" customFormat="1" ht="17.399999999999999" x14ac:dyDescent="0.3">
      <c r="A3" s="253" t="s">
        <v>0</v>
      </c>
      <c r="B3" s="247" t="s">
        <v>512</v>
      </c>
      <c r="C3" s="254" t="s">
        <v>17</v>
      </c>
      <c r="D3" s="255"/>
      <c r="E3" s="253" t="s">
        <v>29</v>
      </c>
      <c r="F3" s="253"/>
      <c r="G3" s="253"/>
      <c r="H3" s="253"/>
      <c r="I3" s="253"/>
      <c r="J3" s="253"/>
      <c r="K3" s="253"/>
      <c r="L3" s="253"/>
      <c r="M3" s="256" t="s">
        <v>18</v>
      </c>
      <c r="N3" s="256" t="s">
        <v>30</v>
      </c>
      <c r="O3" s="258" t="s">
        <v>31</v>
      </c>
      <c r="P3" s="247" t="s">
        <v>19</v>
      </c>
      <c r="Q3" s="247" t="s">
        <v>20</v>
      </c>
      <c r="R3" s="247" t="s">
        <v>21</v>
      </c>
      <c r="S3" s="247" t="s">
        <v>22</v>
      </c>
      <c r="T3" s="248" t="s">
        <v>77</v>
      </c>
    </row>
    <row r="4" spans="1:21" s="133" customFormat="1" ht="34.799999999999997" x14ac:dyDescent="0.3">
      <c r="A4" s="253"/>
      <c r="B4" s="247"/>
      <c r="C4" s="134" t="s">
        <v>23</v>
      </c>
      <c r="D4" s="134" t="s">
        <v>24</v>
      </c>
      <c r="E4" s="135" t="s">
        <v>513</v>
      </c>
      <c r="F4" s="136" t="s">
        <v>32</v>
      </c>
      <c r="G4" s="136" t="s">
        <v>25</v>
      </c>
      <c r="H4" s="136" t="s">
        <v>33</v>
      </c>
      <c r="I4" s="136" t="s">
        <v>34</v>
      </c>
      <c r="J4" s="136" t="s">
        <v>35</v>
      </c>
      <c r="K4" s="136" t="s">
        <v>36</v>
      </c>
      <c r="L4" s="136" t="s">
        <v>26</v>
      </c>
      <c r="M4" s="257"/>
      <c r="N4" s="257"/>
      <c r="O4" s="259"/>
      <c r="P4" s="247"/>
      <c r="Q4" s="247"/>
      <c r="R4" s="247"/>
      <c r="S4" s="247"/>
      <c r="T4" s="249"/>
    </row>
    <row r="5" spans="1:21" s="133" customFormat="1" ht="17.399999999999999" x14ac:dyDescent="0.3">
      <c r="A5" s="136" t="s">
        <v>1</v>
      </c>
      <c r="B5" s="135" t="s">
        <v>2</v>
      </c>
      <c r="C5" s="136" t="s">
        <v>3</v>
      </c>
      <c r="D5" s="136" t="s">
        <v>4</v>
      </c>
      <c r="E5" s="136" t="s">
        <v>5</v>
      </c>
      <c r="F5" s="136" t="s">
        <v>6</v>
      </c>
      <c r="G5" s="136" t="s">
        <v>7</v>
      </c>
      <c r="H5" s="136" t="s">
        <v>8</v>
      </c>
      <c r="I5" s="136" t="s">
        <v>9</v>
      </c>
      <c r="J5" s="136" t="s">
        <v>10</v>
      </c>
      <c r="K5" s="136" t="s">
        <v>11</v>
      </c>
      <c r="L5" s="136" t="s">
        <v>12</v>
      </c>
      <c r="M5" s="136" t="s">
        <v>13</v>
      </c>
      <c r="N5" s="136" t="s">
        <v>27</v>
      </c>
      <c r="O5" s="136" t="s">
        <v>28</v>
      </c>
      <c r="P5" s="136" t="s">
        <v>37</v>
      </c>
      <c r="Q5" s="136" t="s">
        <v>38</v>
      </c>
      <c r="R5" s="136" t="s">
        <v>39</v>
      </c>
      <c r="S5" s="136" t="s">
        <v>40</v>
      </c>
      <c r="T5" s="136" t="s">
        <v>41</v>
      </c>
    </row>
    <row r="6" spans="1:21" ht="45" x14ac:dyDescent="0.25">
      <c r="A6" s="1">
        <v>1</v>
      </c>
      <c r="B6" s="137" t="s">
        <v>514</v>
      </c>
      <c r="C6" s="138">
        <v>36</v>
      </c>
      <c r="D6" s="138">
        <v>37</v>
      </c>
      <c r="E6" s="139">
        <v>1</v>
      </c>
      <c r="F6" s="138">
        <v>0</v>
      </c>
      <c r="G6" s="138">
        <v>0</v>
      </c>
      <c r="H6" s="138">
        <v>3</v>
      </c>
      <c r="I6" s="138">
        <v>0</v>
      </c>
      <c r="J6" s="138">
        <v>0</v>
      </c>
      <c r="K6" s="138">
        <v>0</v>
      </c>
      <c r="L6" s="138">
        <v>0</v>
      </c>
      <c r="M6" s="140">
        <v>4</v>
      </c>
      <c r="N6" s="140">
        <v>0</v>
      </c>
      <c r="O6" s="141">
        <v>33</v>
      </c>
      <c r="P6" s="142">
        <v>0.10810810810810811</v>
      </c>
      <c r="Q6" s="142">
        <v>0</v>
      </c>
      <c r="R6" s="142">
        <v>0.89189189189189189</v>
      </c>
      <c r="S6" s="142">
        <v>0.89189189189189189</v>
      </c>
      <c r="T6" s="121" t="s">
        <v>515</v>
      </c>
    </row>
    <row r="7" spans="1:21" s="3" customFormat="1" ht="165" x14ac:dyDescent="0.3">
      <c r="A7" s="1">
        <v>2</v>
      </c>
      <c r="B7" s="137" t="s">
        <v>516</v>
      </c>
      <c r="C7" s="138">
        <v>108</v>
      </c>
      <c r="D7" s="138">
        <v>108</v>
      </c>
      <c r="E7" s="139">
        <v>0</v>
      </c>
      <c r="F7" s="138">
        <v>0</v>
      </c>
      <c r="G7" s="138">
        <v>0</v>
      </c>
      <c r="H7" s="138">
        <v>10</v>
      </c>
      <c r="I7" s="138">
        <v>0</v>
      </c>
      <c r="J7" s="138">
        <v>0</v>
      </c>
      <c r="K7" s="138">
        <v>0</v>
      </c>
      <c r="L7" s="138">
        <v>0</v>
      </c>
      <c r="M7" s="140">
        <v>10</v>
      </c>
      <c r="N7" s="140">
        <v>1</v>
      </c>
      <c r="O7" s="141">
        <v>97</v>
      </c>
      <c r="P7" s="142">
        <v>9.2592592592592587E-2</v>
      </c>
      <c r="Q7" s="142">
        <v>9.2592592592592587E-3</v>
      </c>
      <c r="R7" s="142">
        <v>0.89814814814814814</v>
      </c>
      <c r="S7" s="142">
        <v>0.90740740740740744</v>
      </c>
      <c r="T7" s="143" t="s">
        <v>517</v>
      </c>
    </row>
    <row r="8" spans="1:21" ht="150" x14ac:dyDescent="0.25">
      <c r="A8" s="1">
        <v>3</v>
      </c>
      <c r="B8" s="137" t="s">
        <v>518</v>
      </c>
      <c r="C8" s="138">
        <v>37</v>
      </c>
      <c r="D8" s="138">
        <v>37</v>
      </c>
      <c r="E8" s="139">
        <v>0</v>
      </c>
      <c r="F8" s="138">
        <v>1</v>
      </c>
      <c r="G8" s="138">
        <v>0</v>
      </c>
      <c r="H8" s="138">
        <v>5</v>
      </c>
      <c r="I8" s="138">
        <v>0</v>
      </c>
      <c r="J8" s="138">
        <v>0</v>
      </c>
      <c r="K8" s="138">
        <v>0</v>
      </c>
      <c r="L8" s="138">
        <v>0</v>
      </c>
      <c r="M8" s="140">
        <v>7</v>
      </c>
      <c r="N8" s="140">
        <v>0</v>
      </c>
      <c r="O8" s="141">
        <v>30</v>
      </c>
      <c r="P8" s="142">
        <v>0.1891891891891892</v>
      </c>
      <c r="Q8" s="142">
        <v>0</v>
      </c>
      <c r="R8" s="142">
        <v>0.81081081081081086</v>
      </c>
      <c r="S8" s="142">
        <v>0.81081081081081086</v>
      </c>
      <c r="T8" s="144" t="s">
        <v>519</v>
      </c>
    </row>
    <row r="9" spans="1:21" ht="90" x14ac:dyDescent="0.25">
      <c r="A9" s="1">
        <v>4</v>
      </c>
      <c r="B9" s="137" t="s">
        <v>520</v>
      </c>
      <c r="C9" s="138">
        <v>72</v>
      </c>
      <c r="D9" s="138">
        <v>76</v>
      </c>
      <c r="E9" s="139">
        <v>0</v>
      </c>
      <c r="F9" s="138">
        <v>2</v>
      </c>
      <c r="G9" s="138">
        <v>0</v>
      </c>
      <c r="H9" s="138">
        <v>0</v>
      </c>
      <c r="I9" s="138">
        <v>0</v>
      </c>
      <c r="J9" s="138">
        <v>0</v>
      </c>
      <c r="K9" s="138">
        <v>0</v>
      </c>
      <c r="L9" s="138">
        <v>0</v>
      </c>
      <c r="M9" s="140">
        <v>2</v>
      </c>
      <c r="N9" s="140">
        <v>0</v>
      </c>
      <c r="O9" s="141">
        <v>74</v>
      </c>
      <c r="P9" s="142">
        <v>2.6315789473684209E-2</v>
      </c>
      <c r="Q9" s="142">
        <v>0</v>
      </c>
      <c r="R9" s="142">
        <v>0.97368421052631582</v>
      </c>
      <c r="S9" s="142">
        <v>0.97368421052631582</v>
      </c>
      <c r="T9" s="121" t="s">
        <v>521</v>
      </c>
    </row>
    <row r="10" spans="1:21" ht="22.8" x14ac:dyDescent="0.25">
      <c r="A10" s="1">
        <v>5</v>
      </c>
      <c r="B10" s="137" t="s">
        <v>522</v>
      </c>
      <c r="C10" s="138">
        <v>0</v>
      </c>
      <c r="D10" s="138">
        <v>0</v>
      </c>
      <c r="E10" s="139">
        <v>0</v>
      </c>
      <c r="F10" s="138">
        <v>0</v>
      </c>
      <c r="G10" s="138">
        <v>0</v>
      </c>
      <c r="H10" s="138">
        <v>0</v>
      </c>
      <c r="I10" s="138">
        <v>0</v>
      </c>
      <c r="J10" s="138">
        <v>0</v>
      </c>
      <c r="K10" s="138">
        <v>0</v>
      </c>
      <c r="L10" s="138">
        <v>0</v>
      </c>
      <c r="M10" s="140">
        <v>0</v>
      </c>
      <c r="N10" s="140">
        <v>0</v>
      </c>
      <c r="O10" s="141" t="s">
        <v>111</v>
      </c>
      <c r="P10" s="142" t="s">
        <v>111</v>
      </c>
      <c r="Q10" s="142" t="s">
        <v>111</v>
      </c>
      <c r="R10" s="142" t="s">
        <v>111</v>
      </c>
      <c r="S10" s="142" t="s">
        <v>111</v>
      </c>
      <c r="T10" s="145"/>
    </row>
    <row r="11" spans="1:21" ht="22.8" x14ac:dyDescent="0.25">
      <c r="A11" s="1">
        <v>6</v>
      </c>
      <c r="B11" s="137" t="s">
        <v>523</v>
      </c>
      <c r="C11" s="138">
        <v>0</v>
      </c>
      <c r="D11" s="138">
        <v>0</v>
      </c>
      <c r="E11" s="139">
        <v>0</v>
      </c>
      <c r="F11" s="138">
        <v>0</v>
      </c>
      <c r="G11" s="138">
        <v>0</v>
      </c>
      <c r="H11" s="138">
        <v>0</v>
      </c>
      <c r="I11" s="138">
        <v>0</v>
      </c>
      <c r="J11" s="138">
        <v>0</v>
      </c>
      <c r="K11" s="138">
        <v>0</v>
      </c>
      <c r="L11" s="138">
        <v>0</v>
      </c>
      <c r="M11" s="140">
        <v>0</v>
      </c>
      <c r="N11" s="140">
        <v>0</v>
      </c>
      <c r="O11" s="141" t="s">
        <v>111</v>
      </c>
      <c r="P11" s="142" t="s">
        <v>111</v>
      </c>
      <c r="Q11" s="142" t="s">
        <v>111</v>
      </c>
      <c r="R11" s="142" t="s">
        <v>111</v>
      </c>
      <c r="S11" s="142" t="s">
        <v>111</v>
      </c>
      <c r="T11" s="42"/>
    </row>
    <row r="12" spans="1:21" ht="22.8" x14ac:dyDescent="0.25">
      <c r="A12" s="1">
        <v>7</v>
      </c>
      <c r="B12" s="137" t="s">
        <v>524</v>
      </c>
      <c r="C12" s="138">
        <v>0</v>
      </c>
      <c r="D12" s="138">
        <v>0</v>
      </c>
      <c r="E12" s="139">
        <v>0</v>
      </c>
      <c r="F12" s="138">
        <v>0</v>
      </c>
      <c r="G12" s="138">
        <v>0</v>
      </c>
      <c r="H12" s="138">
        <v>0</v>
      </c>
      <c r="I12" s="138">
        <v>0</v>
      </c>
      <c r="J12" s="138">
        <v>0</v>
      </c>
      <c r="K12" s="138">
        <v>0</v>
      </c>
      <c r="L12" s="138">
        <v>0</v>
      </c>
      <c r="M12" s="140">
        <v>0</v>
      </c>
      <c r="N12" s="140">
        <v>0</v>
      </c>
      <c r="O12" s="141" t="s">
        <v>111</v>
      </c>
      <c r="P12" s="142" t="s">
        <v>111</v>
      </c>
      <c r="Q12" s="142" t="s">
        <v>111</v>
      </c>
      <c r="R12" s="142" t="s">
        <v>111</v>
      </c>
      <c r="S12" s="142" t="s">
        <v>111</v>
      </c>
      <c r="T12" s="42"/>
    </row>
    <row r="13" spans="1:21" ht="22.8" x14ac:dyDescent="0.25">
      <c r="A13" s="1">
        <v>8</v>
      </c>
      <c r="B13" s="137" t="s">
        <v>525</v>
      </c>
      <c r="C13" s="138">
        <v>0</v>
      </c>
      <c r="D13" s="138">
        <v>0</v>
      </c>
      <c r="E13" s="139">
        <v>0</v>
      </c>
      <c r="F13" s="138">
        <v>0</v>
      </c>
      <c r="G13" s="138">
        <v>0</v>
      </c>
      <c r="H13" s="138">
        <v>0</v>
      </c>
      <c r="I13" s="138">
        <v>0</v>
      </c>
      <c r="J13" s="138">
        <v>0</v>
      </c>
      <c r="K13" s="138">
        <v>0</v>
      </c>
      <c r="L13" s="138">
        <v>0</v>
      </c>
      <c r="M13" s="140">
        <v>0</v>
      </c>
      <c r="N13" s="140">
        <v>0</v>
      </c>
      <c r="O13" s="141" t="s">
        <v>111</v>
      </c>
      <c r="P13" s="142" t="s">
        <v>111</v>
      </c>
      <c r="Q13" s="142" t="s">
        <v>111</v>
      </c>
      <c r="R13" s="142" t="s">
        <v>111</v>
      </c>
      <c r="S13" s="142" t="s">
        <v>111</v>
      </c>
    </row>
    <row r="14" spans="1:21" ht="22.8" x14ac:dyDescent="0.25">
      <c r="A14" s="1">
        <v>9</v>
      </c>
      <c r="B14" s="137" t="s">
        <v>526</v>
      </c>
      <c r="C14" s="138">
        <v>0</v>
      </c>
      <c r="D14" s="138">
        <v>0</v>
      </c>
      <c r="E14" s="139">
        <v>0</v>
      </c>
      <c r="F14" s="138">
        <v>0</v>
      </c>
      <c r="G14" s="138">
        <v>0</v>
      </c>
      <c r="H14" s="138">
        <v>0</v>
      </c>
      <c r="I14" s="138">
        <v>0</v>
      </c>
      <c r="J14" s="138">
        <v>0</v>
      </c>
      <c r="K14" s="138">
        <v>0</v>
      </c>
      <c r="L14" s="138">
        <v>0</v>
      </c>
      <c r="M14" s="140">
        <v>0</v>
      </c>
      <c r="N14" s="140">
        <v>0</v>
      </c>
      <c r="O14" s="141" t="s">
        <v>111</v>
      </c>
      <c r="P14" s="142" t="s">
        <v>111</v>
      </c>
      <c r="Q14" s="142" t="s">
        <v>111</v>
      </c>
      <c r="R14" s="142" t="s">
        <v>111</v>
      </c>
      <c r="S14" s="142" t="s">
        <v>111</v>
      </c>
      <c r="T14" s="146"/>
    </row>
    <row r="15" spans="1:21" ht="22.8" x14ac:dyDescent="0.25">
      <c r="A15" s="1">
        <v>10</v>
      </c>
      <c r="B15" s="137" t="s">
        <v>527</v>
      </c>
      <c r="C15" s="138">
        <v>36</v>
      </c>
      <c r="D15" s="138">
        <v>36</v>
      </c>
      <c r="E15" s="139">
        <v>6</v>
      </c>
      <c r="F15" s="138">
        <v>0</v>
      </c>
      <c r="G15" s="138">
        <v>0</v>
      </c>
      <c r="H15" s="138">
        <v>0</v>
      </c>
      <c r="I15" s="138">
        <v>0</v>
      </c>
      <c r="J15" s="138">
        <v>0</v>
      </c>
      <c r="K15" s="138">
        <v>0</v>
      </c>
      <c r="L15" s="138">
        <v>0</v>
      </c>
      <c r="M15" s="140">
        <v>6</v>
      </c>
      <c r="N15" s="140">
        <v>0</v>
      </c>
      <c r="O15" s="141">
        <v>30</v>
      </c>
      <c r="P15" s="142">
        <v>0.16666666666666666</v>
      </c>
      <c r="Q15" s="142">
        <v>0</v>
      </c>
      <c r="R15" s="142">
        <v>0.83333333333333337</v>
      </c>
      <c r="S15" s="142">
        <v>0.83333333333333337</v>
      </c>
      <c r="T15" s="35" t="s">
        <v>528</v>
      </c>
      <c r="U15" s="147"/>
    </row>
    <row r="16" spans="1:21" ht="22.8" x14ac:dyDescent="0.25">
      <c r="A16" s="1">
        <v>11</v>
      </c>
      <c r="B16" s="137" t="s">
        <v>529</v>
      </c>
      <c r="C16" s="138">
        <v>0</v>
      </c>
      <c r="D16" s="138">
        <v>0</v>
      </c>
      <c r="E16" s="139">
        <v>0</v>
      </c>
      <c r="F16" s="138">
        <v>0</v>
      </c>
      <c r="G16" s="138">
        <v>0</v>
      </c>
      <c r="H16" s="138">
        <v>0</v>
      </c>
      <c r="I16" s="138">
        <v>0</v>
      </c>
      <c r="J16" s="138">
        <v>0</v>
      </c>
      <c r="K16" s="138">
        <v>0</v>
      </c>
      <c r="L16" s="138">
        <v>0</v>
      </c>
      <c r="M16" s="140">
        <v>0</v>
      </c>
      <c r="N16" s="140">
        <v>0</v>
      </c>
      <c r="O16" s="141" t="s">
        <v>111</v>
      </c>
      <c r="P16" s="142" t="s">
        <v>111</v>
      </c>
      <c r="Q16" s="142" t="s">
        <v>111</v>
      </c>
      <c r="R16" s="142" t="s">
        <v>111</v>
      </c>
      <c r="S16" s="142" t="s">
        <v>111</v>
      </c>
      <c r="T16" s="148"/>
      <c r="U16" s="147"/>
    </row>
    <row r="17" spans="1:21" ht="22.8" x14ac:dyDescent="0.25">
      <c r="A17" s="1">
        <v>12</v>
      </c>
      <c r="B17" s="137" t="s">
        <v>530</v>
      </c>
      <c r="C17" s="138">
        <v>0</v>
      </c>
      <c r="D17" s="138">
        <v>0</v>
      </c>
      <c r="E17" s="139">
        <v>0</v>
      </c>
      <c r="F17" s="138">
        <v>0</v>
      </c>
      <c r="G17" s="138">
        <v>0</v>
      </c>
      <c r="H17" s="138">
        <v>0</v>
      </c>
      <c r="I17" s="138">
        <v>0</v>
      </c>
      <c r="J17" s="138">
        <v>0</v>
      </c>
      <c r="K17" s="138">
        <v>0</v>
      </c>
      <c r="L17" s="138">
        <v>0</v>
      </c>
      <c r="M17" s="140">
        <v>0</v>
      </c>
      <c r="N17" s="140">
        <v>0</v>
      </c>
      <c r="O17" s="141" t="s">
        <v>111</v>
      </c>
      <c r="P17" s="142" t="s">
        <v>111</v>
      </c>
      <c r="Q17" s="142" t="s">
        <v>111</v>
      </c>
      <c r="R17" s="142" t="s">
        <v>111</v>
      </c>
      <c r="S17" s="142" t="s">
        <v>111</v>
      </c>
      <c r="T17" s="148"/>
      <c r="U17" s="147"/>
    </row>
    <row r="18" spans="1:21" ht="22.8" x14ac:dyDescent="0.25">
      <c r="A18" s="1">
        <v>13</v>
      </c>
      <c r="B18" s="137" t="s">
        <v>531</v>
      </c>
      <c r="C18" s="138">
        <v>0</v>
      </c>
      <c r="D18" s="138">
        <v>0</v>
      </c>
      <c r="E18" s="139">
        <v>0</v>
      </c>
      <c r="F18" s="138">
        <v>0</v>
      </c>
      <c r="G18" s="138">
        <v>0</v>
      </c>
      <c r="H18" s="138">
        <v>0</v>
      </c>
      <c r="I18" s="138">
        <v>0</v>
      </c>
      <c r="J18" s="138">
        <v>0</v>
      </c>
      <c r="K18" s="138">
        <v>0</v>
      </c>
      <c r="L18" s="138">
        <v>0</v>
      </c>
      <c r="M18" s="140">
        <v>0</v>
      </c>
      <c r="N18" s="140">
        <v>0</v>
      </c>
      <c r="O18" s="141" t="s">
        <v>111</v>
      </c>
      <c r="P18" s="142" t="s">
        <v>111</v>
      </c>
      <c r="Q18" s="142" t="s">
        <v>111</v>
      </c>
      <c r="R18" s="142" t="s">
        <v>111</v>
      </c>
      <c r="S18" s="142" t="s">
        <v>111</v>
      </c>
      <c r="T18" s="148"/>
      <c r="U18" s="147"/>
    </row>
    <row r="19" spans="1:21" ht="22.8" x14ac:dyDescent="0.25">
      <c r="A19" s="1">
        <v>14</v>
      </c>
      <c r="B19" s="137" t="s">
        <v>532</v>
      </c>
      <c r="C19" s="138">
        <v>0</v>
      </c>
      <c r="D19" s="138">
        <v>0</v>
      </c>
      <c r="E19" s="139">
        <v>0</v>
      </c>
      <c r="F19" s="138">
        <v>0</v>
      </c>
      <c r="G19" s="138">
        <v>0</v>
      </c>
      <c r="H19" s="138">
        <v>0</v>
      </c>
      <c r="I19" s="138">
        <v>0</v>
      </c>
      <c r="J19" s="138">
        <v>0</v>
      </c>
      <c r="K19" s="138">
        <v>0</v>
      </c>
      <c r="L19" s="138">
        <v>0</v>
      </c>
      <c r="M19" s="140">
        <v>0</v>
      </c>
      <c r="N19" s="140">
        <v>0</v>
      </c>
      <c r="O19" s="141" t="s">
        <v>111</v>
      </c>
      <c r="P19" s="142" t="s">
        <v>111</v>
      </c>
      <c r="Q19" s="142" t="s">
        <v>111</v>
      </c>
      <c r="R19" s="142" t="s">
        <v>111</v>
      </c>
      <c r="S19" s="142" t="s">
        <v>111</v>
      </c>
      <c r="T19" s="148"/>
      <c r="U19" s="147"/>
    </row>
    <row r="20" spans="1:21" ht="22.8" x14ac:dyDescent="0.25">
      <c r="A20" s="1">
        <v>15</v>
      </c>
      <c r="B20" s="137" t="s">
        <v>533</v>
      </c>
      <c r="C20" s="138">
        <v>0</v>
      </c>
      <c r="D20" s="138">
        <v>0</v>
      </c>
      <c r="E20" s="139">
        <v>0</v>
      </c>
      <c r="F20" s="138">
        <v>0</v>
      </c>
      <c r="G20" s="138">
        <v>0</v>
      </c>
      <c r="H20" s="138">
        <v>0</v>
      </c>
      <c r="I20" s="138">
        <v>0</v>
      </c>
      <c r="J20" s="138">
        <v>0</v>
      </c>
      <c r="K20" s="138">
        <v>0</v>
      </c>
      <c r="L20" s="138">
        <v>0</v>
      </c>
      <c r="M20" s="140">
        <v>0</v>
      </c>
      <c r="N20" s="140">
        <v>0</v>
      </c>
      <c r="O20" s="141" t="s">
        <v>111</v>
      </c>
      <c r="P20" s="142" t="s">
        <v>111</v>
      </c>
      <c r="Q20" s="142" t="s">
        <v>111</v>
      </c>
      <c r="R20" s="142" t="s">
        <v>111</v>
      </c>
      <c r="S20" s="142" t="s">
        <v>111</v>
      </c>
      <c r="T20" s="148"/>
      <c r="U20" s="147"/>
    </row>
    <row r="21" spans="1:21" ht="22.8" x14ac:dyDescent="0.25">
      <c r="A21" s="1">
        <v>16</v>
      </c>
      <c r="B21" s="137" t="s">
        <v>534</v>
      </c>
      <c r="C21" s="138">
        <v>0</v>
      </c>
      <c r="D21" s="138">
        <v>0</v>
      </c>
      <c r="E21" s="139">
        <v>0</v>
      </c>
      <c r="F21" s="138">
        <v>0</v>
      </c>
      <c r="G21" s="138">
        <v>0</v>
      </c>
      <c r="H21" s="138">
        <v>0</v>
      </c>
      <c r="I21" s="138">
        <v>0</v>
      </c>
      <c r="J21" s="138">
        <v>0</v>
      </c>
      <c r="K21" s="138">
        <v>0</v>
      </c>
      <c r="L21" s="138">
        <v>0</v>
      </c>
      <c r="M21" s="140">
        <v>0</v>
      </c>
      <c r="N21" s="140">
        <v>0</v>
      </c>
      <c r="O21" s="141" t="s">
        <v>111</v>
      </c>
      <c r="P21" s="142" t="s">
        <v>111</v>
      </c>
      <c r="Q21" s="142" t="s">
        <v>111</v>
      </c>
      <c r="R21" s="142" t="s">
        <v>111</v>
      </c>
      <c r="S21" s="142" t="s">
        <v>111</v>
      </c>
      <c r="T21" s="149"/>
    </row>
    <row r="22" spans="1:21" ht="22.8" x14ac:dyDescent="0.25">
      <c r="A22" s="1">
        <v>17</v>
      </c>
      <c r="B22" s="137" t="s">
        <v>535</v>
      </c>
      <c r="C22" s="138">
        <v>0</v>
      </c>
      <c r="D22" s="138">
        <v>0</v>
      </c>
      <c r="E22" s="139">
        <v>0</v>
      </c>
      <c r="F22" s="138">
        <v>0</v>
      </c>
      <c r="G22" s="138">
        <v>0</v>
      </c>
      <c r="H22" s="138">
        <v>0</v>
      </c>
      <c r="I22" s="138">
        <v>0</v>
      </c>
      <c r="J22" s="138">
        <v>0</v>
      </c>
      <c r="K22" s="138">
        <v>0</v>
      </c>
      <c r="L22" s="138">
        <v>0</v>
      </c>
      <c r="M22" s="140">
        <v>0</v>
      </c>
      <c r="N22" s="140">
        <v>0</v>
      </c>
      <c r="O22" s="141" t="s">
        <v>111</v>
      </c>
      <c r="P22" s="142" t="s">
        <v>111</v>
      </c>
      <c r="Q22" s="142" t="s">
        <v>111</v>
      </c>
      <c r="R22" s="142" t="s">
        <v>111</v>
      </c>
      <c r="S22" s="142" t="s">
        <v>111</v>
      </c>
      <c r="T22" s="143"/>
    </row>
    <row r="23" spans="1:21" ht="60" x14ac:dyDescent="0.25">
      <c r="A23" s="1">
        <v>18</v>
      </c>
      <c r="B23" s="137" t="s">
        <v>536</v>
      </c>
      <c r="C23" s="138">
        <v>54</v>
      </c>
      <c r="D23" s="138">
        <v>38</v>
      </c>
      <c r="E23" s="139">
        <v>3</v>
      </c>
      <c r="F23" s="138">
        <v>0</v>
      </c>
      <c r="G23" s="138">
        <v>0</v>
      </c>
      <c r="H23" s="138">
        <v>0</v>
      </c>
      <c r="I23" s="138">
        <v>0</v>
      </c>
      <c r="J23" s="138">
        <v>0</v>
      </c>
      <c r="K23" s="138">
        <v>0</v>
      </c>
      <c r="L23" s="138">
        <v>0</v>
      </c>
      <c r="M23" s="140">
        <v>3</v>
      </c>
      <c r="N23" s="140">
        <v>0</v>
      </c>
      <c r="O23" s="141">
        <v>35</v>
      </c>
      <c r="P23" s="142">
        <v>7.8947368421052627E-2</v>
      </c>
      <c r="Q23" s="142">
        <v>0</v>
      </c>
      <c r="R23" s="142">
        <v>0.92105263157894735</v>
      </c>
      <c r="S23" s="142">
        <v>0.92105263157894735</v>
      </c>
      <c r="T23" s="150" t="s">
        <v>537</v>
      </c>
    </row>
    <row r="24" spans="1:21" ht="22.8" x14ac:dyDescent="0.25">
      <c r="A24" s="1">
        <v>19</v>
      </c>
      <c r="B24" s="137" t="s">
        <v>538</v>
      </c>
      <c r="C24" s="138">
        <v>0</v>
      </c>
      <c r="D24" s="138">
        <v>0</v>
      </c>
      <c r="E24" s="139">
        <v>0</v>
      </c>
      <c r="F24" s="138">
        <v>0</v>
      </c>
      <c r="G24" s="138">
        <v>0</v>
      </c>
      <c r="H24" s="138">
        <v>0</v>
      </c>
      <c r="I24" s="138">
        <v>0</v>
      </c>
      <c r="J24" s="138">
        <v>0</v>
      </c>
      <c r="K24" s="138">
        <v>0</v>
      </c>
      <c r="L24" s="138">
        <v>0</v>
      </c>
      <c r="M24" s="140">
        <v>0</v>
      </c>
      <c r="N24" s="140">
        <v>0</v>
      </c>
      <c r="O24" s="141" t="s">
        <v>111</v>
      </c>
      <c r="P24" s="142" t="s">
        <v>111</v>
      </c>
      <c r="Q24" s="142" t="s">
        <v>111</v>
      </c>
      <c r="R24" s="142" t="s">
        <v>111</v>
      </c>
      <c r="S24" s="142" t="s">
        <v>111</v>
      </c>
      <c r="T24" s="151"/>
    </row>
    <row r="25" spans="1:21" x14ac:dyDescent="0.3">
      <c r="T25" s="5" t="s">
        <v>510</v>
      </c>
    </row>
    <row r="27" spans="1:21" x14ac:dyDescent="0.3">
      <c r="S27" s="5" t="s">
        <v>510</v>
      </c>
    </row>
    <row r="29" spans="1:21" x14ac:dyDescent="0.3">
      <c r="T29" s="152"/>
    </row>
  </sheetData>
  <protectedRanges>
    <protectedRange sqref="T8:T9" name="Range1"/>
  </protectedRanges>
  <mergeCells count="14">
    <mergeCell ref="Q3:Q4"/>
    <mergeCell ref="R3:R4"/>
    <mergeCell ref="S3:S4"/>
    <mergeCell ref="T3:T4"/>
    <mergeCell ref="A1:T1"/>
    <mergeCell ref="R2:T2"/>
    <mergeCell ref="A3:A4"/>
    <mergeCell ref="B3:B4"/>
    <mergeCell ref="C3:D3"/>
    <mergeCell ref="E3:L3"/>
    <mergeCell ref="M3:M4"/>
    <mergeCell ref="N3:N4"/>
    <mergeCell ref="O3:O4"/>
    <mergeCell ref="P3:P4"/>
  </mergeCells>
  <dataValidations count="2">
    <dataValidation type="whole" allowBlank="1" showInputMessage="1" showErrorMessage="1" sqref="C6:L24" xr:uid="{2766F471-B0D9-4D8C-8C20-DE2EDA26E9C6}">
      <formula1>0</formula1>
      <formula2>50000</formula2>
    </dataValidation>
    <dataValidation type="whole" allowBlank="1" showInputMessage="1" showErrorMessage="1" errorTitle="Value Between 0 to 200000" sqref="O6:O24" xr:uid="{24C96921-734A-42A2-9867-0B849675CC0D}">
      <formula1>0</formula1>
      <formula2>200000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98EA-309B-4DAF-BABF-D0600B469E08}">
  <dimension ref="A1:T73"/>
  <sheetViews>
    <sheetView workbookViewId="0">
      <selection sqref="A1:XFD1"/>
    </sheetView>
  </sheetViews>
  <sheetFormatPr defaultColWidth="9.109375" defaultRowHeight="15" x14ac:dyDescent="0.25"/>
  <cols>
    <col min="1" max="1" width="5.5546875" style="2" customWidth="1"/>
    <col min="2" max="2" width="18.33203125" style="152" bestFit="1" customWidth="1"/>
    <col min="3" max="3" width="12.109375" style="31" customWidth="1"/>
    <col min="4" max="4" width="13.33203125" style="31" customWidth="1"/>
    <col min="5" max="5" width="7.5546875" style="31" customWidth="1"/>
    <col min="6" max="6" width="7.44140625" style="31" customWidth="1"/>
    <col min="7" max="7" width="6.33203125" style="31" customWidth="1"/>
    <col min="8" max="8" width="13" style="31" customWidth="1"/>
    <col min="9" max="9" width="6.33203125" style="31" customWidth="1"/>
    <col min="10" max="10" width="10.88671875" style="31" customWidth="1"/>
    <col min="11" max="11" width="9.6640625" style="31" customWidth="1"/>
    <col min="12" max="12" width="10.44140625" style="5" customWidth="1"/>
    <col min="13" max="13" width="11.6640625" style="5" customWidth="1"/>
    <col min="14" max="14" width="9.6640625" style="5" customWidth="1"/>
    <col min="15" max="15" width="18" style="5" customWidth="1"/>
    <col min="16" max="16" width="13.88671875" style="5" customWidth="1"/>
    <col min="17" max="17" width="46.109375" style="5" customWidth="1"/>
    <col min="18" max="16384" width="9.109375" style="5"/>
  </cols>
  <sheetData>
    <row r="1" spans="1:20" ht="24.6" x14ac:dyDescent="0.25">
      <c r="A1" s="260" t="s">
        <v>539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</row>
    <row r="2" spans="1:20" s="133" customFormat="1" ht="15.75" customHeight="1" x14ac:dyDescent="0.3">
      <c r="A2" s="258" t="s">
        <v>0</v>
      </c>
      <c r="B2" s="248" t="s">
        <v>512</v>
      </c>
      <c r="C2" s="253" t="s">
        <v>17</v>
      </c>
      <c r="D2" s="253"/>
      <c r="E2" s="253" t="s">
        <v>29</v>
      </c>
      <c r="F2" s="253"/>
      <c r="G2" s="253"/>
      <c r="H2" s="253"/>
      <c r="I2" s="253"/>
      <c r="J2" s="248" t="s">
        <v>18</v>
      </c>
      <c r="K2" s="248" t="s">
        <v>540</v>
      </c>
      <c r="L2" s="248" t="s">
        <v>541</v>
      </c>
      <c r="M2" s="248" t="s">
        <v>19</v>
      </c>
      <c r="N2" s="248" t="s">
        <v>20</v>
      </c>
      <c r="O2" s="248" t="s">
        <v>21</v>
      </c>
      <c r="P2" s="248" t="s">
        <v>22</v>
      </c>
      <c r="Q2" s="248" t="s">
        <v>77</v>
      </c>
    </row>
    <row r="3" spans="1:20" s="133" customFormat="1" ht="87" x14ac:dyDescent="0.3">
      <c r="A3" s="259"/>
      <c r="B3" s="248"/>
      <c r="C3" s="135" t="s">
        <v>23</v>
      </c>
      <c r="D3" s="135" t="s">
        <v>24</v>
      </c>
      <c r="E3" s="153" t="s">
        <v>542</v>
      </c>
      <c r="F3" s="154" t="s">
        <v>32</v>
      </c>
      <c r="G3" s="155" t="s">
        <v>25</v>
      </c>
      <c r="H3" s="156" t="s">
        <v>543</v>
      </c>
      <c r="I3" s="155" t="s">
        <v>26</v>
      </c>
      <c r="J3" s="248"/>
      <c r="K3" s="248"/>
      <c r="L3" s="248"/>
      <c r="M3" s="248"/>
      <c r="N3" s="248"/>
      <c r="O3" s="248"/>
      <c r="P3" s="248"/>
      <c r="Q3" s="249"/>
      <c r="T3" s="133" t="s">
        <v>510</v>
      </c>
    </row>
    <row r="4" spans="1:20" s="6" customFormat="1" ht="18.75" customHeight="1" x14ac:dyDescent="0.25">
      <c r="A4" s="54" t="s">
        <v>1</v>
      </c>
      <c r="B4" s="157" t="s">
        <v>2</v>
      </c>
      <c r="C4" s="54" t="s">
        <v>3</v>
      </c>
      <c r="D4" s="54" t="s">
        <v>4</v>
      </c>
      <c r="E4" s="54" t="s">
        <v>5</v>
      </c>
      <c r="F4" s="54" t="s">
        <v>6</v>
      </c>
      <c r="G4" s="54" t="s">
        <v>7</v>
      </c>
      <c r="H4" s="54" t="s">
        <v>8</v>
      </c>
      <c r="I4" s="54" t="s">
        <v>9</v>
      </c>
      <c r="J4" s="54" t="s">
        <v>10</v>
      </c>
      <c r="K4" s="54" t="s">
        <v>11</v>
      </c>
      <c r="L4" s="54" t="s">
        <v>12</v>
      </c>
      <c r="M4" s="54" t="s">
        <v>13</v>
      </c>
      <c r="N4" s="54" t="s">
        <v>27</v>
      </c>
      <c r="O4" s="54" t="s">
        <v>28</v>
      </c>
      <c r="P4" s="54" t="s">
        <v>37</v>
      </c>
      <c r="Q4" s="54" t="s">
        <v>38</v>
      </c>
    </row>
    <row r="5" spans="1:20" s="3" customFormat="1" ht="35.25" customHeight="1" x14ac:dyDescent="0.3">
      <c r="A5" s="1">
        <v>1</v>
      </c>
      <c r="B5" s="42" t="s">
        <v>544</v>
      </c>
      <c r="C5" s="1">
        <v>186</v>
      </c>
      <c r="D5" s="158">
        <v>136</v>
      </c>
      <c r="E5" s="1">
        <v>0</v>
      </c>
      <c r="F5" s="1">
        <v>0</v>
      </c>
      <c r="G5" s="1">
        <v>0</v>
      </c>
      <c r="H5" s="1">
        <v>4</v>
      </c>
      <c r="I5" s="1">
        <v>0</v>
      </c>
      <c r="J5" s="158">
        <v>4</v>
      </c>
      <c r="K5" s="1">
        <v>0</v>
      </c>
      <c r="L5" s="159">
        <v>132</v>
      </c>
      <c r="M5" s="160">
        <v>2.9411764705882353E-2</v>
      </c>
      <c r="N5" s="160">
        <v>0</v>
      </c>
      <c r="O5" s="160">
        <v>0.97058823529411764</v>
      </c>
      <c r="P5" s="160">
        <v>0.97058823529411764</v>
      </c>
      <c r="Q5" s="161" t="s">
        <v>545</v>
      </c>
      <c r="S5" s="3" t="s">
        <v>510</v>
      </c>
    </row>
    <row r="6" spans="1:20" ht="21" customHeight="1" x14ac:dyDescent="0.25">
      <c r="A6" s="1">
        <v>2</v>
      </c>
      <c r="B6" s="42" t="s">
        <v>546</v>
      </c>
      <c r="C6" s="15">
        <v>387</v>
      </c>
      <c r="D6" s="15">
        <v>365</v>
      </c>
      <c r="E6" s="15">
        <v>0</v>
      </c>
      <c r="F6" s="15">
        <v>0</v>
      </c>
      <c r="G6" s="15">
        <v>1</v>
      </c>
      <c r="H6" s="15">
        <v>0</v>
      </c>
      <c r="I6" s="15">
        <v>0</v>
      </c>
      <c r="J6" s="162">
        <v>0</v>
      </c>
      <c r="K6" s="15">
        <v>1</v>
      </c>
      <c r="L6" s="163">
        <v>364</v>
      </c>
      <c r="M6" s="164">
        <v>0</v>
      </c>
      <c r="N6" s="164">
        <v>2.7397260273972603E-3</v>
      </c>
      <c r="O6" s="164">
        <v>0.99726027397260275</v>
      </c>
      <c r="P6" s="164">
        <v>1</v>
      </c>
      <c r="Q6" s="161" t="s">
        <v>547</v>
      </c>
    </row>
    <row r="7" spans="1:20" s="3" customFormat="1" ht="21.75" customHeight="1" x14ac:dyDescent="0.3">
      <c r="A7" s="1">
        <v>3</v>
      </c>
      <c r="B7" s="42" t="s">
        <v>548</v>
      </c>
      <c r="C7" s="15">
        <v>1274</v>
      </c>
      <c r="D7" s="162">
        <v>1080</v>
      </c>
      <c r="E7" s="15">
        <v>0</v>
      </c>
      <c r="F7" s="15">
        <v>0</v>
      </c>
      <c r="G7" s="15">
        <v>10</v>
      </c>
      <c r="H7" s="15">
        <v>0</v>
      </c>
      <c r="I7" s="15">
        <v>0</v>
      </c>
      <c r="J7" s="162">
        <v>0</v>
      </c>
      <c r="K7" s="162">
        <v>10</v>
      </c>
      <c r="L7" s="163">
        <v>1070</v>
      </c>
      <c r="M7" s="164">
        <v>0</v>
      </c>
      <c r="N7" s="164">
        <v>9.2592592592592587E-3</v>
      </c>
      <c r="O7" s="164">
        <v>0.9907407407407407</v>
      </c>
      <c r="P7" s="164">
        <v>1</v>
      </c>
      <c r="Q7" s="161" t="s">
        <v>549</v>
      </c>
      <c r="T7" s="3" t="s">
        <v>510</v>
      </c>
    </row>
    <row r="8" spans="1:20" s="3" customFormat="1" x14ac:dyDescent="0.25">
      <c r="A8" s="1">
        <v>4</v>
      </c>
      <c r="B8" s="42" t="s">
        <v>550</v>
      </c>
      <c r="C8" s="15">
        <v>44</v>
      </c>
      <c r="D8" s="15">
        <v>5</v>
      </c>
      <c r="E8" s="15">
        <v>0</v>
      </c>
      <c r="F8" s="15">
        <v>1</v>
      </c>
      <c r="G8" s="15">
        <v>1</v>
      </c>
      <c r="H8" s="15">
        <v>0</v>
      </c>
      <c r="I8" s="15">
        <v>0</v>
      </c>
      <c r="J8" s="162">
        <v>1</v>
      </c>
      <c r="K8" s="15">
        <v>1</v>
      </c>
      <c r="L8" s="163">
        <v>3</v>
      </c>
      <c r="M8" s="164">
        <v>0.2</v>
      </c>
      <c r="N8" s="164">
        <v>0.2</v>
      </c>
      <c r="O8" s="164">
        <v>0.6</v>
      </c>
      <c r="P8" s="164">
        <v>0.8</v>
      </c>
      <c r="Q8" s="165" t="s">
        <v>551</v>
      </c>
    </row>
    <row r="9" spans="1:20" ht="27" customHeight="1" x14ac:dyDescent="0.25">
      <c r="A9" s="1">
        <v>5</v>
      </c>
      <c r="B9" s="42" t="s">
        <v>552</v>
      </c>
      <c r="C9" s="15">
        <v>24</v>
      </c>
      <c r="D9" s="162">
        <v>25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62">
        <v>0</v>
      </c>
      <c r="K9" s="15">
        <v>0</v>
      </c>
      <c r="L9" s="163">
        <v>25</v>
      </c>
      <c r="M9" s="164">
        <v>0</v>
      </c>
      <c r="N9" s="164">
        <v>0</v>
      </c>
      <c r="O9" s="164">
        <v>1</v>
      </c>
      <c r="P9" s="164">
        <v>1</v>
      </c>
      <c r="Q9" s="165"/>
      <c r="S9" s="5" t="s">
        <v>510</v>
      </c>
    </row>
    <row r="10" spans="1:20" s="3" customFormat="1" ht="24" customHeight="1" x14ac:dyDescent="0.3">
      <c r="A10" s="1">
        <v>6</v>
      </c>
      <c r="B10" s="42" t="s">
        <v>553</v>
      </c>
      <c r="C10" s="15">
        <v>941</v>
      </c>
      <c r="D10" s="15">
        <v>941</v>
      </c>
      <c r="E10" s="15">
        <v>0</v>
      </c>
      <c r="F10" s="15">
        <v>0</v>
      </c>
      <c r="G10" s="15">
        <v>40</v>
      </c>
      <c r="H10" s="15">
        <v>0</v>
      </c>
      <c r="I10" s="15">
        <v>0</v>
      </c>
      <c r="J10" s="162">
        <v>0</v>
      </c>
      <c r="K10" s="15">
        <v>40</v>
      </c>
      <c r="L10" s="163">
        <v>901</v>
      </c>
      <c r="M10" s="164">
        <v>0</v>
      </c>
      <c r="N10" s="164">
        <v>4.250797024442083E-2</v>
      </c>
      <c r="O10" s="164">
        <v>0.95749202975557912</v>
      </c>
      <c r="P10" s="164">
        <v>1</v>
      </c>
      <c r="Q10" s="161" t="s">
        <v>554</v>
      </c>
    </row>
    <row r="11" spans="1:20" s="3" customFormat="1" x14ac:dyDescent="0.3">
      <c r="A11" s="1">
        <v>7</v>
      </c>
      <c r="B11" s="42" t="s">
        <v>555</v>
      </c>
      <c r="C11" s="15">
        <v>4</v>
      </c>
      <c r="D11" s="15">
        <v>20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62">
        <v>0</v>
      </c>
      <c r="K11" s="15">
        <v>0</v>
      </c>
      <c r="L11" s="163">
        <v>20</v>
      </c>
      <c r="M11" s="164">
        <v>0</v>
      </c>
      <c r="N11" s="164">
        <v>0</v>
      </c>
      <c r="O11" s="164">
        <v>1</v>
      </c>
      <c r="P11" s="164">
        <v>1</v>
      </c>
      <c r="Q11" s="166"/>
    </row>
    <row r="12" spans="1:20" ht="24" customHeight="1" x14ac:dyDescent="0.25">
      <c r="A12" s="1">
        <v>8</v>
      </c>
      <c r="B12" s="42" t="s">
        <v>556</v>
      </c>
      <c r="C12" s="15">
        <v>528</v>
      </c>
      <c r="D12" s="162">
        <v>613</v>
      </c>
      <c r="E12" s="15">
        <v>0</v>
      </c>
      <c r="F12" s="15">
        <v>0</v>
      </c>
      <c r="G12" s="15">
        <v>9</v>
      </c>
      <c r="H12" s="15">
        <v>0</v>
      </c>
      <c r="I12" s="15">
        <v>0</v>
      </c>
      <c r="J12" s="162">
        <v>0</v>
      </c>
      <c r="K12" s="162">
        <v>9</v>
      </c>
      <c r="L12" s="163">
        <v>604</v>
      </c>
      <c r="M12" s="164">
        <v>0</v>
      </c>
      <c r="N12" s="164">
        <v>1.468189233278956E-2</v>
      </c>
      <c r="O12" s="164">
        <v>0.9853181076672104</v>
      </c>
      <c r="P12" s="164">
        <v>1</v>
      </c>
      <c r="Q12" s="167" t="s">
        <v>557</v>
      </c>
    </row>
    <row r="13" spans="1:20" ht="24" customHeight="1" x14ac:dyDescent="0.25">
      <c r="A13" s="1">
        <v>9</v>
      </c>
      <c r="B13" s="42" t="s">
        <v>558</v>
      </c>
      <c r="C13" s="15">
        <v>0</v>
      </c>
      <c r="D13" s="15">
        <v>9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62">
        <v>0</v>
      </c>
      <c r="K13" s="15">
        <v>0</v>
      </c>
      <c r="L13" s="163">
        <v>9</v>
      </c>
      <c r="M13" s="164">
        <v>0</v>
      </c>
      <c r="N13" s="164">
        <v>0</v>
      </c>
      <c r="O13" s="164">
        <v>1</v>
      </c>
      <c r="P13" s="164">
        <v>1</v>
      </c>
      <c r="Q13" s="167"/>
    </row>
    <row r="14" spans="1:20" s="3" customFormat="1" ht="32.25" customHeight="1" x14ac:dyDescent="0.25">
      <c r="A14" s="1">
        <v>10</v>
      </c>
      <c r="B14" s="42" t="s">
        <v>559</v>
      </c>
      <c r="C14" s="15">
        <v>3582</v>
      </c>
      <c r="D14" s="162">
        <v>3613</v>
      </c>
      <c r="E14" s="15">
        <v>0</v>
      </c>
      <c r="F14" s="15">
        <v>0</v>
      </c>
      <c r="G14" s="15">
        <v>8</v>
      </c>
      <c r="H14" s="15">
        <v>4</v>
      </c>
      <c r="I14" s="15">
        <v>0</v>
      </c>
      <c r="J14" s="162">
        <v>4</v>
      </c>
      <c r="K14" s="15">
        <v>8</v>
      </c>
      <c r="L14" s="163">
        <v>3601</v>
      </c>
      <c r="M14" s="164">
        <v>1.1071132023249377E-3</v>
      </c>
      <c r="N14" s="164">
        <v>2.2142264046498754E-3</v>
      </c>
      <c r="O14" s="164">
        <v>0.99667866039302522</v>
      </c>
      <c r="P14" s="164">
        <v>0.99889288679767507</v>
      </c>
      <c r="Q14" s="168" t="s">
        <v>560</v>
      </c>
    </row>
    <row r="15" spans="1:20" s="3" customFormat="1" x14ac:dyDescent="0.25">
      <c r="A15" s="1">
        <v>11</v>
      </c>
      <c r="B15" s="42" t="s">
        <v>561</v>
      </c>
      <c r="C15" s="15">
        <v>561</v>
      </c>
      <c r="D15" s="15">
        <v>140</v>
      </c>
      <c r="E15" s="15">
        <v>0</v>
      </c>
      <c r="F15" s="15">
        <v>0</v>
      </c>
      <c r="G15" s="15">
        <v>0</v>
      </c>
      <c r="H15" s="15">
        <v>3</v>
      </c>
      <c r="I15" s="15">
        <v>0</v>
      </c>
      <c r="J15" s="162">
        <v>3</v>
      </c>
      <c r="K15" s="15">
        <v>0</v>
      </c>
      <c r="L15" s="163">
        <v>137</v>
      </c>
      <c r="M15" s="164">
        <v>2.1428571428571429E-2</v>
      </c>
      <c r="N15" s="164">
        <v>0</v>
      </c>
      <c r="O15" s="164">
        <v>0.97857142857142854</v>
      </c>
      <c r="P15" s="164">
        <v>0.97857142857142854</v>
      </c>
      <c r="Q15" s="169" t="s">
        <v>562</v>
      </c>
    </row>
    <row r="16" spans="1:20" ht="36.75" customHeight="1" x14ac:dyDescent="0.25">
      <c r="A16" s="1">
        <v>12</v>
      </c>
      <c r="B16" s="42" t="s">
        <v>563</v>
      </c>
      <c r="C16" s="15">
        <v>28</v>
      </c>
      <c r="D16" s="162">
        <v>96</v>
      </c>
      <c r="E16" s="15">
        <v>0</v>
      </c>
      <c r="F16" s="15">
        <v>0</v>
      </c>
      <c r="G16" s="15">
        <v>0</v>
      </c>
      <c r="H16" s="15">
        <v>39</v>
      </c>
      <c r="I16" s="15">
        <v>0</v>
      </c>
      <c r="J16" s="162">
        <v>39</v>
      </c>
      <c r="K16" s="162">
        <v>0</v>
      </c>
      <c r="L16" s="163">
        <v>57</v>
      </c>
      <c r="M16" s="164">
        <v>0.40625</v>
      </c>
      <c r="N16" s="164">
        <v>0</v>
      </c>
      <c r="O16" s="164">
        <v>0.59375</v>
      </c>
      <c r="P16" s="164">
        <v>0.59375</v>
      </c>
      <c r="Q16" s="169" t="s">
        <v>564</v>
      </c>
    </row>
    <row r="17" spans="1:20" ht="32.25" customHeight="1" x14ac:dyDescent="0.25">
      <c r="A17" s="1">
        <v>13</v>
      </c>
      <c r="B17" s="42" t="s">
        <v>565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62">
        <v>0</v>
      </c>
      <c r="K17" s="15">
        <v>0</v>
      </c>
      <c r="L17" s="163">
        <v>0</v>
      </c>
      <c r="M17" s="164" t="s">
        <v>111</v>
      </c>
      <c r="N17" s="164" t="s">
        <v>111</v>
      </c>
      <c r="O17" s="164" t="s">
        <v>111</v>
      </c>
      <c r="P17" s="164" t="s">
        <v>111</v>
      </c>
      <c r="Q17" s="170"/>
    </row>
    <row r="18" spans="1:20" ht="24" customHeight="1" x14ac:dyDescent="0.25">
      <c r="A18" s="1">
        <v>14</v>
      </c>
      <c r="B18" s="42" t="s">
        <v>566</v>
      </c>
      <c r="C18" s="15">
        <v>166</v>
      </c>
      <c r="D18" s="162">
        <v>181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62">
        <v>0</v>
      </c>
      <c r="K18" s="15">
        <v>0</v>
      </c>
      <c r="L18" s="163">
        <v>181</v>
      </c>
      <c r="M18" s="164">
        <v>0</v>
      </c>
      <c r="N18" s="164">
        <v>0</v>
      </c>
      <c r="O18" s="164">
        <v>1</v>
      </c>
      <c r="P18" s="164">
        <v>1</v>
      </c>
      <c r="Q18" s="165"/>
    </row>
    <row r="19" spans="1:20" x14ac:dyDescent="0.25">
      <c r="A19" s="1">
        <v>15</v>
      </c>
      <c r="B19" s="42" t="s">
        <v>567</v>
      </c>
      <c r="C19" s="15">
        <v>108</v>
      </c>
      <c r="D19" s="15">
        <v>134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62">
        <v>0</v>
      </c>
      <c r="K19" s="15">
        <v>0</v>
      </c>
      <c r="L19" s="163">
        <v>134</v>
      </c>
      <c r="M19" s="164">
        <v>0</v>
      </c>
      <c r="N19" s="164">
        <v>0</v>
      </c>
      <c r="O19" s="164">
        <v>1</v>
      </c>
      <c r="P19" s="164">
        <v>1</v>
      </c>
      <c r="Q19" s="171"/>
    </row>
    <row r="20" spans="1:20" x14ac:dyDescent="0.25">
      <c r="A20" s="1">
        <v>16</v>
      </c>
      <c r="B20" s="42" t="s">
        <v>568</v>
      </c>
      <c r="C20" s="15">
        <v>1970</v>
      </c>
      <c r="D20" s="162">
        <v>4842</v>
      </c>
      <c r="E20" s="15">
        <v>0</v>
      </c>
      <c r="F20" s="15">
        <v>0</v>
      </c>
      <c r="G20" s="15">
        <v>0</v>
      </c>
      <c r="H20" s="15">
        <v>20</v>
      </c>
      <c r="I20" s="15">
        <v>0</v>
      </c>
      <c r="J20" s="162">
        <v>20</v>
      </c>
      <c r="K20" s="162">
        <v>0</v>
      </c>
      <c r="L20" s="163">
        <v>4822</v>
      </c>
      <c r="M20" s="164">
        <v>4.1305245766212308E-3</v>
      </c>
      <c r="N20" s="164">
        <v>0</v>
      </c>
      <c r="O20" s="164">
        <v>0.99586947542337878</v>
      </c>
      <c r="P20" s="164">
        <v>0.99586947542337878</v>
      </c>
      <c r="Q20" s="172" t="s">
        <v>569</v>
      </c>
    </row>
    <row r="21" spans="1:20" x14ac:dyDescent="0.25">
      <c r="A21" s="1">
        <v>17</v>
      </c>
      <c r="B21" s="42" t="s">
        <v>570</v>
      </c>
      <c r="C21" s="15">
        <v>0</v>
      </c>
      <c r="D21" s="162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62">
        <v>0</v>
      </c>
      <c r="K21" s="162">
        <v>0</v>
      </c>
      <c r="L21" s="163">
        <v>0</v>
      </c>
      <c r="M21" s="164" t="s">
        <v>111</v>
      </c>
      <c r="N21" s="164" t="s">
        <v>111</v>
      </c>
      <c r="O21" s="164" t="s">
        <v>111</v>
      </c>
      <c r="P21" s="164" t="s">
        <v>111</v>
      </c>
      <c r="Q21" s="173"/>
    </row>
    <row r="22" spans="1:20" x14ac:dyDescent="0.25">
      <c r="A22" s="1">
        <v>18</v>
      </c>
      <c r="B22" s="42" t="s">
        <v>571</v>
      </c>
      <c r="C22" s="15">
        <v>0</v>
      </c>
      <c r="D22" s="162">
        <v>12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62">
        <v>0</v>
      </c>
      <c r="K22" s="162">
        <v>0</v>
      </c>
      <c r="L22" s="163">
        <v>12</v>
      </c>
      <c r="M22" s="164">
        <v>0</v>
      </c>
      <c r="N22" s="164">
        <v>0</v>
      </c>
      <c r="O22" s="164">
        <v>1</v>
      </c>
      <c r="P22" s="164">
        <v>1</v>
      </c>
      <c r="Q22" s="173"/>
    </row>
    <row r="23" spans="1:20" ht="38.25" customHeight="1" x14ac:dyDescent="0.25">
      <c r="A23" s="1">
        <v>19</v>
      </c>
      <c r="B23" s="42" t="s">
        <v>572</v>
      </c>
      <c r="C23" s="15">
        <v>53</v>
      </c>
      <c r="D23" s="15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62">
        <v>0</v>
      </c>
      <c r="K23" s="15">
        <v>0</v>
      </c>
      <c r="L23" s="163">
        <v>13</v>
      </c>
      <c r="M23" s="164">
        <v>0</v>
      </c>
      <c r="N23" s="164">
        <v>0</v>
      </c>
      <c r="O23" s="164">
        <v>1</v>
      </c>
      <c r="P23" s="164">
        <v>1</v>
      </c>
      <c r="Q23" s="172"/>
    </row>
    <row r="24" spans="1:20" ht="33" customHeight="1" x14ac:dyDescent="0.25">
      <c r="A24" s="1">
        <v>20</v>
      </c>
      <c r="B24" s="42" t="s">
        <v>573</v>
      </c>
      <c r="C24" s="15">
        <v>1851</v>
      </c>
      <c r="D24" s="162">
        <v>404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62">
        <v>0</v>
      </c>
      <c r="K24" s="15">
        <v>0</v>
      </c>
      <c r="L24" s="163">
        <v>404</v>
      </c>
      <c r="M24" s="164">
        <v>0</v>
      </c>
      <c r="N24" s="164">
        <v>0</v>
      </c>
      <c r="O24" s="164">
        <v>1</v>
      </c>
      <c r="P24" s="164">
        <v>1</v>
      </c>
      <c r="Q24" s="172"/>
    </row>
    <row r="25" spans="1:20" s="3" customFormat="1" ht="42" customHeight="1" x14ac:dyDescent="0.3">
      <c r="A25" s="1">
        <v>21</v>
      </c>
      <c r="B25" s="42" t="s">
        <v>574</v>
      </c>
      <c r="C25" s="15">
        <v>711</v>
      </c>
      <c r="D25" s="15">
        <v>5479</v>
      </c>
      <c r="E25" s="15">
        <v>0</v>
      </c>
      <c r="F25" s="15">
        <v>0</v>
      </c>
      <c r="G25" s="15">
        <v>0</v>
      </c>
      <c r="H25" s="15">
        <v>171</v>
      </c>
      <c r="I25" s="15">
        <v>0</v>
      </c>
      <c r="J25" s="162">
        <v>171</v>
      </c>
      <c r="K25" s="15">
        <v>0</v>
      </c>
      <c r="L25" s="163">
        <v>5308</v>
      </c>
      <c r="M25" s="164">
        <v>3.1210074831173572E-2</v>
      </c>
      <c r="N25" s="164">
        <v>0</v>
      </c>
      <c r="O25" s="164">
        <v>0.96878992516882645</v>
      </c>
      <c r="P25" s="164">
        <v>0.96878992516882645</v>
      </c>
      <c r="Q25" s="174" t="s">
        <v>575</v>
      </c>
    </row>
    <row r="26" spans="1:20" s="3" customFormat="1" x14ac:dyDescent="0.3">
      <c r="A26" s="1">
        <v>22</v>
      </c>
      <c r="B26" s="42" t="s">
        <v>576</v>
      </c>
      <c r="C26" s="15">
        <v>29748</v>
      </c>
      <c r="D26" s="162">
        <v>28578</v>
      </c>
      <c r="E26" s="15">
        <v>0</v>
      </c>
      <c r="F26" s="15">
        <v>1</v>
      </c>
      <c r="G26" s="15">
        <v>0</v>
      </c>
      <c r="H26" s="15">
        <v>171</v>
      </c>
      <c r="I26" s="15">
        <v>0</v>
      </c>
      <c r="J26" s="162">
        <v>172</v>
      </c>
      <c r="K26" s="162">
        <v>0</v>
      </c>
      <c r="L26" s="163">
        <v>28406</v>
      </c>
      <c r="M26" s="164">
        <v>6.0186157183847715E-3</v>
      </c>
      <c r="N26" s="164">
        <v>0</v>
      </c>
      <c r="O26" s="164">
        <v>0.9939813842816152</v>
      </c>
      <c r="P26" s="164">
        <v>0.9939813842816152</v>
      </c>
      <c r="Q26" s="174"/>
    </row>
    <row r="27" spans="1:20" s="3" customFormat="1" ht="35.25" customHeight="1" x14ac:dyDescent="0.3">
      <c r="A27" s="1">
        <v>23</v>
      </c>
      <c r="B27" s="42" t="s">
        <v>577</v>
      </c>
      <c r="C27" s="15">
        <v>0</v>
      </c>
      <c r="D27" s="162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62">
        <v>0</v>
      </c>
      <c r="K27" s="162">
        <v>0</v>
      </c>
      <c r="L27" s="163">
        <v>0</v>
      </c>
      <c r="M27" s="164" t="s">
        <v>111</v>
      </c>
      <c r="N27" s="164" t="s">
        <v>111</v>
      </c>
      <c r="O27" s="164" t="s">
        <v>111</v>
      </c>
      <c r="P27" s="164" t="s">
        <v>111</v>
      </c>
      <c r="Q27" s="175"/>
      <c r="R27" s="176"/>
      <c r="S27" s="176"/>
      <c r="T27" s="177"/>
    </row>
    <row r="28" spans="1:20" s="3" customFormat="1" ht="42.75" customHeight="1" x14ac:dyDescent="0.3">
      <c r="A28" s="1">
        <v>24</v>
      </c>
      <c r="B28" s="42" t="s">
        <v>578</v>
      </c>
      <c r="C28" s="15">
        <v>19402</v>
      </c>
      <c r="D28" s="15">
        <v>12417</v>
      </c>
      <c r="E28" s="15">
        <v>0</v>
      </c>
      <c r="F28" s="15">
        <v>0</v>
      </c>
      <c r="G28" s="15">
        <v>0</v>
      </c>
      <c r="H28" s="15">
        <v>882</v>
      </c>
      <c r="I28" s="15">
        <v>0</v>
      </c>
      <c r="J28" s="162">
        <v>882</v>
      </c>
      <c r="K28" s="15">
        <v>0</v>
      </c>
      <c r="L28" s="163">
        <v>11535</v>
      </c>
      <c r="M28" s="164">
        <v>7.1031650157042769E-2</v>
      </c>
      <c r="N28" s="164">
        <v>0</v>
      </c>
      <c r="O28" s="164">
        <v>0.92896834984295729</v>
      </c>
      <c r="P28" s="164">
        <v>0.92896834984295729</v>
      </c>
      <c r="Q28" s="161" t="s">
        <v>579</v>
      </c>
    </row>
    <row r="29" spans="1:20" ht="37.5" customHeight="1" x14ac:dyDescent="0.25">
      <c r="A29" s="1">
        <v>25</v>
      </c>
      <c r="B29" s="42" t="s">
        <v>580</v>
      </c>
      <c r="C29" s="15">
        <v>61</v>
      </c>
      <c r="D29" s="162">
        <v>268</v>
      </c>
      <c r="E29" s="15">
        <v>0</v>
      </c>
      <c r="F29" s="15">
        <v>0</v>
      </c>
      <c r="G29" s="15">
        <v>0</v>
      </c>
      <c r="H29" s="15">
        <v>5</v>
      </c>
      <c r="I29" s="15">
        <v>0</v>
      </c>
      <c r="J29" s="162">
        <v>5</v>
      </c>
      <c r="K29" s="15">
        <v>0</v>
      </c>
      <c r="L29" s="163">
        <v>263</v>
      </c>
      <c r="M29" s="164">
        <v>1.8656716417910446E-2</v>
      </c>
      <c r="N29" s="164">
        <v>0</v>
      </c>
      <c r="O29" s="164">
        <v>0.98134328358208955</v>
      </c>
      <c r="P29" s="164">
        <v>0.98134328358208955</v>
      </c>
      <c r="Q29" s="172" t="s">
        <v>581</v>
      </c>
    </row>
    <row r="30" spans="1:20" ht="45.75" customHeight="1" x14ac:dyDescent="0.25">
      <c r="A30" s="1">
        <v>26</v>
      </c>
      <c r="B30" s="42" t="s">
        <v>582</v>
      </c>
      <c r="C30" s="15">
        <v>1655</v>
      </c>
      <c r="D30" s="15">
        <v>1343</v>
      </c>
      <c r="E30" s="15">
        <v>0</v>
      </c>
      <c r="F30" s="15">
        <v>0</v>
      </c>
      <c r="G30" s="15">
        <v>5</v>
      </c>
      <c r="H30" s="15">
        <v>12</v>
      </c>
      <c r="I30" s="15">
        <v>0</v>
      </c>
      <c r="J30" s="162">
        <v>12</v>
      </c>
      <c r="K30" s="15">
        <v>5</v>
      </c>
      <c r="L30" s="163">
        <v>1326</v>
      </c>
      <c r="M30" s="164">
        <v>8.9352196574832461E-3</v>
      </c>
      <c r="N30" s="164">
        <v>3.7230081906180195E-3</v>
      </c>
      <c r="O30" s="164">
        <v>0.98734177215189878</v>
      </c>
      <c r="P30" s="164">
        <v>0.99106478034251677</v>
      </c>
      <c r="Q30" s="171" t="s">
        <v>583</v>
      </c>
    </row>
    <row r="31" spans="1:20" s="3" customFormat="1" ht="19.5" customHeight="1" x14ac:dyDescent="0.3">
      <c r="A31" s="1">
        <v>27</v>
      </c>
      <c r="B31" s="42" t="s">
        <v>584</v>
      </c>
      <c r="C31" s="15">
        <v>379</v>
      </c>
      <c r="D31" s="162">
        <v>584</v>
      </c>
      <c r="E31" s="15">
        <v>0</v>
      </c>
      <c r="F31" s="15">
        <v>0</v>
      </c>
      <c r="G31" s="15">
        <v>0</v>
      </c>
      <c r="H31" s="15">
        <v>15</v>
      </c>
      <c r="I31" s="15">
        <v>0</v>
      </c>
      <c r="J31" s="162">
        <v>15</v>
      </c>
      <c r="K31" s="162">
        <v>0</v>
      </c>
      <c r="L31" s="163">
        <v>569</v>
      </c>
      <c r="M31" s="164">
        <v>2.5684931506849314E-2</v>
      </c>
      <c r="N31" s="164">
        <v>0</v>
      </c>
      <c r="O31" s="164">
        <v>0.97431506849315064</v>
      </c>
      <c r="P31" s="164">
        <v>0.97431506849315064</v>
      </c>
      <c r="Q31" s="174" t="s">
        <v>585</v>
      </c>
    </row>
    <row r="32" spans="1:20" x14ac:dyDescent="0.25">
      <c r="A32" s="1">
        <v>28</v>
      </c>
      <c r="B32" s="42" t="s">
        <v>586</v>
      </c>
      <c r="C32" s="15">
        <v>0</v>
      </c>
      <c r="D32" s="15">
        <v>18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62">
        <v>0</v>
      </c>
      <c r="K32" s="15">
        <v>0</v>
      </c>
      <c r="L32" s="163">
        <v>18</v>
      </c>
      <c r="M32" s="164">
        <v>0</v>
      </c>
      <c r="N32" s="164">
        <v>0</v>
      </c>
      <c r="O32" s="164">
        <v>1</v>
      </c>
      <c r="P32" s="164">
        <v>1</v>
      </c>
      <c r="Q32" s="165"/>
    </row>
    <row r="33" spans="1:17" x14ac:dyDescent="0.25">
      <c r="A33" s="1">
        <v>29</v>
      </c>
      <c r="B33" s="42" t="s">
        <v>587</v>
      </c>
      <c r="C33" s="15">
        <v>48</v>
      </c>
      <c r="D33" s="162">
        <v>30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62">
        <v>0</v>
      </c>
      <c r="K33" s="15">
        <v>0</v>
      </c>
      <c r="L33" s="163">
        <v>30</v>
      </c>
      <c r="M33" s="164">
        <v>0</v>
      </c>
      <c r="N33" s="164">
        <v>0</v>
      </c>
      <c r="O33" s="164">
        <v>1</v>
      </c>
      <c r="P33" s="164">
        <v>1</v>
      </c>
      <c r="Q33" s="165"/>
    </row>
    <row r="34" spans="1:17" x14ac:dyDescent="0.25">
      <c r="A34" s="1">
        <v>30</v>
      </c>
      <c r="B34" s="42" t="s">
        <v>588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62">
        <v>0</v>
      </c>
      <c r="K34" s="15">
        <v>0</v>
      </c>
      <c r="L34" s="163">
        <v>0</v>
      </c>
      <c r="M34" s="164" t="s">
        <v>111</v>
      </c>
      <c r="N34" s="164" t="s">
        <v>111</v>
      </c>
      <c r="O34" s="164" t="s">
        <v>111</v>
      </c>
      <c r="P34" s="164" t="s">
        <v>111</v>
      </c>
      <c r="Q34" s="165"/>
    </row>
    <row r="35" spans="1:17" x14ac:dyDescent="0.25">
      <c r="A35" s="1">
        <v>31</v>
      </c>
      <c r="B35" s="42" t="s">
        <v>589</v>
      </c>
      <c r="C35" s="15">
        <v>0</v>
      </c>
      <c r="D35" s="162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62">
        <v>0</v>
      </c>
      <c r="K35" s="162">
        <v>0</v>
      </c>
      <c r="L35" s="163">
        <v>0</v>
      </c>
      <c r="M35" s="164" t="s">
        <v>111</v>
      </c>
      <c r="N35" s="164" t="s">
        <v>111</v>
      </c>
      <c r="O35" s="164" t="s">
        <v>111</v>
      </c>
      <c r="P35" s="164" t="s">
        <v>111</v>
      </c>
      <c r="Q35" s="165"/>
    </row>
    <row r="36" spans="1:17" x14ac:dyDescent="0.25">
      <c r="A36" s="1">
        <v>32</v>
      </c>
      <c r="B36" s="42" t="s">
        <v>590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62">
        <v>0</v>
      </c>
      <c r="K36" s="15">
        <v>0</v>
      </c>
      <c r="L36" s="163">
        <v>0</v>
      </c>
      <c r="M36" s="164" t="s">
        <v>111</v>
      </c>
      <c r="N36" s="164" t="s">
        <v>111</v>
      </c>
      <c r="O36" s="164" t="s">
        <v>111</v>
      </c>
      <c r="P36" s="164" t="s">
        <v>111</v>
      </c>
      <c r="Q36" s="165"/>
    </row>
    <row r="37" spans="1:17" x14ac:dyDescent="0.25">
      <c r="A37" s="1">
        <v>33</v>
      </c>
      <c r="B37" s="42" t="s">
        <v>591</v>
      </c>
      <c r="C37" s="15">
        <v>0</v>
      </c>
      <c r="D37" s="162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62">
        <v>0</v>
      </c>
      <c r="K37" s="15">
        <v>0</v>
      </c>
      <c r="L37" s="163">
        <v>0</v>
      </c>
      <c r="M37" s="164" t="s">
        <v>111</v>
      </c>
      <c r="N37" s="164" t="s">
        <v>111</v>
      </c>
      <c r="O37" s="164" t="s">
        <v>111</v>
      </c>
      <c r="P37" s="164" t="s">
        <v>111</v>
      </c>
      <c r="Q37" s="165"/>
    </row>
    <row r="38" spans="1:17" ht="30" x14ac:dyDescent="0.25">
      <c r="A38" s="1">
        <v>34</v>
      </c>
      <c r="B38" s="42" t="s">
        <v>592</v>
      </c>
      <c r="C38" s="15">
        <v>213</v>
      </c>
      <c r="D38" s="15">
        <v>193</v>
      </c>
      <c r="E38" s="15">
        <v>0</v>
      </c>
      <c r="F38" s="15">
        <v>0</v>
      </c>
      <c r="G38" s="15">
        <v>4</v>
      </c>
      <c r="H38" s="15">
        <v>5</v>
      </c>
      <c r="I38" s="15">
        <v>0</v>
      </c>
      <c r="J38" s="162">
        <v>5</v>
      </c>
      <c r="K38" s="15">
        <v>4</v>
      </c>
      <c r="L38" s="163">
        <v>184</v>
      </c>
      <c r="M38" s="164">
        <v>2.5906735751295335E-2</v>
      </c>
      <c r="N38" s="164">
        <v>2.072538860103627E-2</v>
      </c>
      <c r="O38" s="164">
        <v>0.95336787564766834</v>
      </c>
      <c r="P38" s="164">
        <v>0.97409326424870457</v>
      </c>
      <c r="Q38" s="171" t="s">
        <v>593</v>
      </c>
    </row>
    <row r="39" spans="1:17" x14ac:dyDescent="0.25">
      <c r="A39" s="1">
        <v>35</v>
      </c>
      <c r="B39" s="42" t="s">
        <v>594</v>
      </c>
      <c r="C39" s="15">
        <v>0</v>
      </c>
      <c r="D39" s="162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62">
        <v>0</v>
      </c>
      <c r="K39" s="162">
        <v>0</v>
      </c>
      <c r="L39" s="163">
        <v>0</v>
      </c>
      <c r="M39" s="164" t="s">
        <v>111</v>
      </c>
      <c r="N39" s="164" t="s">
        <v>111</v>
      </c>
      <c r="O39" s="164" t="s">
        <v>111</v>
      </c>
      <c r="P39" s="164" t="s">
        <v>111</v>
      </c>
      <c r="Q39" s="165"/>
    </row>
    <row r="40" spans="1:17" x14ac:dyDescent="0.25">
      <c r="A40" s="1">
        <v>36</v>
      </c>
      <c r="B40" s="42" t="s">
        <v>595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62">
        <v>0</v>
      </c>
      <c r="K40" s="15">
        <v>0</v>
      </c>
      <c r="L40" s="163">
        <v>0</v>
      </c>
      <c r="M40" s="164" t="s">
        <v>111</v>
      </c>
      <c r="N40" s="164" t="s">
        <v>111</v>
      </c>
      <c r="O40" s="164" t="s">
        <v>111</v>
      </c>
      <c r="P40" s="164" t="s">
        <v>111</v>
      </c>
      <c r="Q40" s="165"/>
    </row>
    <row r="41" spans="1:17" x14ac:dyDescent="0.25">
      <c r="A41" s="1">
        <v>37</v>
      </c>
      <c r="B41" s="42" t="s">
        <v>596</v>
      </c>
      <c r="C41" s="15">
        <v>0</v>
      </c>
      <c r="D41" s="162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62">
        <v>0</v>
      </c>
      <c r="K41" s="15">
        <v>0</v>
      </c>
      <c r="L41" s="163">
        <v>0</v>
      </c>
      <c r="M41" s="164" t="s">
        <v>111</v>
      </c>
      <c r="N41" s="164" t="s">
        <v>111</v>
      </c>
      <c r="O41" s="164" t="s">
        <v>111</v>
      </c>
      <c r="P41" s="164" t="s">
        <v>111</v>
      </c>
      <c r="Q41" s="165"/>
    </row>
    <row r="42" spans="1:17" ht="19.5" customHeight="1" x14ac:dyDescent="0.25">
      <c r="A42" s="1">
        <v>38</v>
      </c>
      <c r="B42" s="42" t="s">
        <v>597</v>
      </c>
      <c r="C42" s="15">
        <v>355</v>
      </c>
      <c r="D42" s="15">
        <v>316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62">
        <v>0</v>
      </c>
      <c r="K42" s="15">
        <v>0</v>
      </c>
      <c r="L42" s="163">
        <v>316</v>
      </c>
      <c r="M42" s="164">
        <v>0</v>
      </c>
      <c r="N42" s="164">
        <v>0</v>
      </c>
      <c r="O42" s="164">
        <v>1</v>
      </c>
      <c r="P42" s="164">
        <v>1</v>
      </c>
      <c r="Q42" s="172"/>
    </row>
    <row r="43" spans="1:17" ht="49.5" customHeight="1" x14ac:dyDescent="0.25">
      <c r="A43" s="1">
        <v>39</v>
      </c>
      <c r="B43" s="42" t="s">
        <v>598</v>
      </c>
      <c r="C43" s="15">
        <v>174</v>
      </c>
      <c r="D43" s="162">
        <v>132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62">
        <v>0</v>
      </c>
      <c r="K43" s="162">
        <v>0</v>
      </c>
      <c r="L43" s="163">
        <v>132</v>
      </c>
      <c r="M43" s="164">
        <v>0</v>
      </c>
      <c r="N43" s="164">
        <v>0</v>
      </c>
      <c r="O43" s="164">
        <v>1</v>
      </c>
      <c r="P43" s="164">
        <v>1</v>
      </c>
      <c r="Q43" s="174"/>
    </row>
    <row r="44" spans="1:17" ht="28.5" customHeight="1" x14ac:dyDescent="0.25">
      <c r="A44" s="1">
        <v>40</v>
      </c>
      <c r="B44" s="42" t="s">
        <v>599</v>
      </c>
      <c r="C44" s="15">
        <v>53</v>
      </c>
      <c r="D44" s="15">
        <v>41</v>
      </c>
      <c r="E44" s="15">
        <v>0</v>
      </c>
      <c r="F44" s="15">
        <v>0</v>
      </c>
      <c r="G44" s="15">
        <v>0</v>
      </c>
      <c r="H44" s="15">
        <v>0</v>
      </c>
      <c r="I44" s="15">
        <v>12</v>
      </c>
      <c r="J44" s="162">
        <v>12</v>
      </c>
      <c r="K44" s="15">
        <v>0</v>
      </c>
      <c r="L44" s="163">
        <v>29</v>
      </c>
      <c r="M44" s="164">
        <v>0.29268292682926828</v>
      </c>
      <c r="N44" s="164">
        <v>0</v>
      </c>
      <c r="O44" s="164">
        <v>0.70731707317073167</v>
      </c>
      <c r="P44" s="164">
        <v>0.70731707317073167</v>
      </c>
      <c r="Q44" s="178"/>
    </row>
    <row r="45" spans="1:17" s="3" customFormat="1" ht="48" customHeight="1" x14ac:dyDescent="0.3">
      <c r="A45" s="1">
        <v>41</v>
      </c>
      <c r="B45" s="42" t="s">
        <v>600</v>
      </c>
      <c r="C45" s="15">
        <v>91</v>
      </c>
      <c r="D45" s="162">
        <v>119</v>
      </c>
      <c r="E45" s="15">
        <v>0</v>
      </c>
      <c r="F45" s="15">
        <v>0</v>
      </c>
      <c r="G45" s="15">
        <v>12</v>
      </c>
      <c r="H45" s="15">
        <v>1</v>
      </c>
      <c r="I45" s="15">
        <v>0</v>
      </c>
      <c r="J45" s="162">
        <v>1</v>
      </c>
      <c r="K45" s="15">
        <v>12</v>
      </c>
      <c r="L45" s="163">
        <v>106</v>
      </c>
      <c r="M45" s="164">
        <v>8.4033613445378148E-3</v>
      </c>
      <c r="N45" s="164">
        <v>0.10084033613445378</v>
      </c>
      <c r="O45" s="164">
        <v>0.89075630252100846</v>
      </c>
      <c r="P45" s="164">
        <v>0.99159663865546221</v>
      </c>
      <c r="Q45" s="171"/>
    </row>
    <row r="46" spans="1:17" x14ac:dyDescent="0.25">
      <c r="A46" s="1">
        <v>42</v>
      </c>
      <c r="B46" s="42" t="s">
        <v>601</v>
      </c>
      <c r="C46" s="15">
        <v>1</v>
      </c>
      <c r="D46" s="15">
        <v>8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62">
        <v>0</v>
      </c>
      <c r="K46" s="15">
        <v>0</v>
      </c>
      <c r="L46" s="163">
        <v>8</v>
      </c>
      <c r="M46" s="164">
        <v>0</v>
      </c>
      <c r="N46" s="164">
        <v>0</v>
      </c>
      <c r="O46" s="164">
        <v>1</v>
      </c>
      <c r="P46" s="164">
        <v>1</v>
      </c>
      <c r="Q46" s="165"/>
    </row>
    <row r="47" spans="1:17" ht="24" customHeight="1" x14ac:dyDescent="0.25">
      <c r="A47" s="1">
        <v>43</v>
      </c>
      <c r="B47" s="42" t="s">
        <v>602</v>
      </c>
      <c r="C47" s="15">
        <v>0</v>
      </c>
      <c r="D47" s="162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62">
        <v>0</v>
      </c>
      <c r="K47" s="162">
        <v>0</v>
      </c>
      <c r="L47" s="163">
        <v>0</v>
      </c>
      <c r="M47" s="164" t="s">
        <v>111</v>
      </c>
      <c r="N47" s="164" t="s">
        <v>111</v>
      </c>
      <c r="O47" s="164" t="s">
        <v>111</v>
      </c>
      <c r="P47" s="164" t="s">
        <v>111</v>
      </c>
      <c r="Q47" s="165"/>
    </row>
    <row r="48" spans="1:17" x14ac:dyDescent="0.25">
      <c r="A48" s="1">
        <v>44</v>
      </c>
      <c r="B48" s="42" t="s">
        <v>603</v>
      </c>
      <c r="C48" s="15">
        <v>12</v>
      </c>
      <c r="D48" s="15">
        <v>26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62">
        <v>0</v>
      </c>
      <c r="K48" s="15">
        <v>0</v>
      </c>
      <c r="L48" s="163">
        <v>26</v>
      </c>
      <c r="M48" s="164">
        <v>0</v>
      </c>
      <c r="N48" s="164">
        <v>0</v>
      </c>
      <c r="O48" s="164">
        <v>1</v>
      </c>
      <c r="P48" s="164">
        <v>1</v>
      </c>
      <c r="Q48" s="171"/>
    </row>
    <row r="49" spans="1:20" ht="24" customHeight="1" x14ac:dyDescent="0.25">
      <c r="A49" s="1">
        <v>45</v>
      </c>
      <c r="B49" s="42" t="s">
        <v>604</v>
      </c>
      <c r="C49" s="15">
        <v>0</v>
      </c>
      <c r="D49" s="162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62">
        <v>0</v>
      </c>
      <c r="K49" s="15">
        <v>0</v>
      </c>
      <c r="L49" s="163">
        <v>0</v>
      </c>
      <c r="M49" s="164" t="s">
        <v>111</v>
      </c>
      <c r="N49" s="164" t="s">
        <v>111</v>
      </c>
      <c r="O49" s="164" t="s">
        <v>111</v>
      </c>
      <c r="P49" s="164" t="s">
        <v>111</v>
      </c>
      <c r="Q49" s="165"/>
    </row>
    <row r="50" spans="1:20" ht="19.5" customHeight="1" x14ac:dyDescent="0.25">
      <c r="A50" s="1">
        <v>46</v>
      </c>
      <c r="B50" s="42" t="s">
        <v>605</v>
      </c>
      <c r="C50" s="15">
        <v>0</v>
      </c>
      <c r="D50" s="15">
        <v>8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62">
        <v>0</v>
      </c>
      <c r="K50" s="15">
        <v>0</v>
      </c>
      <c r="L50" s="163">
        <v>8</v>
      </c>
      <c r="M50" s="164">
        <v>0</v>
      </c>
      <c r="N50" s="164">
        <v>0</v>
      </c>
      <c r="O50" s="164">
        <v>1</v>
      </c>
      <c r="P50" s="164">
        <v>1</v>
      </c>
      <c r="Q50" s="165"/>
    </row>
    <row r="51" spans="1:20" s="3" customFormat="1" x14ac:dyDescent="0.3">
      <c r="A51" s="1">
        <v>47</v>
      </c>
      <c r="B51" s="42" t="s">
        <v>606</v>
      </c>
      <c r="C51" s="15">
        <v>0</v>
      </c>
      <c r="D51" s="15">
        <v>99</v>
      </c>
      <c r="E51" s="15">
        <v>0</v>
      </c>
      <c r="F51" s="15">
        <v>0</v>
      </c>
      <c r="G51" s="15">
        <v>0</v>
      </c>
      <c r="H51" s="15">
        <v>3</v>
      </c>
      <c r="I51" s="15">
        <v>0</v>
      </c>
      <c r="J51" s="162">
        <v>3</v>
      </c>
      <c r="K51" s="15">
        <v>0</v>
      </c>
      <c r="L51" s="163">
        <v>96</v>
      </c>
      <c r="M51" s="164">
        <v>3.0303030303030304E-2</v>
      </c>
      <c r="N51" s="164">
        <v>0</v>
      </c>
      <c r="O51" s="164">
        <v>0.96969696969696972</v>
      </c>
      <c r="P51" s="164">
        <v>0.96969696969696972</v>
      </c>
      <c r="Q51" s="179" t="s">
        <v>607</v>
      </c>
    </row>
    <row r="52" spans="1:20" x14ac:dyDescent="0.25">
      <c r="A52" s="1">
        <v>48</v>
      </c>
      <c r="B52" s="42" t="s">
        <v>608</v>
      </c>
      <c r="C52" s="15">
        <v>118</v>
      </c>
      <c r="D52" s="162">
        <v>308</v>
      </c>
      <c r="E52" s="15">
        <v>0</v>
      </c>
      <c r="F52" s="15">
        <v>0</v>
      </c>
      <c r="G52" s="15">
        <v>9</v>
      </c>
      <c r="H52" s="15">
        <v>13</v>
      </c>
      <c r="I52" s="15">
        <v>0</v>
      </c>
      <c r="J52" s="162">
        <v>13</v>
      </c>
      <c r="K52" s="15">
        <v>9</v>
      </c>
      <c r="L52" s="163">
        <v>286</v>
      </c>
      <c r="M52" s="164">
        <v>4.2207792207792208E-2</v>
      </c>
      <c r="N52" s="164">
        <v>2.922077922077922E-2</v>
      </c>
      <c r="O52" s="164">
        <v>0.9285714285714286</v>
      </c>
      <c r="P52" s="164">
        <v>0.95779220779220786</v>
      </c>
      <c r="Q52" s="180"/>
    </row>
    <row r="53" spans="1:20" s="3" customFormat="1" x14ac:dyDescent="0.25">
      <c r="A53" s="1">
        <v>49</v>
      </c>
      <c r="B53" s="42" t="s">
        <v>609</v>
      </c>
      <c r="C53" s="15">
        <v>785</v>
      </c>
      <c r="D53" s="15">
        <v>703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62">
        <v>0</v>
      </c>
      <c r="K53" s="15">
        <v>0</v>
      </c>
      <c r="L53" s="163">
        <v>703</v>
      </c>
      <c r="M53" s="164">
        <v>0</v>
      </c>
      <c r="N53" s="164">
        <v>0</v>
      </c>
      <c r="O53" s="164">
        <v>1</v>
      </c>
      <c r="P53" s="164">
        <v>1</v>
      </c>
      <c r="Q53" s="165"/>
    </row>
    <row r="54" spans="1:20" x14ac:dyDescent="0.25">
      <c r="A54" s="1">
        <v>50</v>
      </c>
      <c r="B54" s="42" t="s">
        <v>610</v>
      </c>
      <c r="C54" s="15">
        <v>263</v>
      </c>
      <c r="D54" s="162">
        <v>269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62">
        <v>0</v>
      </c>
      <c r="K54" s="162">
        <v>0</v>
      </c>
      <c r="L54" s="163">
        <v>269</v>
      </c>
      <c r="M54" s="164">
        <v>0</v>
      </c>
      <c r="N54" s="164">
        <v>0</v>
      </c>
      <c r="O54" s="164">
        <v>1</v>
      </c>
      <c r="P54" s="164">
        <v>1</v>
      </c>
      <c r="Q54" s="165"/>
    </row>
    <row r="55" spans="1:20" x14ac:dyDescent="0.25">
      <c r="A55" s="1">
        <v>51</v>
      </c>
      <c r="B55" s="42" t="s">
        <v>611</v>
      </c>
      <c r="C55" s="15">
        <v>50</v>
      </c>
      <c r="D55" s="15">
        <v>19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62">
        <v>0</v>
      </c>
      <c r="K55" s="15">
        <v>0</v>
      </c>
      <c r="L55" s="163">
        <v>19</v>
      </c>
      <c r="M55" s="164">
        <v>0</v>
      </c>
      <c r="N55" s="164">
        <v>0</v>
      </c>
      <c r="O55" s="164">
        <v>1</v>
      </c>
      <c r="P55" s="164">
        <v>1</v>
      </c>
      <c r="Q55" s="169"/>
    </row>
    <row r="56" spans="1:20" ht="44.25" customHeight="1" x14ac:dyDescent="0.25">
      <c r="A56" s="1">
        <v>52</v>
      </c>
      <c r="B56" s="42" t="s">
        <v>612</v>
      </c>
      <c r="C56" s="15">
        <v>206</v>
      </c>
      <c r="D56" s="162">
        <v>185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62">
        <v>0</v>
      </c>
      <c r="K56" s="15">
        <v>0</v>
      </c>
      <c r="L56" s="163">
        <v>185</v>
      </c>
      <c r="M56" s="164">
        <v>0</v>
      </c>
      <c r="N56" s="164">
        <v>0</v>
      </c>
      <c r="O56" s="164">
        <v>1</v>
      </c>
      <c r="P56" s="164">
        <v>1</v>
      </c>
      <c r="Q56" s="165"/>
      <c r="T56" s="5" t="s">
        <v>510</v>
      </c>
    </row>
    <row r="57" spans="1:20" x14ac:dyDescent="0.25">
      <c r="A57" s="1">
        <v>53</v>
      </c>
      <c r="B57" s="42" t="s">
        <v>613</v>
      </c>
      <c r="C57" s="15">
        <v>0</v>
      </c>
      <c r="D57" s="15">
        <v>4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62">
        <v>0</v>
      </c>
      <c r="K57" s="15">
        <v>0</v>
      </c>
      <c r="L57" s="163">
        <v>4</v>
      </c>
      <c r="M57" s="164">
        <v>0</v>
      </c>
      <c r="N57" s="164">
        <v>0</v>
      </c>
      <c r="O57" s="164">
        <v>1</v>
      </c>
      <c r="P57" s="164">
        <v>1</v>
      </c>
      <c r="Q57" s="165"/>
    </row>
    <row r="58" spans="1:20" ht="35.25" customHeight="1" x14ac:dyDescent="0.25">
      <c r="A58" s="1">
        <v>54</v>
      </c>
      <c r="B58" s="42" t="s">
        <v>614</v>
      </c>
      <c r="C58" s="15">
        <v>204</v>
      </c>
      <c r="D58" s="162">
        <v>224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62">
        <v>0</v>
      </c>
      <c r="K58" s="162">
        <v>0</v>
      </c>
      <c r="L58" s="163">
        <v>224</v>
      </c>
      <c r="M58" s="164">
        <v>0</v>
      </c>
      <c r="N58" s="164">
        <v>0</v>
      </c>
      <c r="O58" s="164">
        <v>1</v>
      </c>
      <c r="P58" s="164">
        <v>1</v>
      </c>
      <c r="Q58" s="174"/>
      <c r="T58" s="5" t="s">
        <v>510</v>
      </c>
    </row>
    <row r="59" spans="1:20" s="152" customFormat="1" x14ac:dyDescent="0.25">
      <c r="A59" s="1">
        <v>55</v>
      </c>
      <c r="B59" s="42" t="s">
        <v>615</v>
      </c>
      <c r="C59" s="15">
        <v>236</v>
      </c>
      <c r="D59" s="15">
        <v>245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62">
        <v>0</v>
      </c>
      <c r="K59" s="15">
        <v>0</v>
      </c>
      <c r="L59" s="163">
        <v>245</v>
      </c>
      <c r="M59" s="164">
        <v>0</v>
      </c>
      <c r="N59" s="164">
        <v>0</v>
      </c>
      <c r="O59" s="164">
        <v>1</v>
      </c>
      <c r="P59" s="164">
        <v>1</v>
      </c>
      <c r="Q59" s="181"/>
    </row>
    <row r="60" spans="1:20" x14ac:dyDescent="0.25">
      <c r="A60" s="1">
        <v>56</v>
      </c>
      <c r="B60" s="42" t="s">
        <v>616</v>
      </c>
      <c r="C60" s="15">
        <v>0</v>
      </c>
      <c r="D60" s="162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62">
        <v>0</v>
      </c>
      <c r="K60" s="15">
        <v>0</v>
      </c>
      <c r="L60" s="163">
        <v>0</v>
      </c>
      <c r="M60" s="164" t="s">
        <v>111</v>
      </c>
      <c r="N60" s="164" t="s">
        <v>111</v>
      </c>
      <c r="O60" s="164" t="s">
        <v>111</v>
      </c>
      <c r="P60" s="164" t="s">
        <v>111</v>
      </c>
      <c r="Q60" s="165"/>
    </row>
    <row r="61" spans="1:20" s="3" customFormat="1" ht="21" customHeight="1" x14ac:dyDescent="0.25">
      <c r="A61" s="1">
        <v>57</v>
      </c>
      <c r="B61" s="42" t="s">
        <v>617</v>
      </c>
      <c r="C61" s="15">
        <v>392</v>
      </c>
      <c r="D61" s="15">
        <v>354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62">
        <v>0</v>
      </c>
      <c r="K61" s="15">
        <v>0</v>
      </c>
      <c r="L61" s="163">
        <v>354</v>
      </c>
      <c r="M61" s="164">
        <v>0</v>
      </c>
      <c r="N61" s="164">
        <v>0</v>
      </c>
      <c r="O61" s="164">
        <v>1</v>
      </c>
      <c r="P61" s="164">
        <v>1</v>
      </c>
      <c r="Q61" s="172"/>
    </row>
    <row r="62" spans="1:20" s="3" customFormat="1" ht="15.6" x14ac:dyDescent="0.3">
      <c r="A62" s="1">
        <v>58</v>
      </c>
      <c r="B62" s="42" t="s">
        <v>618</v>
      </c>
      <c r="C62" s="15"/>
      <c r="D62" s="15"/>
      <c r="E62" s="15"/>
      <c r="F62" s="15"/>
      <c r="G62" s="15"/>
      <c r="H62" s="15"/>
      <c r="I62" s="15"/>
      <c r="J62" s="162"/>
      <c r="K62" s="15"/>
      <c r="L62" s="163"/>
      <c r="M62" s="164"/>
      <c r="N62" s="164"/>
      <c r="O62" s="164"/>
      <c r="P62" s="164"/>
      <c r="Q62" s="106"/>
    </row>
    <row r="63" spans="1:20" s="3" customFormat="1" x14ac:dyDescent="0.3">
      <c r="A63" s="1">
        <v>59</v>
      </c>
      <c r="B63" s="42" t="s">
        <v>619</v>
      </c>
      <c r="C63" s="15">
        <v>3933</v>
      </c>
      <c r="D63" s="162">
        <v>4617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62">
        <v>0</v>
      </c>
      <c r="K63" s="15">
        <v>0</v>
      </c>
      <c r="L63" s="163">
        <v>4617</v>
      </c>
      <c r="M63" s="164">
        <v>0</v>
      </c>
      <c r="N63" s="164">
        <v>0</v>
      </c>
      <c r="O63" s="164">
        <v>1</v>
      </c>
      <c r="P63" s="164">
        <v>1</v>
      </c>
      <c r="Q63" s="182"/>
    </row>
    <row r="64" spans="1:20" s="3" customFormat="1" ht="15.6" x14ac:dyDescent="0.3">
      <c r="A64" s="1">
        <v>60</v>
      </c>
      <c r="B64" s="42" t="s">
        <v>620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62">
        <v>0</v>
      </c>
      <c r="K64" s="15">
        <v>0</v>
      </c>
      <c r="L64" s="163">
        <v>0</v>
      </c>
      <c r="M64" s="164" t="s">
        <v>111</v>
      </c>
      <c r="N64" s="164" t="s">
        <v>111</v>
      </c>
      <c r="O64" s="164" t="s">
        <v>111</v>
      </c>
      <c r="P64" s="164" t="s">
        <v>111</v>
      </c>
      <c r="Q64" s="183"/>
    </row>
    <row r="65" spans="1:17" s="3" customFormat="1" ht="33" customHeight="1" x14ac:dyDescent="0.3">
      <c r="A65" s="1">
        <v>61</v>
      </c>
      <c r="B65" s="42" t="s">
        <v>621</v>
      </c>
      <c r="C65" s="15">
        <v>0</v>
      </c>
      <c r="D65" s="15">
        <v>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62">
        <v>0</v>
      </c>
      <c r="K65" s="15">
        <v>0</v>
      </c>
      <c r="L65" s="163">
        <v>9</v>
      </c>
      <c r="M65" s="164">
        <v>0</v>
      </c>
      <c r="N65" s="164">
        <v>0</v>
      </c>
      <c r="O65" s="164">
        <v>1</v>
      </c>
      <c r="P65" s="164">
        <v>1</v>
      </c>
      <c r="Q65" s="146"/>
    </row>
    <row r="66" spans="1:17" s="3" customFormat="1" ht="24" customHeight="1" x14ac:dyDescent="0.3">
      <c r="A66" s="1">
        <v>62</v>
      </c>
      <c r="B66" s="42" t="s">
        <v>622</v>
      </c>
      <c r="C66" s="15">
        <v>82</v>
      </c>
      <c r="D66" s="15">
        <v>145</v>
      </c>
      <c r="E66" s="15">
        <v>0</v>
      </c>
      <c r="F66" s="15">
        <v>1</v>
      </c>
      <c r="G66" s="15">
        <v>0</v>
      </c>
      <c r="H66" s="15">
        <v>0</v>
      </c>
      <c r="I66" s="15">
        <v>0</v>
      </c>
      <c r="J66" s="162">
        <v>1</v>
      </c>
      <c r="K66" s="15">
        <v>0</v>
      </c>
      <c r="L66" s="163">
        <v>144</v>
      </c>
      <c r="M66" s="164">
        <v>6.8965517241379309E-3</v>
      </c>
      <c r="N66" s="164">
        <v>0</v>
      </c>
      <c r="O66" s="164">
        <v>0.99310344827586206</v>
      </c>
      <c r="P66" s="164">
        <v>0.99310344827586206</v>
      </c>
      <c r="Q66" s="47"/>
    </row>
    <row r="67" spans="1:17" s="3" customFormat="1" ht="24" customHeight="1" x14ac:dyDescent="0.3">
      <c r="A67" s="1">
        <v>63</v>
      </c>
      <c r="B67" s="42" t="s">
        <v>623</v>
      </c>
      <c r="C67" s="15">
        <v>602</v>
      </c>
      <c r="D67" s="15">
        <v>648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62">
        <v>0</v>
      </c>
      <c r="K67" s="15">
        <v>0</v>
      </c>
      <c r="L67" s="163">
        <v>648</v>
      </c>
      <c r="M67" s="164">
        <v>0</v>
      </c>
      <c r="N67" s="164">
        <v>0</v>
      </c>
      <c r="O67" s="164">
        <v>1</v>
      </c>
      <c r="P67" s="164">
        <v>1</v>
      </c>
      <c r="Q67" s="47"/>
    </row>
    <row r="68" spans="1:17" s="3" customFormat="1" ht="24" customHeight="1" x14ac:dyDescent="0.3">
      <c r="A68" s="1">
        <v>64</v>
      </c>
      <c r="B68" s="42" t="s">
        <v>624</v>
      </c>
      <c r="C68" s="15">
        <v>0</v>
      </c>
      <c r="D68" s="15">
        <v>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62">
        <v>0</v>
      </c>
      <c r="K68" s="15">
        <v>0</v>
      </c>
      <c r="L68" s="163">
        <v>2</v>
      </c>
      <c r="M68" s="164">
        <v>0</v>
      </c>
      <c r="N68" s="164">
        <v>0</v>
      </c>
      <c r="O68" s="164">
        <v>1</v>
      </c>
      <c r="P68" s="164">
        <v>1</v>
      </c>
      <c r="Q68" s="182"/>
    </row>
    <row r="69" spans="1:17" s="3" customFormat="1" ht="24" customHeight="1" x14ac:dyDescent="0.3">
      <c r="A69" s="1">
        <v>65</v>
      </c>
      <c r="B69" s="42" t="s">
        <v>625</v>
      </c>
      <c r="C69" s="15">
        <v>960</v>
      </c>
      <c r="D69" s="15">
        <v>1124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62">
        <v>0</v>
      </c>
      <c r="K69" s="15">
        <v>0</v>
      </c>
      <c r="L69" s="163">
        <v>1124</v>
      </c>
      <c r="M69" s="164">
        <v>0</v>
      </c>
      <c r="N69" s="164">
        <v>0</v>
      </c>
      <c r="O69" s="164">
        <v>1</v>
      </c>
      <c r="P69" s="164">
        <v>1</v>
      </c>
      <c r="Q69" s="115"/>
    </row>
    <row r="70" spans="1:17" s="3" customFormat="1" ht="24" customHeight="1" x14ac:dyDescent="0.3">
      <c r="A70" s="1">
        <v>66</v>
      </c>
      <c r="B70" s="42" t="s">
        <v>626</v>
      </c>
      <c r="C70" s="15">
        <v>56</v>
      </c>
      <c r="D70" s="15">
        <v>69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62">
        <v>0</v>
      </c>
      <c r="K70" s="15">
        <v>0</v>
      </c>
      <c r="L70" s="163">
        <v>69</v>
      </c>
      <c r="M70" s="164">
        <v>0</v>
      </c>
      <c r="N70" s="164">
        <v>0</v>
      </c>
      <c r="O70" s="164">
        <v>1</v>
      </c>
      <c r="P70" s="164">
        <v>1</v>
      </c>
      <c r="Q70" s="47"/>
    </row>
    <row r="71" spans="1:17" s="3" customFormat="1" ht="24" customHeight="1" x14ac:dyDescent="0.3">
      <c r="A71" s="1">
        <v>67</v>
      </c>
      <c r="B71" s="42" t="s">
        <v>627</v>
      </c>
      <c r="C71" s="15">
        <v>3194</v>
      </c>
      <c r="D71" s="15">
        <v>3510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62">
        <v>0</v>
      </c>
      <c r="K71" s="15">
        <v>0</v>
      </c>
      <c r="L71" s="163">
        <v>3510</v>
      </c>
      <c r="M71" s="164">
        <v>0</v>
      </c>
      <c r="N71" s="164">
        <v>0</v>
      </c>
      <c r="O71" s="164">
        <v>1</v>
      </c>
      <c r="P71" s="164">
        <v>1</v>
      </c>
      <c r="Q71" s="115"/>
    </row>
    <row r="72" spans="1:17" x14ac:dyDescent="0.25">
      <c r="N72" s="5" t="s">
        <v>510</v>
      </c>
    </row>
    <row r="73" spans="1:17" x14ac:dyDescent="0.25">
      <c r="M73" s="5" t="s">
        <v>510</v>
      </c>
    </row>
  </sheetData>
  <mergeCells count="13">
    <mergeCell ref="O2:O3"/>
    <mergeCell ref="P2:P3"/>
    <mergeCell ref="Q2:Q3"/>
    <mergeCell ref="A1:Q1"/>
    <mergeCell ref="A2:A3"/>
    <mergeCell ref="B2:B3"/>
    <mergeCell ref="C2:D2"/>
    <mergeCell ref="E2:I2"/>
    <mergeCell ref="J2:J3"/>
    <mergeCell ref="K2:K3"/>
    <mergeCell ref="L2:L3"/>
    <mergeCell ref="M2:M3"/>
    <mergeCell ref="N2:N3"/>
  </mergeCells>
  <dataValidations count="2">
    <dataValidation type="whole" allowBlank="1" showInputMessage="1" showErrorMessage="1" errorTitle="Value Between 0 to 200000" sqref="L5:L71" xr:uid="{E80DD8A2-F353-4787-8817-42717C3A3151}">
      <formula1>0</formula1>
      <formula2>200000</formula2>
    </dataValidation>
    <dataValidation allowBlank="1" showInputMessage="1" showErrorMessage="1" promptTitle="FORMULA USED" prompt="Don't Ammend Here" sqref="B5:B71" xr:uid="{8DAEEEF5-B053-448A-B28C-4E12A24A4DFD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0307-B151-4C89-97C3-723C6DB2057C}">
  <dimension ref="A1:AS1158"/>
  <sheetViews>
    <sheetView tabSelected="1" view="pageBreakPreview" zoomScale="60" zoomScaleNormal="100" workbookViewId="0">
      <selection activeCell="T17" sqref="T17"/>
    </sheetView>
  </sheetViews>
  <sheetFormatPr defaultColWidth="9.109375" defaultRowHeight="15.6" x14ac:dyDescent="0.3"/>
  <cols>
    <col min="1" max="1" width="6.5546875" style="200" bestFit="1" customWidth="1"/>
    <col min="2" max="2" width="9.109375" style="213"/>
    <col min="3" max="3" width="7.88671875" style="200" bestFit="1" customWidth="1"/>
    <col min="4" max="4" width="10" style="200" customWidth="1"/>
    <col min="5" max="5" width="8.44140625" style="200" customWidth="1"/>
    <col min="6" max="6" width="10.109375" style="210" customWidth="1"/>
    <col min="7" max="7" width="12" style="210" customWidth="1"/>
    <col min="8" max="8" width="9.44140625" style="210" customWidth="1"/>
    <col min="9" max="9" width="11.5546875" style="210" customWidth="1"/>
    <col min="10" max="10" width="9.33203125" style="210" customWidth="1"/>
    <col min="11" max="11" width="11.6640625" style="200" customWidth="1"/>
    <col min="12" max="12" width="11.109375" style="200" bestFit="1" customWidth="1"/>
    <col min="13" max="13" width="13.6640625" style="200" bestFit="1" customWidth="1"/>
    <col min="14" max="14" width="13.6640625" style="202" customWidth="1"/>
    <col min="15" max="15" width="11.5546875" style="200" customWidth="1"/>
    <col min="16" max="16" width="60.44140625" style="204" customWidth="1"/>
    <col min="17" max="45" width="9.109375" style="184"/>
    <col min="46" max="16384" width="9.109375" style="200"/>
  </cols>
  <sheetData>
    <row r="1" spans="1:45" s="186" customFormat="1" ht="25.5" customHeight="1" x14ac:dyDescent="0.3">
      <c r="A1" s="238" t="s">
        <v>628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5" s="190" customFormat="1" ht="45.6" customHeight="1" x14ac:dyDescent="0.3">
      <c r="A2" s="53" t="s">
        <v>0</v>
      </c>
      <c r="B2" s="187" t="s">
        <v>512</v>
      </c>
      <c r="C2" s="53"/>
      <c r="D2" s="53" t="s">
        <v>17</v>
      </c>
      <c r="E2" s="53"/>
      <c r="F2" s="262" t="s">
        <v>629</v>
      </c>
      <c r="G2" s="262"/>
      <c r="H2" s="262"/>
      <c r="I2" s="67" t="s">
        <v>18</v>
      </c>
      <c r="J2" s="48" t="s">
        <v>540</v>
      </c>
      <c r="K2" s="188" t="s">
        <v>541</v>
      </c>
      <c r="L2" s="188" t="s">
        <v>19</v>
      </c>
      <c r="M2" s="188" t="s">
        <v>20</v>
      </c>
      <c r="N2" s="189" t="s">
        <v>21</v>
      </c>
      <c r="O2" s="188" t="s">
        <v>22</v>
      </c>
      <c r="P2" s="188" t="s">
        <v>77</v>
      </c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</row>
    <row r="3" spans="1:45" s="190" customFormat="1" ht="56.25" customHeight="1" x14ac:dyDescent="0.3">
      <c r="A3" s="53"/>
      <c r="B3" s="187"/>
      <c r="C3" s="53"/>
      <c r="D3" s="189" t="s">
        <v>630</v>
      </c>
      <c r="E3" s="189" t="s">
        <v>24</v>
      </c>
      <c r="F3" s="191" t="s">
        <v>25</v>
      </c>
      <c r="G3" s="67" t="s">
        <v>631</v>
      </c>
      <c r="H3" s="191" t="s">
        <v>26</v>
      </c>
      <c r="I3" s="67"/>
      <c r="J3" s="48"/>
      <c r="K3" s="188"/>
      <c r="L3" s="188"/>
      <c r="M3" s="188"/>
      <c r="N3" s="48"/>
      <c r="O3" s="188"/>
      <c r="P3" s="53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</row>
    <row r="4" spans="1:45" s="194" customFormat="1" ht="39" customHeight="1" x14ac:dyDescent="0.3">
      <c r="A4" s="15" t="s">
        <v>1</v>
      </c>
      <c r="B4" s="192" t="s">
        <v>2</v>
      </c>
      <c r="C4" s="21"/>
      <c r="D4" s="1" t="s">
        <v>3</v>
      </c>
      <c r="E4" s="1" t="s">
        <v>4</v>
      </c>
      <c r="F4" s="1" t="s">
        <v>5</v>
      </c>
      <c r="G4" s="44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27</v>
      </c>
      <c r="P4" s="1" t="s">
        <v>28</v>
      </c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</row>
    <row r="5" spans="1:45" ht="15" customHeight="1" x14ac:dyDescent="0.3">
      <c r="A5" s="261">
        <v>1</v>
      </c>
      <c r="B5" s="36" t="s">
        <v>544</v>
      </c>
      <c r="C5" s="195"/>
      <c r="D5" s="196"/>
      <c r="E5" s="196"/>
      <c r="F5" s="197"/>
      <c r="G5" s="197"/>
      <c r="H5" s="197"/>
      <c r="I5" s="54"/>
      <c r="J5" s="54"/>
      <c r="K5" s="198"/>
      <c r="L5" s="199"/>
      <c r="M5" s="199"/>
      <c r="N5" s="199"/>
      <c r="O5" s="199"/>
      <c r="P5" s="196"/>
    </row>
    <row r="6" spans="1:45" s="202" customFormat="1" x14ac:dyDescent="0.3">
      <c r="A6" s="261"/>
      <c r="B6" s="192" t="s">
        <v>1</v>
      </c>
      <c r="C6" s="21" t="s">
        <v>632</v>
      </c>
      <c r="D6" s="158">
        <v>0</v>
      </c>
      <c r="E6" s="158">
        <v>0</v>
      </c>
      <c r="F6" s="158">
        <v>0</v>
      </c>
      <c r="G6" s="158">
        <v>0</v>
      </c>
      <c r="H6" s="158">
        <v>0</v>
      </c>
      <c r="I6" s="54">
        <f t="shared" ref="I6:I69" si="0">SUM(F6:H6)</f>
        <v>0</v>
      </c>
      <c r="J6" s="54"/>
      <c r="K6" s="198">
        <f t="shared" ref="K6:K69" si="1">SUM(E6-(I6+J6))</f>
        <v>0</v>
      </c>
      <c r="L6" s="199" t="str">
        <f t="shared" ref="L6:L69" si="2">IF(E6=0,"-",(I6/E6))</f>
        <v>-</v>
      </c>
      <c r="M6" s="199" t="str">
        <f t="shared" ref="M6:M69" si="3">IF(E6=0,"-",(J6/E6))</f>
        <v>-</v>
      </c>
      <c r="N6" s="199" t="str">
        <f t="shared" ref="N6:N69" si="4">IF(E6=0,"-",(K6/E6))</f>
        <v>-</v>
      </c>
      <c r="O6" s="199" t="str">
        <f t="shared" ref="O6:O69" si="5">IF(E6=0,"-",(M6+N6))</f>
        <v>-</v>
      </c>
      <c r="P6" s="145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</row>
    <row r="7" spans="1:45" x14ac:dyDescent="0.3">
      <c r="A7" s="261"/>
      <c r="B7" s="192" t="s">
        <v>2</v>
      </c>
      <c r="C7" s="21" t="s">
        <v>633</v>
      </c>
      <c r="D7" s="203">
        <v>0</v>
      </c>
      <c r="E7" s="203">
        <v>0</v>
      </c>
      <c r="F7" s="158">
        <v>0</v>
      </c>
      <c r="G7" s="158">
        <v>0</v>
      </c>
      <c r="H7" s="158">
        <v>0</v>
      </c>
      <c r="I7" s="54">
        <f t="shared" si="0"/>
        <v>0</v>
      </c>
      <c r="J7" s="54"/>
      <c r="K7" s="198">
        <f t="shared" si="1"/>
        <v>0</v>
      </c>
      <c r="L7" s="199" t="str">
        <f t="shared" si="2"/>
        <v>-</v>
      </c>
      <c r="M7" s="199" t="str">
        <f t="shared" si="3"/>
        <v>-</v>
      </c>
      <c r="N7" s="199" t="str">
        <f t="shared" si="4"/>
        <v>-</v>
      </c>
      <c r="O7" s="199" t="str">
        <f t="shared" si="5"/>
        <v>-</v>
      </c>
      <c r="P7" s="145"/>
    </row>
    <row r="8" spans="1:45" x14ac:dyDescent="0.3">
      <c r="A8" s="261"/>
      <c r="B8" s="192" t="s">
        <v>3</v>
      </c>
      <c r="C8" s="21" t="s">
        <v>634</v>
      </c>
      <c r="D8" s="203">
        <v>0</v>
      </c>
      <c r="E8" s="203">
        <v>0</v>
      </c>
      <c r="F8" s="158">
        <v>0</v>
      </c>
      <c r="G8" s="158">
        <v>0</v>
      </c>
      <c r="H8" s="158">
        <v>0</v>
      </c>
      <c r="I8" s="54">
        <f t="shared" si="0"/>
        <v>0</v>
      </c>
      <c r="J8" s="54"/>
      <c r="K8" s="198">
        <f t="shared" si="1"/>
        <v>0</v>
      </c>
      <c r="L8" s="199" t="str">
        <f t="shared" si="2"/>
        <v>-</v>
      </c>
      <c r="M8" s="199" t="str">
        <f t="shared" si="3"/>
        <v>-</v>
      </c>
      <c r="N8" s="199" t="str">
        <f t="shared" si="4"/>
        <v>-</v>
      </c>
      <c r="O8" s="199" t="str">
        <f t="shared" si="5"/>
        <v>-</v>
      </c>
      <c r="P8" s="173"/>
    </row>
    <row r="9" spans="1:45" x14ac:dyDescent="0.3">
      <c r="A9" s="261"/>
      <c r="B9" s="192" t="s">
        <v>4</v>
      </c>
      <c r="C9" s="21" t="s">
        <v>635</v>
      </c>
      <c r="D9" s="203">
        <v>0</v>
      </c>
      <c r="E9" s="203">
        <v>0</v>
      </c>
      <c r="F9" s="158">
        <v>0</v>
      </c>
      <c r="G9" s="158">
        <v>0</v>
      </c>
      <c r="H9" s="158">
        <v>0</v>
      </c>
      <c r="I9" s="54">
        <f t="shared" si="0"/>
        <v>0</v>
      </c>
      <c r="J9" s="54"/>
      <c r="K9" s="198">
        <f t="shared" si="1"/>
        <v>0</v>
      </c>
      <c r="L9" s="199" t="str">
        <f t="shared" si="2"/>
        <v>-</v>
      </c>
      <c r="M9" s="199" t="str">
        <f t="shared" si="3"/>
        <v>-</v>
      </c>
      <c r="N9" s="199" t="str">
        <f t="shared" si="4"/>
        <v>-</v>
      </c>
      <c r="O9" s="199" t="str">
        <f t="shared" si="5"/>
        <v>-</v>
      </c>
      <c r="P9" s="173"/>
    </row>
    <row r="10" spans="1:45" x14ac:dyDescent="0.3">
      <c r="A10" s="261"/>
      <c r="B10" s="192" t="s">
        <v>5</v>
      </c>
      <c r="C10" s="21" t="s">
        <v>636</v>
      </c>
      <c r="D10" s="203">
        <v>0</v>
      </c>
      <c r="E10" s="203">
        <v>0</v>
      </c>
      <c r="F10" s="158">
        <v>0</v>
      </c>
      <c r="G10" s="158">
        <v>0</v>
      </c>
      <c r="H10" s="158">
        <v>0</v>
      </c>
      <c r="I10" s="54">
        <f t="shared" si="0"/>
        <v>0</v>
      </c>
      <c r="J10" s="54"/>
      <c r="K10" s="198">
        <f t="shared" si="1"/>
        <v>0</v>
      </c>
      <c r="L10" s="199" t="str">
        <f t="shared" si="2"/>
        <v>-</v>
      </c>
      <c r="M10" s="199" t="str">
        <f t="shared" si="3"/>
        <v>-</v>
      </c>
      <c r="N10" s="199" t="str">
        <f t="shared" si="4"/>
        <v>-</v>
      </c>
      <c r="O10" s="199" t="str">
        <f t="shared" si="5"/>
        <v>-</v>
      </c>
      <c r="P10" s="173"/>
    </row>
    <row r="11" spans="1:45" ht="15.75" customHeight="1" x14ac:dyDescent="0.3">
      <c r="A11" s="261">
        <v>2</v>
      </c>
      <c r="B11" s="36" t="s">
        <v>546</v>
      </c>
      <c r="C11" s="195"/>
      <c r="D11" s="203">
        <v>0</v>
      </c>
      <c r="E11" s="203">
        <v>0</v>
      </c>
      <c r="F11" s="158">
        <v>0</v>
      </c>
      <c r="G11" s="158">
        <v>0</v>
      </c>
      <c r="H11" s="158">
        <v>0</v>
      </c>
      <c r="I11" s="54">
        <f t="shared" si="0"/>
        <v>0</v>
      </c>
      <c r="J11" s="54"/>
      <c r="K11" s="198">
        <f t="shared" si="1"/>
        <v>0</v>
      </c>
      <c r="L11" s="199" t="str">
        <f t="shared" si="2"/>
        <v>-</v>
      </c>
      <c r="M11" s="199" t="str">
        <f t="shared" si="3"/>
        <v>-</v>
      </c>
      <c r="N11" s="199" t="str">
        <f t="shared" si="4"/>
        <v>-</v>
      </c>
      <c r="O11" s="199" t="str">
        <f t="shared" si="5"/>
        <v>-</v>
      </c>
      <c r="P11" s="214"/>
    </row>
    <row r="12" spans="1:45" x14ac:dyDescent="0.3">
      <c r="A12" s="261"/>
      <c r="B12" s="192" t="s">
        <v>1</v>
      </c>
      <c r="C12" s="21" t="s">
        <v>637</v>
      </c>
      <c r="D12" s="203">
        <v>0</v>
      </c>
      <c r="E12" s="203">
        <v>0</v>
      </c>
      <c r="F12" s="158">
        <v>0</v>
      </c>
      <c r="G12" s="158">
        <v>0</v>
      </c>
      <c r="H12" s="158">
        <v>0</v>
      </c>
      <c r="I12" s="54">
        <f t="shared" si="0"/>
        <v>0</v>
      </c>
      <c r="J12" s="54"/>
      <c r="K12" s="198">
        <f t="shared" si="1"/>
        <v>0</v>
      </c>
      <c r="L12" s="199" t="str">
        <f t="shared" si="2"/>
        <v>-</v>
      </c>
      <c r="M12" s="199" t="str">
        <f t="shared" si="3"/>
        <v>-</v>
      </c>
      <c r="N12" s="199" t="str">
        <f t="shared" si="4"/>
        <v>-</v>
      </c>
      <c r="O12" s="199" t="str">
        <f t="shared" si="5"/>
        <v>-</v>
      </c>
      <c r="P12" s="200"/>
    </row>
    <row r="13" spans="1:45" x14ac:dyDescent="0.3">
      <c r="A13" s="261"/>
      <c r="B13" s="192" t="s">
        <v>2</v>
      </c>
      <c r="C13" s="21" t="s">
        <v>638</v>
      </c>
      <c r="D13" s="203">
        <v>0</v>
      </c>
      <c r="E13" s="203">
        <v>0</v>
      </c>
      <c r="F13" s="158">
        <v>0</v>
      </c>
      <c r="G13" s="158">
        <v>0</v>
      </c>
      <c r="H13" s="158">
        <v>0</v>
      </c>
      <c r="I13" s="54">
        <f t="shared" si="0"/>
        <v>0</v>
      </c>
      <c r="J13" s="54"/>
      <c r="K13" s="198">
        <f t="shared" si="1"/>
        <v>0</v>
      </c>
      <c r="L13" s="199" t="str">
        <f t="shared" si="2"/>
        <v>-</v>
      </c>
      <c r="M13" s="199" t="str">
        <f t="shared" si="3"/>
        <v>-</v>
      </c>
      <c r="N13" s="199" t="str">
        <f t="shared" si="4"/>
        <v>-</v>
      </c>
      <c r="O13" s="199" t="str">
        <f t="shared" si="5"/>
        <v>-</v>
      </c>
      <c r="P13" s="215"/>
    </row>
    <row r="14" spans="1:45" x14ac:dyDescent="0.3">
      <c r="A14" s="261"/>
      <c r="B14" s="192" t="s">
        <v>3</v>
      </c>
      <c r="C14" s="21" t="s">
        <v>639</v>
      </c>
      <c r="D14" s="203">
        <v>0</v>
      </c>
      <c r="E14" s="203">
        <v>0</v>
      </c>
      <c r="F14" s="158">
        <v>0</v>
      </c>
      <c r="G14" s="158">
        <v>0</v>
      </c>
      <c r="H14" s="158">
        <v>0</v>
      </c>
      <c r="I14" s="54">
        <f t="shared" si="0"/>
        <v>0</v>
      </c>
      <c r="J14" s="54"/>
      <c r="K14" s="198">
        <f t="shared" si="1"/>
        <v>0</v>
      </c>
      <c r="L14" s="199" t="str">
        <f t="shared" si="2"/>
        <v>-</v>
      </c>
      <c r="M14" s="199" t="str">
        <f t="shared" si="3"/>
        <v>-</v>
      </c>
      <c r="N14" s="199" t="str">
        <f t="shared" si="4"/>
        <v>-</v>
      </c>
      <c r="O14" s="199" t="str">
        <f t="shared" si="5"/>
        <v>-</v>
      </c>
      <c r="P14" s="215"/>
    </row>
    <row r="15" spans="1:45" ht="15" customHeight="1" x14ac:dyDescent="0.3">
      <c r="A15" s="261">
        <v>3</v>
      </c>
      <c r="B15" s="36" t="s">
        <v>548</v>
      </c>
      <c r="C15" s="195"/>
      <c r="D15" s="203">
        <v>0</v>
      </c>
      <c r="E15" s="203">
        <v>0</v>
      </c>
      <c r="F15" s="158">
        <v>0</v>
      </c>
      <c r="G15" s="158">
        <v>0</v>
      </c>
      <c r="H15" s="158">
        <v>0</v>
      </c>
      <c r="I15" s="54">
        <f t="shared" si="0"/>
        <v>0</v>
      </c>
      <c r="J15" s="54"/>
      <c r="K15" s="198">
        <f t="shared" si="1"/>
        <v>0</v>
      </c>
      <c r="L15" s="199" t="str">
        <f t="shared" si="2"/>
        <v>-</v>
      </c>
      <c r="M15" s="199" t="str">
        <f t="shared" si="3"/>
        <v>-</v>
      </c>
      <c r="N15" s="199" t="str">
        <f t="shared" si="4"/>
        <v>-</v>
      </c>
      <c r="O15" s="199" t="str">
        <f t="shared" si="5"/>
        <v>-</v>
      </c>
      <c r="P15" s="196"/>
    </row>
    <row r="16" spans="1:45" x14ac:dyDescent="0.3">
      <c r="A16" s="261"/>
      <c r="B16" s="192" t="s">
        <v>1</v>
      </c>
      <c r="C16" s="21" t="s">
        <v>640</v>
      </c>
      <c r="D16" s="203">
        <v>0</v>
      </c>
      <c r="E16" s="203">
        <v>0</v>
      </c>
      <c r="F16" s="158">
        <v>0</v>
      </c>
      <c r="G16" s="158">
        <v>0</v>
      </c>
      <c r="H16" s="158">
        <v>0</v>
      </c>
      <c r="I16" s="54">
        <f t="shared" si="0"/>
        <v>0</v>
      </c>
      <c r="J16" s="54"/>
      <c r="K16" s="198">
        <f t="shared" si="1"/>
        <v>0</v>
      </c>
      <c r="L16" s="199" t="str">
        <f t="shared" si="2"/>
        <v>-</v>
      </c>
      <c r="M16" s="199" t="str">
        <f t="shared" si="3"/>
        <v>-</v>
      </c>
      <c r="N16" s="199" t="str">
        <f t="shared" si="4"/>
        <v>-</v>
      </c>
      <c r="O16" s="199" t="str">
        <f t="shared" si="5"/>
        <v>-</v>
      </c>
      <c r="P16" s="215"/>
    </row>
    <row r="17" spans="1:16" x14ac:dyDescent="0.3">
      <c r="A17" s="261"/>
      <c r="B17" s="192" t="s">
        <v>2</v>
      </c>
      <c r="C17" s="21" t="s">
        <v>641</v>
      </c>
      <c r="D17" s="203">
        <v>0</v>
      </c>
      <c r="E17" s="203">
        <v>0</v>
      </c>
      <c r="F17" s="158">
        <v>0</v>
      </c>
      <c r="G17" s="158">
        <v>0</v>
      </c>
      <c r="H17" s="158">
        <v>0</v>
      </c>
      <c r="I17" s="54">
        <f t="shared" si="0"/>
        <v>0</v>
      </c>
      <c r="J17" s="54"/>
      <c r="K17" s="198">
        <f t="shared" si="1"/>
        <v>0</v>
      </c>
      <c r="L17" s="199" t="str">
        <f t="shared" si="2"/>
        <v>-</v>
      </c>
      <c r="M17" s="199" t="str">
        <f t="shared" si="3"/>
        <v>-</v>
      </c>
      <c r="N17" s="199" t="str">
        <f t="shared" si="4"/>
        <v>-</v>
      </c>
      <c r="O17" s="199" t="str">
        <f t="shared" si="5"/>
        <v>-</v>
      </c>
      <c r="P17" s="173"/>
    </row>
    <row r="18" spans="1:16" x14ac:dyDescent="0.3">
      <c r="A18" s="261"/>
      <c r="B18" s="192" t="s">
        <v>3</v>
      </c>
      <c r="C18" s="21" t="s">
        <v>642</v>
      </c>
      <c r="D18" s="203">
        <v>0</v>
      </c>
      <c r="E18" s="203">
        <v>0</v>
      </c>
      <c r="F18" s="158">
        <v>0</v>
      </c>
      <c r="G18" s="158">
        <v>0</v>
      </c>
      <c r="H18" s="158">
        <v>0</v>
      </c>
      <c r="I18" s="54">
        <f t="shared" si="0"/>
        <v>0</v>
      </c>
      <c r="J18" s="54"/>
      <c r="K18" s="198">
        <f t="shared" si="1"/>
        <v>0</v>
      </c>
      <c r="L18" s="199" t="str">
        <f t="shared" si="2"/>
        <v>-</v>
      </c>
      <c r="M18" s="199" t="str">
        <f t="shared" si="3"/>
        <v>-</v>
      </c>
      <c r="N18" s="199" t="str">
        <f t="shared" si="4"/>
        <v>-</v>
      </c>
      <c r="O18" s="199" t="str">
        <f t="shared" si="5"/>
        <v>-</v>
      </c>
      <c r="P18" s="173"/>
    </row>
    <row r="19" spans="1:16" x14ac:dyDescent="0.3">
      <c r="A19" s="261"/>
      <c r="B19" s="192" t="s">
        <v>4</v>
      </c>
      <c r="C19" s="21" t="s">
        <v>643</v>
      </c>
      <c r="D19" s="203">
        <v>0</v>
      </c>
      <c r="E19" s="203">
        <v>0</v>
      </c>
      <c r="F19" s="158">
        <v>0</v>
      </c>
      <c r="G19" s="158">
        <v>0</v>
      </c>
      <c r="H19" s="158">
        <v>0</v>
      </c>
      <c r="I19" s="54">
        <f t="shared" si="0"/>
        <v>0</v>
      </c>
      <c r="J19" s="54"/>
      <c r="K19" s="198">
        <f t="shared" si="1"/>
        <v>0</v>
      </c>
      <c r="L19" s="199" t="str">
        <f t="shared" si="2"/>
        <v>-</v>
      </c>
      <c r="M19" s="199" t="str">
        <f t="shared" si="3"/>
        <v>-</v>
      </c>
      <c r="N19" s="199" t="str">
        <f t="shared" si="4"/>
        <v>-</v>
      </c>
      <c r="O19" s="199" t="str">
        <f t="shared" si="5"/>
        <v>-</v>
      </c>
      <c r="P19" s="216"/>
    </row>
    <row r="20" spans="1:16" x14ac:dyDescent="0.3">
      <c r="A20" s="261"/>
      <c r="B20" s="192" t="s">
        <v>4</v>
      </c>
      <c r="C20" s="21" t="s">
        <v>644</v>
      </c>
      <c r="D20" s="203">
        <v>0</v>
      </c>
      <c r="E20" s="203">
        <v>0</v>
      </c>
      <c r="F20" s="158">
        <v>0</v>
      </c>
      <c r="G20" s="158">
        <v>0</v>
      </c>
      <c r="H20" s="158">
        <v>0</v>
      </c>
      <c r="I20" s="54">
        <f t="shared" si="0"/>
        <v>0</v>
      </c>
      <c r="J20" s="54"/>
      <c r="K20" s="198">
        <f t="shared" si="1"/>
        <v>0</v>
      </c>
      <c r="L20" s="199" t="str">
        <f t="shared" si="2"/>
        <v>-</v>
      </c>
      <c r="M20" s="199" t="str">
        <f t="shared" si="3"/>
        <v>-</v>
      </c>
      <c r="N20" s="199" t="str">
        <f t="shared" si="4"/>
        <v>-</v>
      </c>
      <c r="O20" s="199" t="str">
        <f t="shared" si="5"/>
        <v>-</v>
      </c>
      <c r="P20" s="216"/>
    </row>
    <row r="21" spans="1:16" ht="15.75" customHeight="1" x14ac:dyDescent="0.3">
      <c r="A21" s="261">
        <v>4</v>
      </c>
      <c r="B21" s="36" t="s">
        <v>550</v>
      </c>
      <c r="C21" s="195"/>
      <c r="D21" s="203">
        <v>0</v>
      </c>
      <c r="E21" s="203">
        <v>0</v>
      </c>
      <c r="F21" s="158">
        <v>0</v>
      </c>
      <c r="G21" s="158">
        <v>0</v>
      </c>
      <c r="H21" s="158">
        <v>0</v>
      </c>
      <c r="I21" s="54">
        <f t="shared" si="0"/>
        <v>0</v>
      </c>
      <c r="J21" s="54"/>
      <c r="K21" s="198">
        <f t="shared" si="1"/>
        <v>0</v>
      </c>
      <c r="L21" s="199" t="str">
        <f t="shared" si="2"/>
        <v>-</v>
      </c>
      <c r="M21" s="199" t="str">
        <f t="shared" si="3"/>
        <v>-</v>
      </c>
      <c r="N21" s="199" t="str">
        <f t="shared" si="4"/>
        <v>-</v>
      </c>
      <c r="O21" s="199" t="str">
        <f t="shared" si="5"/>
        <v>-</v>
      </c>
      <c r="P21" s="214"/>
    </row>
    <row r="22" spans="1:16" x14ac:dyDescent="0.3">
      <c r="A22" s="261"/>
      <c r="B22" s="192" t="s">
        <v>1</v>
      </c>
      <c r="C22" s="21" t="s">
        <v>645</v>
      </c>
      <c r="D22" s="203">
        <v>0</v>
      </c>
      <c r="E22" s="203">
        <v>0</v>
      </c>
      <c r="F22" s="158">
        <v>0</v>
      </c>
      <c r="G22" s="158">
        <v>0</v>
      </c>
      <c r="H22" s="158">
        <v>0</v>
      </c>
      <c r="I22" s="54">
        <f t="shared" si="0"/>
        <v>0</v>
      </c>
      <c r="J22" s="54"/>
      <c r="K22" s="198">
        <f t="shared" si="1"/>
        <v>0</v>
      </c>
      <c r="L22" s="199" t="str">
        <f t="shared" si="2"/>
        <v>-</v>
      </c>
      <c r="M22" s="199" t="str">
        <f t="shared" si="3"/>
        <v>-</v>
      </c>
      <c r="N22" s="199" t="str">
        <f t="shared" si="4"/>
        <v>-</v>
      </c>
      <c r="O22" s="199" t="str">
        <f t="shared" si="5"/>
        <v>-</v>
      </c>
      <c r="P22" s="173"/>
    </row>
    <row r="23" spans="1:16" x14ac:dyDescent="0.3">
      <c r="A23" s="261"/>
      <c r="B23" s="192" t="s">
        <v>2</v>
      </c>
      <c r="C23" s="21" t="s">
        <v>646</v>
      </c>
      <c r="D23" s="203">
        <v>0</v>
      </c>
      <c r="E23" s="203">
        <v>0</v>
      </c>
      <c r="F23" s="158">
        <v>0</v>
      </c>
      <c r="G23" s="158">
        <v>0</v>
      </c>
      <c r="H23" s="158">
        <v>0</v>
      </c>
      <c r="I23" s="54">
        <f t="shared" si="0"/>
        <v>0</v>
      </c>
      <c r="J23" s="54"/>
      <c r="K23" s="198">
        <f t="shared" si="1"/>
        <v>0</v>
      </c>
      <c r="L23" s="199" t="str">
        <f t="shared" si="2"/>
        <v>-</v>
      </c>
      <c r="M23" s="199" t="str">
        <f t="shared" si="3"/>
        <v>-</v>
      </c>
      <c r="N23" s="199" t="str">
        <f t="shared" si="4"/>
        <v>-</v>
      </c>
      <c r="O23" s="199" t="str">
        <f t="shared" si="5"/>
        <v>-</v>
      </c>
      <c r="P23" s="173"/>
    </row>
    <row r="24" spans="1:16" x14ac:dyDescent="0.3">
      <c r="A24" s="261"/>
      <c r="B24" s="192" t="s">
        <v>3</v>
      </c>
      <c r="C24" s="21" t="s">
        <v>647</v>
      </c>
      <c r="D24" s="203">
        <v>0</v>
      </c>
      <c r="E24" s="203">
        <v>0</v>
      </c>
      <c r="F24" s="158">
        <v>0</v>
      </c>
      <c r="G24" s="158">
        <v>0</v>
      </c>
      <c r="H24" s="158">
        <v>0</v>
      </c>
      <c r="I24" s="54">
        <f t="shared" si="0"/>
        <v>0</v>
      </c>
      <c r="J24" s="54"/>
      <c r="K24" s="198">
        <f t="shared" si="1"/>
        <v>0</v>
      </c>
      <c r="L24" s="199" t="str">
        <f t="shared" si="2"/>
        <v>-</v>
      </c>
      <c r="M24" s="199" t="str">
        <f t="shared" si="3"/>
        <v>-</v>
      </c>
      <c r="N24" s="199" t="str">
        <f t="shared" si="4"/>
        <v>-</v>
      </c>
      <c r="O24" s="199" t="str">
        <f t="shared" si="5"/>
        <v>-</v>
      </c>
      <c r="P24" s="173"/>
    </row>
    <row r="25" spans="1:16" x14ac:dyDescent="0.3">
      <c r="A25" s="261"/>
      <c r="B25" s="192" t="s">
        <v>4</v>
      </c>
      <c r="C25" s="21" t="s">
        <v>648</v>
      </c>
      <c r="D25" s="203">
        <v>0</v>
      </c>
      <c r="E25" s="203">
        <v>0</v>
      </c>
      <c r="F25" s="158">
        <v>0</v>
      </c>
      <c r="G25" s="158">
        <v>0</v>
      </c>
      <c r="H25" s="158">
        <v>0</v>
      </c>
      <c r="I25" s="54">
        <f t="shared" si="0"/>
        <v>0</v>
      </c>
      <c r="J25" s="54"/>
      <c r="K25" s="198">
        <f t="shared" si="1"/>
        <v>0</v>
      </c>
      <c r="L25" s="199" t="str">
        <f t="shared" si="2"/>
        <v>-</v>
      </c>
      <c r="M25" s="199" t="str">
        <f t="shared" si="3"/>
        <v>-</v>
      </c>
      <c r="N25" s="199" t="str">
        <f t="shared" si="4"/>
        <v>-</v>
      </c>
      <c r="O25" s="199" t="str">
        <f t="shared" si="5"/>
        <v>-</v>
      </c>
      <c r="P25" s="173"/>
    </row>
    <row r="26" spans="1:16" ht="15.75" customHeight="1" x14ac:dyDescent="0.3">
      <c r="A26" s="261">
        <v>5</v>
      </c>
      <c r="B26" s="36" t="s">
        <v>552</v>
      </c>
      <c r="C26" s="21"/>
      <c r="D26" s="203">
        <v>0</v>
      </c>
      <c r="E26" s="203">
        <v>0</v>
      </c>
      <c r="F26" s="158">
        <v>0</v>
      </c>
      <c r="G26" s="158">
        <v>0</v>
      </c>
      <c r="H26" s="158">
        <v>0</v>
      </c>
      <c r="I26" s="54">
        <f t="shared" si="0"/>
        <v>0</v>
      </c>
      <c r="J26" s="54"/>
      <c r="K26" s="198">
        <f t="shared" si="1"/>
        <v>0</v>
      </c>
      <c r="L26" s="199" t="str">
        <f t="shared" si="2"/>
        <v>-</v>
      </c>
      <c r="M26" s="199" t="str">
        <f t="shared" si="3"/>
        <v>-</v>
      </c>
      <c r="N26" s="199" t="str">
        <f t="shared" si="4"/>
        <v>-</v>
      </c>
      <c r="O26" s="199" t="str">
        <f t="shared" si="5"/>
        <v>-</v>
      </c>
      <c r="P26" s="214"/>
    </row>
    <row r="27" spans="1:16" x14ac:dyDescent="0.3">
      <c r="A27" s="261"/>
      <c r="B27" s="192" t="s">
        <v>1</v>
      </c>
      <c r="C27" s="21" t="s">
        <v>649</v>
      </c>
      <c r="D27" s="203">
        <v>0</v>
      </c>
      <c r="E27" s="203">
        <v>0</v>
      </c>
      <c r="F27" s="158">
        <v>0</v>
      </c>
      <c r="G27" s="158">
        <v>0</v>
      </c>
      <c r="H27" s="158">
        <v>0</v>
      </c>
      <c r="I27" s="54">
        <f t="shared" si="0"/>
        <v>0</v>
      </c>
      <c r="J27" s="54"/>
      <c r="K27" s="198">
        <f t="shared" si="1"/>
        <v>0</v>
      </c>
      <c r="L27" s="199" t="str">
        <f t="shared" si="2"/>
        <v>-</v>
      </c>
      <c r="M27" s="199" t="str">
        <f t="shared" si="3"/>
        <v>-</v>
      </c>
      <c r="N27" s="199" t="str">
        <f t="shared" si="4"/>
        <v>-</v>
      </c>
      <c r="O27" s="199" t="str">
        <f t="shared" si="5"/>
        <v>-</v>
      </c>
      <c r="P27" s="173"/>
    </row>
    <row r="28" spans="1:16" x14ac:dyDescent="0.3">
      <c r="A28" s="261"/>
      <c r="B28" s="192" t="s">
        <v>2</v>
      </c>
      <c r="C28" s="21" t="s">
        <v>650</v>
      </c>
      <c r="D28" s="203">
        <v>0</v>
      </c>
      <c r="E28" s="203">
        <v>0</v>
      </c>
      <c r="F28" s="158">
        <v>0</v>
      </c>
      <c r="G28" s="158">
        <v>0</v>
      </c>
      <c r="H28" s="158">
        <v>0</v>
      </c>
      <c r="I28" s="54">
        <f t="shared" si="0"/>
        <v>0</v>
      </c>
      <c r="J28" s="54"/>
      <c r="K28" s="198">
        <f t="shared" si="1"/>
        <v>0</v>
      </c>
      <c r="L28" s="199" t="str">
        <f t="shared" si="2"/>
        <v>-</v>
      </c>
      <c r="M28" s="199" t="str">
        <f t="shared" si="3"/>
        <v>-</v>
      </c>
      <c r="N28" s="199" t="str">
        <f t="shared" si="4"/>
        <v>-</v>
      </c>
      <c r="O28" s="199" t="str">
        <f t="shared" si="5"/>
        <v>-</v>
      </c>
      <c r="P28" s="173"/>
    </row>
    <row r="29" spans="1:16" ht="15.75" customHeight="1" x14ac:dyDescent="0.3">
      <c r="A29" s="261">
        <v>6</v>
      </c>
      <c r="B29" s="36" t="s">
        <v>553</v>
      </c>
      <c r="C29" s="195"/>
      <c r="D29" s="203">
        <v>0</v>
      </c>
      <c r="E29" s="203">
        <v>0</v>
      </c>
      <c r="F29" s="158">
        <v>0</v>
      </c>
      <c r="G29" s="158">
        <v>0</v>
      </c>
      <c r="H29" s="158">
        <v>0</v>
      </c>
      <c r="I29" s="54">
        <f t="shared" si="0"/>
        <v>0</v>
      </c>
      <c r="J29" s="54"/>
      <c r="K29" s="198">
        <f t="shared" si="1"/>
        <v>0</v>
      </c>
      <c r="L29" s="199" t="str">
        <f t="shared" si="2"/>
        <v>-</v>
      </c>
      <c r="M29" s="199" t="str">
        <f t="shared" si="3"/>
        <v>-</v>
      </c>
      <c r="N29" s="199" t="str">
        <f t="shared" si="4"/>
        <v>-</v>
      </c>
      <c r="O29" s="199" t="str">
        <f t="shared" si="5"/>
        <v>-</v>
      </c>
      <c r="P29" s="214"/>
    </row>
    <row r="30" spans="1:16" x14ac:dyDescent="0.3">
      <c r="A30" s="261"/>
      <c r="B30" s="192" t="s">
        <v>1</v>
      </c>
      <c r="C30" s="21" t="s">
        <v>651</v>
      </c>
      <c r="D30" s="203">
        <v>0</v>
      </c>
      <c r="E30" s="203">
        <v>0</v>
      </c>
      <c r="F30" s="158">
        <v>0</v>
      </c>
      <c r="G30" s="158">
        <v>0</v>
      </c>
      <c r="H30" s="158">
        <v>0</v>
      </c>
      <c r="I30" s="54">
        <f t="shared" si="0"/>
        <v>0</v>
      </c>
      <c r="J30" s="54"/>
      <c r="K30" s="198">
        <f t="shared" si="1"/>
        <v>0</v>
      </c>
      <c r="L30" s="199" t="str">
        <f t="shared" si="2"/>
        <v>-</v>
      </c>
      <c r="M30" s="199" t="str">
        <f t="shared" si="3"/>
        <v>-</v>
      </c>
      <c r="N30" s="199" t="str">
        <f t="shared" si="4"/>
        <v>-</v>
      </c>
      <c r="O30" s="199" t="str">
        <f t="shared" si="5"/>
        <v>-</v>
      </c>
      <c r="P30" s="173"/>
    </row>
    <row r="31" spans="1:16" x14ac:dyDescent="0.3">
      <c r="A31" s="261"/>
      <c r="B31" s="192" t="s">
        <v>2</v>
      </c>
      <c r="C31" s="21" t="s">
        <v>652</v>
      </c>
      <c r="D31" s="203">
        <v>0</v>
      </c>
      <c r="E31" s="203">
        <v>0</v>
      </c>
      <c r="F31" s="158">
        <v>0</v>
      </c>
      <c r="G31" s="158">
        <v>0</v>
      </c>
      <c r="H31" s="158">
        <v>0</v>
      </c>
      <c r="I31" s="54">
        <f t="shared" si="0"/>
        <v>0</v>
      </c>
      <c r="J31" s="54"/>
      <c r="K31" s="198">
        <f t="shared" si="1"/>
        <v>0</v>
      </c>
      <c r="L31" s="199" t="str">
        <f t="shared" si="2"/>
        <v>-</v>
      </c>
      <c r="M31" s="199" t="str">
        <f t="shared" si="3"/>
        <v>-</v>
      </c>
      <c r="N31" s="199" t="str">
        <f t="shared" si="4"/>
        <v>-</v>
      </c>
      <c r="O31" s="199" t="str">
        <f t="shared" si="5"/>
        <v>-</v>
      </c>
      <c r="P31" s="173"/>
    </row>
    <row r="32" spans="1:16" x14ac:dyDescent="0.3">
      <c r="A32" s="261"/>
      <c r="B32" s="192" t="s">
        <v>3</v>
      </c>
      <c r="C32" s="21" t="s">
        <v>653</v>
      </c>
      <c r="D32" s="203">
        <v>0</v>
      </c>
      <c r="E32" s="203">
        <v>0</v>
      </c>
      <c r="F32" s="158">
        <v>0</v>
      </c>
      <c r="G32" s="158">
        <v>0</v>
      </c>
      <c r="H32" s="158">
        <v>0</v>
      </c>
      <c r="I32" s="54">
        <f t="shared" si="0"/>
        <v>0</v>
      </c>
      <c r="J32" s="54"/>
      <c r="K32" s="198">
        <f t="shared" si="1"/>
        <v>0</v>
      </c>
      <c r="L32" s="199" t="str">
        <f t="shared" si="2"/>
        <v>-</v>
      </c>
      <c r="M32" s="199" t="str">
        <f t="shared" si="3"/>
        <v>-</v>
      </c>
      <c r="N32" s="199" t="str">
        <f t="shared" si="4"/>
        <v>-</v>
      </c>
      <c r="O32" s="199" t="str">
        <f t="shared" si="5"/>
        <v>-</v>
      </c>
      <c r="P32" s="173"/>
    </row>
    <row r="33" spans="1:16" x14ac:dyDescent="0.3">
      <c r="A33" s="261"/>
      <c r="B33" s="192" t="s">
        <v>4</v>
      </c>
      <c r="C33" s="21" t="s">
        <v>654</v>
      </c>
      <c r="D33" s="203">
        <v>0</v>
      </c>
      <c r="E33" s="203">
        <v>0</v>
      </c>
      <c r="F33" s="158">
        <v>0</v>
      </c>
      <c r="G33" s="158">
        <v>0</v>
      </c>
      <c r="H33" s="158">
        <v>0</v>
      </c>
      <c r="I33" s="54">
        <f t="shared" si="0"/>
        <v>0</v>
      </c>
      <c r="J33" s="54"/>
      <c r="K33" s="198">
        <f t="shared" si="1"/>
        <v>0</v>
      </c>
      <c r="L33" s="199" t="str">
        <f t="shared" si="2"/>
        <v>-</v>
      </c>
      <c r="M33" s="199" t="str">
        <f t="shared" si="3"/>
        <v>-</v>
      </c>
      <c r="N33" s="199" t="str">
        <f t="shared" si="4"/>
        <v>-</v>
      </c>
      <c r="O33" s="199" t="str">
        <f t="shared" si="5"/>
        <v>-</v>
      </c>
      <c r="P33" s="173"/>
    </row>
    <row r="34" spans="1:16" x14ac:dyDescent="0.3">
      <c r="A34" s="261"/>
      <c r="B34" s="192" t="s">
        <v>5</v>
      </c>
      <c r="C34" s="21" t="s">
        <v>655</v>
      </c>
      <c r="D34" s="203">
        <v>0</v>
      </c>
      <c r="E34" s="203">
        <v>0</v>
      </c>
      <c r="F34" s="158">
        <v>0</v>
      </c>
      <c r="G34" s="158">
        <v>0</v>
      </c>
      <c r="H34" s="158">
        <v>0</v>
      </c>
      <c r="I34" s="54">
        <f t="shared" si="0"/>
        <v>0</v>
      </c>
      <c r="J34" s="54"/>
      <c r="K34" s="198">
        <f t="shared" si="1"/>
        <v>0</v>
      </c>
      <c r="L34" s="199" t="str">
        <f t="shared" si="2"/>
        <v>-</v>
      </c>
      <c r="M34" s="199" t="str">
        <f t="shared" si="3"/>
        <v>-</v>
      </c>
      <c r="N34" s="199" t="str">
        <f t="shared" si="4"/>
        <v>-</v>
      </c>
      <c r="O34" s="199" t="str">
        <f t="shared" si="5"/>
        <v>-</v>
      </c>
      <c r="P34" s="173"/>
    </row>
    <row r="35" spans="1:16" ht="15.75" customHeight="1" x14ac:dyDescent="0.3">
      <c r="A35" s="261">
        <v>7</v>
      </c>
      <c r="B35" s="36" t="s">
        <v>555</v>
      </c>
      <c r="C35" s="21"/>
      <c r="D35" s="203">
        <v>0</v>
      </c>
      <c r="E35" s="203">
        <v>0</v>
      </c>
      <c r="F35" s="158">
        <v>0</v>
      </c>
      <c r="G35" s="158">
        <v>0</v>
      </c>
      <c r="H35" s="158">
        <v>0</v>
      </c>
      <c r="I35" s="54">
        <f t="shared" si="0"/>
        <v>0</v>
      </c>
      <c r="J35" s="54"/>
      <c r="K35" s="198">
        <f t="shared" si="1"/>
        <v>0</v>
      </c>
      <c r="L35" s="199" t="str">
        <f t="shared" si="2"/>
        <v>-</v>
      </c>
      <c r="M35" s="199" t="str">
        <f t="shared" si="3"/>
        <v>-</v>
      </c>
      <c r="N35" s="199" t="str">
        <f t="shared" si="4"/>
        <v>-</v>
      </c>
      <c r="O35" s="199" t="str">
        <f t="shared" si="5"/>
        <v>-</v>
      </c>
      <c r="P35" s="214"/>
    </row>
    <row r="36" spans="1:16" x14ac:dyDescent="0.3">
      <c r="A36" s="261"/>
      <c r="B36" s="192" t="s">
        <v>1</v>
      </c>
      <c r="C36" s="21" t="s">
        <v>656</v>
      </c>
      <c r="D36" s="203">
        <v>0</v>
      </c>
      <c r="E36" s="203">
        <v>0</v>
      </c>
      <c r="F36" s="158">
        <v>0</v>
      </c>
      <c r="G36" s="158">
        <v>0</v>
      </c>
      <c r="H36" s="158">
        <v>0</v>
      </c>
      <c r="I36" s="54">
        <f t="shared" si="0"/>
        <v>0</v>
      </c>
      <c r="J36" s="54"/>
      <c r="K36" s="198">
        <f t="shared" si="1"/>
        <v>0</v>
      </c>
      <c r="L36" s="199" t="str">
        <f t="shared" si="2"/>
        <v>-</v>
      </c>
      <c r="M36" s="199" t="str">
        <f t="shared" si="3"/>
        <v>-</v>
      </c>
      <c r="N36" s="199" t="str">
        <f t="shared" si="4"/>
        <v>-</v>
      </c>
      <c r="O36" s="199" t="str">
        <f t="shared" si="5"/>
        <v>-</v>
      </c>
      <c r="P36" s="173"/>
    </row>
    <row r="37" spans="1:16" x14ac:dyDescent="0.3">
      <c r="A37" s="261"/>
      <c r="B37" s="192" t="s">
        <v>2</v>
      </c>
      <c r="C37" s="21" t="s">
        <v>657</v>
      </c>
      <c r="D37" s="203">
        <v>0</v>
      </c>
      <c r="E37" s="203">
        <v>0</v>
      </c>
      <c r="F37" s="158">
        <v>0</v>
      </c>
      <c r="G37" s="158">
        <v>0</v>
      </c>
      <c r="H37" s="158">
        <v>0</v>
      </c>
      <c r="I37" s="54">
        <f t="shared" si="0"/>
        <v>0</v>
      </c>
      <c r="J37" s="54"/>
      <c r="K37" s="198">
        <f t="shared" si="1"/>
        <v>0</v>
      </c>
      <c r="L37" s="199" t="str">
        <f t="shared" si="2"/>
        <v>-</v>
      </c>
      <c r="M37" s="199" t="str">
        <f t="shared" si="3"/>
        <v>-</v>
      </c>
      <c r="N37" s="199" t="str">
        <f t="shared" si="4"/>
        <v>-</v>
      </c>
      <c r="O37" s="199" t="str">
        <f t="shared" si="5"/>
        <v>-</v>
      </c>
      <c r="P37" s="173"/>
    </row>
    <row r="38" spans="1:16" x14ac:dyDescent="0.3">
      <c r="A38" s="261"/>
      <c r="B38" s="192" t="s">
        <v>3</v>
      </c>
      <c r="C38" s="21" t="s">
        <v>658</v>
      </c>
      <c r="D38" s="203">
        <v>0</v>
      </c>
      <c r="E38" s="203">
        <v>0</v>
      </c>
      <c r="F38" s="158">
        <v>0</v>
      </c>
      <c r="G38" s="158">
        <v>0</v>
      </c>
      <c r="H38" s="158">
        <v>0</v>
      </c>
      <c r="I38" s="54">
        <f t="shared" si="0"/>
        <v>0</v>
      </c>
      <c r="J38" s="54"/>
      <c r="K38" s="198">
        <f t="shared" si="1"/>
        <v>0</v>
      </c>
      <c r="L38" s="199" t="str">
        <f t="shared" si="2"/>
        <v>-</v>
      </c>
      <c r="M38" s="199" t="str">
        <f t="shared" si="3"/>
        <v>-</v>
      </c>
      <c r="N38" s="199" t="str">
        <f t="shared" si="4"/>
        <v>-</v>
      </c>
      <c r="O38" s="199" t="str">
        <f t="shared" si="5"/>
        <v>-</v>
      </c>
      <c r="P38" s="173"/>
    </row>
    <row r="39" spans="1:16" x14ac:dyDescent="0.3">
      <c r="A39" s="261"/>
      <c r="B39" s="192" t="s">
        <v>4</v>
      </c>
      <c r="C39" s="21" t="s">
        <v>659</v>
      </c>
      <c r="D39" s="203">
        <v>0</v>
      </c>
      <c r="E39" s="203">
        <v>0</v>
      </c>
      <c r="F39" s="158">
        <v>0</v>
      </c>
      <c r="G39" s="158">
        <v>0</v>
      </c>
      <c r="H39" s="158">
        <v>0</v>
      </c>
      <c r="I39" s="54">
        <f t="shared" si="0"/>
        <v>0</v>
      </c>
      <c r="J39" s="54"/>
      <c r="K39" s="198">
        <f t="shared" si="1"/>
        <v>0</v>
      </c>
      <c r="L39" s="199" t="str">
        <f t="shared" si="2"/>
        <v>-</v>
      </c>
      <c r="M39" s="199" t="str">
        <f t="shared" si="3"/>
        <v>-</v>
      </c>
      <c r="N39" s="199" t="str">
        <f t="shared" si="4"/>
        <v>-</v>
      </c>
      <c r="O39" s="199" t="str">
        <f t="shared" si="5"/>
        <v>-</v>
      </c>
      <c r="P39" s="173"/>
    </row>
    <row r="40" spans="1:16" ht="15.75" customHeight="1" x14ac:dyDescent="0.3">
      <c r="A40" s="261">
        <v>8</v>
      </c>
      <c r="B40" s="36" t="s">
        <v>556</v>
      </c>
      <c r="C40" s="21"/>
      <c r="D40" s="203">
        <v>0</v>
      </c>
      <c r="E40" s="203">
        <v>0</v>
      </c>
      <c r="F40" s="158">
        <v>0</v>
      </c>
      <c r="G40" s="158">
        <v>0</v>
      </c>
      <c r="H40" s="158">
        <v>0</v>
      </c>
      <c r="I40" s="54">
        <f t="shared" si="0"/>
        <v>0</v>
      </c>
      <c r="J40" s="54"/>
      <c r="K40" s="198">
        <f t="shared" si="1"/>
        <v>0</v>
      </c>
      <c r="L40" s="199" t="str">
        <f t="shared" si="2"/>
        <v>-</v>
      </c>
      <c r="M40" s="199" t="str">
        <f t="shared" si="3"/>
        <v>-</v>
      </c>
      <c r="N40" s="199" t="str">
        <f t="shared" si="4"/>
        <v>-</v>
      </c>
      <c r="O40" s="199" t="str">
        <f t="shared" si="5"/>
        <v>-</v>
      </c>
      <c r="P40" s="214"/>
    </row>
    <row r="41" spans="1:16" x14ac:dyDescent="0.3">
      <c r="A41" s="261"/>
      <c r="B41" s="192" t="s">
        <v>1</v>
      </c>
      <c r="C41" s="21" t="s">
        <v>660</v>
      </c>
      <c r="D41" s="203">
        <v>0</v>
      </c>
      <c r="E41" s="203">
        <v>0</v>
      </c>
      <c r="F41" s="158">
        <v>0</v>
      </c>
      <c r="G41" s="158">
        <v>0</v>
      </c>
      <c r="H41" s="158">
        <v>0</v>
      </c>
      <c r="I41" s="54">
        <f t="shared" si="0"/>
        <v>0</v>
      </c>
      <c r="J41" s="54"/>
      <c r="K41" s="198">
        <f t="shared" si="1"/>
        <v>0</v>
      </c>
      <c r="L41" s="199" t="str">
        <f t="shared" si="2"/>
        <v>-</v>
      </c>
      <c r="M41" s="199" t="str">
        <f t="shared" si="3"/>
        <v>-</v>
      </c>
      <c r="N41" s="199" t="str">
        <f t="shared" si="4"/>
        <v>-</v>
      </c>
      <c r="O41" s="199" t="str">
        <f t="shared" si="5"/>
        <v>-</v>
      </c>
      <c r="P41" s="173"/>
    </row>
    <row r="42" spans="1:16" x14ac:dyDescent="0.3">
      <c r="A42" s="261"/>
      <c r="B42" s="192" t="s">
        <v>2</v>
      </c>
      <c r="C42" s="21" t="s">
        <v>661</v>
      </c>
      <c r="D42" s="203">
        <v>0</v>
      </c>
      <c r="E42" s="203">
        <v>0</v>
      </c>
      <c r="F42" s="158">
        <v>0</v>
      </c>
      <c r="G42" s="158">
        <v>0</v>
      </c>
      <c r="H42" s="158">
        <v>0</v>
      </c>
      <c r="I42" s="54">
        <f t="shared" si="0"/>
        <v>0</v>
      </c>
      <c r="J42" s="54"/>
      <c r="K42" s="198">
        <f t="shared" si="1"/>
        <v>0</v>
      </c>
      <c r="L42" s="199" t="str">
        <f t="shared" si="2"/>
        <v>-</v>
      </c>
      <c r="M42" s="199" t="str">
        <f t="shared" si="3"/>
        <v>-</v>
      </c>
      <c r="N42" s="199" t="str">
        <f t="shared" si="4"/>
        <v>-</v>
      </c>
      <c r="O42" s="199" t="str">
        <f t="shared" si="5"/>
        <v>-</v>
      </c>
      <c r="P42" s="173"/>
    </row>
    <row r="43" spans="1:16" ht="15.75" customHeight="1" x14ac:dyDescent="0.3">
      <c r="A43" s="261">
        <v>9</v>
      </c>
      <c r="B43" s="36" t="s">
        <v>558</v>
      </c>
      <c r="C43" s="21"/>
      <c r="D43" s="203">
        <v>0</v>
      </c>
      <c r="E43" s="203">
        <v>0</v>
      </c>
      <c r="F43" s="158">
        <v>0</v>
      </c>
      <c r="G43" s="158">
        <v>0</v>
      </c>
      <c r="H43" s="158">
        <v>0</v>
      </c>
      <c r="I43" s="54">
        <f t="shared" si="0"/>
        <v>0</v>
      </c>
      <c r="J43" s="54"/>
      <c r="K43" s="198">
        <f t="shared" si="1"/>
        <v>0</v>
      </c>
      <c r="L43" s="199" t="str">
        <f t="shared" si="2"/>
        <v>-</v>
      </c>
      <c r="M43" s="199" t="str">
        <f t="shared" si="3"/>
        <v>-</v>
      </c>
      <c r="N43" s="199" t="str">
        <f t="shared" si="4"/>
        <v>-</v>
      </c>
      <c r="O43" s="199" t="str">
        <f t="shared" si="5"/>
        <v>-</v>
      </c>
      <c r="P43" s="214"/>
    </row>
    <row r="44" spans="1:16" x14ac:dyDescent="0.3">
      <c r="A44" s="261"/>
      <c r="B44" s="192" t="s">
        <v>1</v>
      </c>
      <c r="C44" s="21" t="s">
        <v>662</v>
      </c>
      <c r="D44" s="203">
        <v>0</v>
      </c>
      <c r="E44" s="203">
        <v>0</v>
      </c>
      <c r="F44" s="158">
        <v>0</v>
      </c>
      <c r="G44" s="158">
        <v>0</v>
      </c>
      <c r="H44" s="158">
        <v>0</v>
      </c>
      <c r="I44" s="54">
        <f t="shared" si="0"/>
        <v>0</v>
      </c>
      <c r="J44" s="54"/>
      <c r="K44" s="198">
        <f t="shared" si="1"/>
        <v>0</v>
      </c>
      <c r="L44" s="199" t="str">
        <f t="shared" si="2"/>
        <v>-</v>
      </c>
      <c r="M44" s="199" t="str">
        <f t="shared" si="3"/>
        <v>-</v>
      </c>
      <c r="N44" s="199" t="str">
        <f t="shared" si="4"/>
        <v>-</v>
      </c>
      <c r="O44" s="199" t="str">
        <f t="shared" si="5"/>
        <v>-</v>
      </c>
      <c r="P44" s="173"/>
    </row>
    <row r="45" spans="1:16" x14ac:dyDescent="0.3">
      <c r="A45" s="261"/>
      <c r="B45" s="192" t="s">
        <v>2</v>
      </c>
      <c r="C45" s="21" t="s">
        <v>663</v>
      </c>
      <c r="D45" s="203">
        <v>0</v>
      </c>
      <c r="E45" s="203">
        <v>0</v>
      </c>
      <c r="F45" s="158">
        <v>0</v>
      </c>
      <c r="G45" s="158">
        <v>0</v>
      </c>
      <c r="H45" s="158">
        <v>0</v>
      </c>
      <c r="I45" s="54">
        <f t="shared" si="0"/>
        <v>0</v>
      </c>
      <c r="J45" s="54"/>
      <c r="K45" s="198">
        <f t="shared" si="1"/>
        <v>0</v>
      </c>
      <c r="L45" s="199" t="str">
        <f t="shared" si="2"/>
        <v>-</v>
      </c>
      <c r="M45" s="199" t="str">
        <f t="shared" si="3"/>
        <v>-</v>
      </c>
      <c r="N45" s="199" t="str">
        <f t="shared" si="4"/>
        <v>-</v>
      </c>
      <c r="O45" s="199" t="str">
        <f t="shared" si="5"/>
        <v>-</v>
      </c>
      <c r="P45" s="173"/>
    </row>
    <row r="46" spans="1:16" x14ac:dyDescent="0.3">
      <c r="A46" s="261"/>
      <c r="B46" s="192" t="s">
        <v>3</v>
      </c>
      <c r="C46" s="21" t="s">
        <v>664</v>
      </c>
      <c r="D46" s="203">
        <v>0</v>
      </c>
      <c r="E46" s="203">
        <v>0</v>
      </c>
      <c r="F46" s="158">
        <v>0</v>
      </c>
      <c r="G46" s="158">
        <v>0</v>
      </c>
      <c r="H46" s="158">
        <v>0</v>
      </c>
      <c r="I46" s="54">
        <f t="shared" si="0"/>
        <v>0</v>
      </c>
      <c r="J46" s="54"/>
      <c r="K46" s="198">
        <f t="shared" si="1"/>
        <v>0</v>
      </c>
      <c r="L46" s="199" t="str">
        <f t="shared" si="2"/>
        <v>-</v>
      </c>
      <c r="M46" s="199" t="str">
        <f t="shared" si="3"/>
        <v>-</v>
      </c>
      <c r="N46" s="199" t="str">
        <f t="shared" si="4"/>
        <v>-</v>
      </c>
      <c r="O46" s="199" t="str">
        <f t="shared" si="5"/>
        <v>-</v>
      </c>
      <c r="P46" s="173"/>
    </row>
    <row r="47" spans="1:16" x14ac:dyDescent="0.3">
      <c r="A47" s="261"/>
      <c r="B47" s="192" t="s">
        <v>4</v>
      </c>
      <c r="C47" s="21" t="s">
        <v>665</v>
      </c>
      <c r="D47" s="203">
        <v>0</v>
      </c>
      <c r="E47" s="203">
        <v>0</v>
      </c>
      <c r="F47" s="158">
        <v>0</v>
      </c>
      <c r="G47" s="158">
        <v>0</v>
      </c>
      <c r="H47" s="158">
        <v>0</v>
      </c>
      <c r="I47" s="54">
        <f t="shared" si="0"/>
        <v>0</v>
      </c>
      <c r="J47" s="54"/>
      <c r="K47" s="198">
        <f t="shared" si="1"/>
        <v>0</v>
      </c>
      <c r="L47" s="199" t="str">
        <f t="shared" si="2"/>
        <v>-</v>
      </c>
      <c r="M47" s="199" t="str">
        <f t="shared" si="3"/>
        <v>-</v>
      </c>
      <c r="N47" s="199" t="str">
        <f t="shared" si="4"/>
        <v>-</v>
      </c>
      <c r="O47" s="199" t="str">
        <f t="shared" si="5"/>
        <v>-</v>
      </c>
      <c r="P47" s="173"/>
    </row>
    <row r="48" spans="1:16" ht="15.75" customHeight="1" x14ac:dyDescent="0.3">
      <c r="A48" s="261">
        <v>10</v>
      </c>
      <c r="B48" s="36" t="s">
        <v>559</v>
      </c>
      <c r="C48" s="21"/>
      <c r="D48" s="203">
        <v>0</v>
      </c>
      <c r="E48" s="203">
        <v>0</v>
      </c>
      <c r="F48" s="158">
        <v>0</v>
      </c>
      <c r="G48" s="158">
        <v>0</v>
      </c>
      <c r="H48" s="158">
        <v>0</v>
      </c>
      <c r="I48" s="54">
        <f t="shared" si="0"/>
        <v>0</v>
      </c>
      <c r="J48" s="54"/>
      <c r="K48" s="198">
        <f t="shared" si="1"/>
        <v>0</v>
      </c>
      <c r="L48" s="199" t="str">
        <f t="shared" si="2"/>
        <v>-</v>
      </c>
      <c r="M48" s="199" t="str">
        <f t="shared" si="3"/>
        <v>-</v>
      </c>
      <c r="N48" s="199" t="str">
        <f t="shared" si="4"/>
        <v>-</v>
      </c>
      <c r="O48" s="199" t="str">
        <f t="shared" si="5"/>
        <v>-</v>
      </c>
      <c r="P48" s="214"/>
    </row>
    <row r="49" spans="1:16" x14ac:dyDescent="0.3">
      <c r="A49" s="261"/>
      <c r="B49" s="192" t="s">
        <v>1</v>
      </c>
      <c r="C49" s="21" t="s">
        <v>666</v>
      </c>
      <c r="D49" s="203">
        <v>0</v>
      </c>
      <c r="E49" s="203">
        <v>0</v>
      </c>
      <c r="F49" s="158">
        <v>0</v>
      </c>
      <c r="G49" s="158">
        <v>0</v>
      </c>
      <c r="H49" s="158">
        <v>0</v>
      </c>
      <c r="I49" s="54">
        <f t="shared" si="0"/>
        <v>0</v>
      </c>
      <c r="J49" s="54"/>
      <c r="K49" s="198">
        <f t="shared" si="1"/>
        <v>0</v>
      </c>
      <c r="L49" s="199" t="str">
        <f t="shared" si="2"/>
        <v>-</v>
      </c>
      <c r="M49" s="199" t="str">
        <f t="shared" si="3"/>
        <v>-</v>
      </c>
      <c r="N49" s="199" t="str">
        <f t="shared" si="4"/>
        <v>-</v>
      </c>
      <c r="O49" s="199" t="str">
        <f t="shared" si="5"/>
        <v>-</v>
      </c>
      <c r="P49" s="173"/>
    </row>
    <row r="50" spans="1:16" x14ac:dyDescent="0.3">
      <c r="A50" s="261"/>
      <c r="B50" s="192" t="s">
        <v>2</v>
      </c>
      <c r="C50" s="21" t="s">
        <v>667</v>
      </c>
      <c r="D50" s="203">
        <v>0</v>
      </c>
      <c r="E50" s="203">
        <v>0</v>
      </c>
      <c r="F50" s="158">
        <v>0</v>
      </c>
      <c r="G50" s="158">
        <v>0</v>
      </c>
      <c r="H50" s="158">
        <v>0</v>
      </c>
      <c r="I50" s="54">
        <f t="shared" si="0"/>
        <v>0</v>
      </c>
      <c r="J50" s="54"/>
      <c r="K50" s="198">
        <f t="shared" si="1"/>
        <v>0</v>
      </c>
      <c r="L50" s="199" t="str">
        <f t="shared" si="2"/>
        <v>-</v>
      </c>
      <c r="M50" s="199" t="str">
        <f t="shared" si="3"/>
        <v>-</v>
      </c>
      <c r="N50" s="199" t="str">
        <f t="shared" si="4"/>
        <v>-</v>
      </c>
      <c r="O50" s="199" t="str">
        <f t="shared" si="5"/>
        <v>-</v>
      </c>
      <c r="P50" s="173"/>
    </row>
    <row r="51" spans="1:16" x14ac:dyDescent="0.3">
      <c r="A51" s="261"/>
      <c r="B51" s="192" t="s">
        <v>3</v>
      </c>
      <c r="C51" s="21" t="s">
        <v>668</v>
      </c>
      <c r="D51" s="203">
        <v>0</v>
      </c>
      <c r="E51" s="203">
        <v>0</v>
      </c>
      <c r="F51" s="158">
        <v>0</v>
      </c>
      <c r="G51" s="158">
        <v>0</v>
      </c>
      <c r="H51" s="158">
        <v>0</v>
      </c>
      <c r="I51" s="54">
        <f t="shared" si="0"/>
        <v>0</v>
      </c>
      <c r="J51" s="54"/>
      <c r="K51" s="198">
        <f t="shared" si="1"/>
        <v>0</v>
      </c>
      <c r="L51" s="199" t="str">
        <f t="shared" si="2"/>
        <v>-</v>
      </c>
      <c r="M51" s="199" t="str">
        <f t="shared" si="3"/>
        <v>-</v>
      </c>
      <c r="N51" s="199" t="str">
        <f t="shared" si="4"/>
        <v>-</v>
      </c>
      <c r="O51" s="199" t="str">
        <f t="shared" si="5"/>
        <v>-</v>
      </c>
      <c r="P51" s="173"/>
    </row>
    <row r="52" spans="1:16" x14ac:dyDescent="0.3">
      <c r="A52" s="261"/>
      <c r="B52" s="192" t="s">
        <v>4</v>
      </c>
      <c r="C52" s="21" t="s">
        <v>669</v>
      </c>
      <c r="D52" s="203">
        <v>0</v>
      </c>
      <c r="E52" s="203">
        <v>0</v>
      </c>
      <c r="F52" s="158">
        <v>0</v>
      </c>
      <c r="G52" s="158">
        <v>0</v>
      </c>
      <c r="H52" s="158">
        <v>0</v>
      </c>
      <c r="I52" s="54">
        <f t="shared" si="0"/>
        <v>0</v>
      </c>
      <c r="J52" s="54"/>
      <c r="K52" s="198">
        <f t="shared" si="1"/>
        <v>0</v>
      </c>
      <c r="L52" s="199" t="str">
        <f t="shared" si="2"/>
        <v>-</v>
      </c>
      <c r="M52" s="199" t="str">
        <f t="shared" si="3"/>
        <v>-</v>
      </c>
      <c r="N52" s="199" t="str">
        <f t="shared" si="4"/>
        <v>-</v>
      </c>
      <c r="O52" s="199" t="str">
        <f t="shared" si="5"/>
        <v>-</v>
      </c>
      <c r="P52" s="173"/>
    </row>
    <row r="53" spans="1:16" ht="15.75" customHeight="1" x14ac:dyDescent="0.3">
      <c r="A53" s="261">
        <v>11</v>
      </c>
      <c r="B53" s="36" t="s">
        <v>561</v>
      </c>
      <c r="C53" s="21"/>
      <c r="D53" s="203">
        <v>0</v>
      </c>
      <c r="E53" s="203">
        <v>0</v>
      </c>
      <c r="F53" s="158">
        <v>0</v>
      </c>
      <c r="G53" s="158">
        <v>0</v>
      </c>
      <c r="H53" s="158">
        <v>0</v>
      </c>
      <c r="I53" s="54">
        <f t="shared" si="0"/>
        <v>0</v>
      </c>
      <c r="J53" s="54"/>
      <c r="K53" s="198">
        <f t="shared" si="1"/>
        <v>0</v>
      </c>
      <c r="L53" s="199" t="str">
        <f t="shared" si="2"/>
        <v>-</v>
      </c>
      <c r="M53" s="199" t="str">
        <f t="shared" si="3"/>
        <v>-</v>
      </c>
      <c r="N53" s="199" t="str">
        <f t="shared" si="4"/>
        <v>-</v>
      </c>
      <c r="O53" s="199" t="str">
        <f t="shared" si="5"/>
        <v>-</v>
      </c>
      <c r="P53" s="214"/>
    </row>
    <row r="54" spans="1:16" x14ac:dyDescent="0.3">
      <c r="A54" s="261"/>
      <c r="B54" s="192" t="s">
        <v>1</v>
      </c>
      <c r="C54" s="21" t="s">
        <v>670</v>
      </c>
      <c r="D54" s="203">
        <v>0</v>
      </c>
      <c r="E54" s="203">
        <v>0</v>
      </c>
      <c r="F54" s="158">
        <v>0</v>
      </c>
      <c r="G54" s="158">
        <v>0</v>
      </c>
      <c r="H54" s="158">
        <v>0</v>
      </c>
      <c r="I54" s="54">
        <f t="shared" si="0"/>
        <v>0</v>
      </c>
      <c r="J54" s="54"/>
      <c r="K54" s="198">
        <f t="shared" si="1"/>
        <v>0</v>
      </c>
      <c r="L54" s="199" t="str">
        <f t="shared" si="2"/>
        <v>-</v>
      </c>
      <c r="M54" s="199" t="str">
        <f t="shared" si="3"/>
        <v>-</v>
      </c>
      <c r="N54" s="199" t="str">
        <f t="shared" si="4"/>
        <v>-</v>
      </c>
      <c r="O54" s="199" t="str">
        <f t="shared" si="5"/>
        <v>-</v>
      </c>
      <c r="P54" s="173"/>
    </row>
    <row r="55" spans="1:16" x14ac:dyDescent="0.3">
      <c r="A55" s="261"/>
      <c r="B55" s="192" t="s">
        <v>2</v>
      </c>
      <c r="C55" s="21" t="s">
        <v>670</v>
      </c>
      <c r="D55" s="203">
        <v>0</v>
      </c>
      <c r="E55" s="203">
        <v>0</v>
      </c>
      <c r="F55" s="158">
        <v>0</v>
      </c>
      <c r="G55" s="158">
        <v>0</v>
      </c>
      <c r="H55" s="158">
        <v>0</v>
      </c>
      <c r="I55" s="54">
        <f t="shared" si="0"/>
        <v>0</v>
      </c>
      <c r="J55" s="54"/>
      <c r="K55" s="198">
        <f t="shared" si="1"/>
        <v>0</v>
      </c>
      <c r="L55" s="199" t="str">
        <f t="shared" si="2"/>
        <v>-</v>
      </c>
      <c r="M55" s="199" t="str">
        <f t="shared" si="3"/>
        <v>-</v>
      </c>
      <c r="N55" s="199" t="str">
        <f t="shared" si="4"/>
        <v>-</v>
      </c>
      <c r="O55" s="199" t="str">
        <f t="shared" si="5"/>
        <v>-</v>
      </c>
      <c r="P55" s="173"/>
    </row>
    <row r="56" spans="1:16" ht="15.75" customHeight="1" x14ac:dyDescent="0.3">
      <c r="A56" s="261">
        <v>12</v>
      </c>
      <c r="B56" s="36" t="s">
        <v>563</v>
      </c>
      <c r="C56" s="21"/>
      <c r="D56" s="203">
        <v>0</v>
      </c>
      <c r="E56" s="203">
        <v>0</v>
      </c>
      <c r="F56" s="158">
        <v>0</v>
      </c>
      <c r="G56" s="158">
        <v>0</v>
      </c>
      <c r="H56" s="158">
        <v>0</v>
      </c>
      <c r="I56" s="54">
        <f t="shared" si="0"/>
        <v>0</v>
      </c>
      <c r="J56" s="54"/>
      <c r="K56" s="198">
        <f t="shared" si="1"/>
        <v>0</v>
      </c>
      <c r="L56" s="199" t="str">
        <f t="shared" si="2"/>
        <v>-</v>
      </c>
      <c r="M56" s="199" t="str">
        <f t="shared" si="3"/>
        <v>-</v>
      </c>
      <c r="N56" s="199" t="str">
        <f t="shared" si="4"/>
        <v>-</v>
      </c>
      <c r="O56" s="199" t="str">
        <f t="shared" si="5"/>
        <v>-</v>
      </c>
      <c r="P56" s="214"/>
    </row>
    <row r="57" spans="1:16" x14ac:dyDescent="0.3">
      <c r="A57" s="261"/>
      <c r="B57" s="192" t="s">
        <v>1</v>
      </c>
      <c r="C57" s="21" t="s">
        <v>671</v>
      </c>
      <c r="D57" s="203">
        <v>0</v>
      </c>
      <c r="E57" s="203">
        <v>0</v>
      </c>
      <c r="F57" s="158">
        <v>0</v>
      </c>
      <c r="G57" s="158">
        <v>0</v>
      </c>
      <c r="H57" s="158">
        <v>0</v>
      </c>
      <c r="I57" s="54">
        <f t="shared" si="0"/>
        <v>0</v>
      </c>
      <c r="J57" s="54"/>
      <c r="K57" s="198">
        <f t="shared" si="1"/>
        <v>0</v>
      </c>
      <c r="L57" s="199" t="str">
        <f t="shared" si="2"/>
        <v>-</v>
      </c>
      <c r="M57" s="199" t="str">
        <f t="shared" si="3"/>
        <v>-</v>
      </c>
      <c r="N57" s="199" t="str">
        <f t="shared" si="4"/>
        <v>-</v>
      </c>
      <c r="O57" s="199" t="str">
        <f t="shared" si="5"/>
        <v>-</v>
      </c>
      <c r="P57" s="173"/>
    </row>
    <row r="58" spans="1:16" ht="15.75" customHeight="1" x14ac:dyDescent="0.3">
      <c r="A58" s="261">
        <v>13</v>
      </c>
      <c r="B58" s="36" t="s">
        <v>565</v>
      </c>
      <c r="C58" s="21"/>
      <c r="D58" s="203">
        <v>0</v>
      </c>
      <c r="E58" s="203">
        <v>0</v>
      </c>
      <c r="F58" s="158">
        <v>0</v>
      </c>
      <c r="G58" s="158">
        <v>0</v>
      </c>
      <c r="H58" s="158">
        <v>0</v>
      </c>
      <c r="I58" s="54">
        <f t="shared" si="0"/>
        <v>0</v>
      </c>
      <c r="J58" s="54"/>
      <c r="K58" s="198">
        <f t="shared" si="1"/>
        <v>0</v>
      </c>
      <c r="L58" s="199" t="str">
        <f t="shared" si="2"/>
        <v>-</v>
      </c>
      <c r="M58" s="199" t="str">
        <f t="shared" si="3"/>
        <v>-</v>
      </c>
      <c r="N58" s="199" t="str">
        <f t="shared" si="4"/>
        <v>-</v>
      </c>
      <c r="O58" s="199" t="str">
        <f t="shared" si="5"/>
        <v>-</v>
      </c>
      <c r="P58" s="214"/>
    </row>
    <row r="59" spans="1:16" x14ac:dyDescent="0.3">
      <c r="A59" s="261"/>
      <c r="B59" s="192" t="s">
        <v>1</v>
      </c>
      <c r="C59" s="21" t="s">
        <v>672</v>
      </c>
      <c r="D59" s="203">
        <v>0</v>
      </c>
      <c r="E59" s="203">
        <v>0</v>
      </c>
      <c r="F59" s="158">
        <v>0</v>
      </c>
      <c r="G59" s="158">
        <v>0</v>
      </c>
      <c r="H59" s="158">
        <v>0</v>
      </c>
      <c r="I59" s="54">
        <f t="shared" si="0"/>
        <v>0</v>
      </c>
      <c r="J59" s="54"/>
      <c r="K59" s="198">
        <f t="shared" si="1"/>
        <v>0</v>
      </c>
      <c r="L59" s="199" t="str">
        <f t="shared" si="2"/>
        <v>-</v>
      </c>
      <c r="M59" s="199" t="str">
        <f t="shared" si="3"/>
        <v>-</v>
      </c>
      <c r="N59" s="199" t="str">
        <f t="shared" si="4"/>
        <v>-</v>
      </c>
      <c r="O59" s="199" t="str">
        <f t="shared" si="5"/>
        <v>-</v>
      </c>
      <c r="P59" s="173"/>
    </row>
    <row r="60" spans="1:16" x14ac:dyDescent="0.3">
      <c r="A60" s="261"/>
      <c r="B60" s="192" t="s">
        <v>2</v>
      </c>
      <c r="C60" s="21" t="s">
        <v>673</v>
      </c>
      <c r="D60" s="203">
        <v>0</v>
      </c>
      <c r="E60" s="203">
        <v>0</v>
      </c>
      <c r="F60" s="158">
        <v>0</v>
      </c>
      <c r="G60" s="158">
        <v>0</v>
      </c>
      <c r="H60" s="158">
        <v>0</v>
      </c>
      <c r="I60" s="54">
        <f t="shared" si="0"/>
        <v>0</v>
      </c>
      <c r="J60" s="54"/>
      <c r="K60" s="198">
        <f t="shared" si="1"/>
        <v>0</v>
      </c>
      <c r="L60" s="199" t="str">
        <f t="shared" si="2"/>
        <v>-</v>
      </c>
      <c r="M60" s="199" t="str">
        <f t="shared" si="3"/>
        <v>-</v>
      </c>
      <c r="N60" s="199" t="str">
        <f t="shared" si="4"/>
        <v>-</v>
      </c>
      <c r="O60" s="199" t="str">
        <f t="shared" si="5"/>
        <v>-</v>
      </c>
      <c r="P60" s="173"/>
    </row>
    <row r="61" spans="1:16" ht="15.75" customHeight="1" x14ac:dyDescent="0.3">
      <c r="A61" s="261">
        <v>14</v>
      </c>
      <c r="B61" s="36" t="s">
        <v>566</v>
      </c>
      <c r="C61" s="21"/>
      <c r="D61" s="203">
        <v>0</v>
      </c>
      <c r="E61" s="203">
        <v>0</v>
      </c>
      <c r="F61" s="158">
        <v>0</v>
      </c>
      <c r="G61" s="158">
        <v>0</v>
      </c>
      <c r="H61" s="158">
        <v>0</v>
      </c>
      <c r="I61" s="54">
        <f t="shared" si="0"/>
        <v>0</v>
      </c>
      <c r="J61" s="54"/>
      <c r="K61" s="198">
        <f t="shared" si="1"/>
        <v>0</v>
      </c>
      <c r="L61" s="199" t="str">
        <f t="shared" si="2"/>
        <v>-</v>
      </c>
      <c r="M61" s="199" t="str">
        <f t="shared" si="3"/>
        <v>-</v>
      </c>
      <c r="N61" s="199" t="str">
        <f t="shared" si="4"/>
        <v>-</v>
      </c>
      <c r="O61" s="199" t="str">
        <f t="shared" si="5"/>
        <v>-</v>
      </c>
      <c r="P61" s="173"/>
    </row>
    <row r="62" spans="1:16" x14ac:dyDescent="0.3">
      <c r="A62" s="261"/>
      <c r="B62" s="192" t="s">
        <v>1</v>
      </c>
      <c r="C62" s="21" t="s">
        <v>674</v>
      </c>
      <c r="D62" s="203">
        <v>0</v>
      </c>
      <c r="E62" s="203">
        <v>0</v>
      </c>
      <c r="F62" s="158">
        <v>0</v>
      </c>
      <c r="G62" s="158">
        <v>0</v>
      </c>
      <c r="H62" s="158">
        <v>0</v>
      </c>
      <c r="I62" s="54">
        <f t="shared" si="0"/>
        <v>0</v>
      </c>
      <c r="J62" s="54"/>
      <c r="K62" s="198">
        <f t="shared" si="1"/>
        <v>0</v>
      </c>
      <c r="L62" s="199" t="str">
        <f t="shared" si="2"/>
        <v>-</v>
      </c>
      <c r="M62" s="199" t="str">
        <f t="shared" si="3"/>
        <v>-</v>
      </c>
      <c r="N62" s="199" t="str">
        <f t="shared" si="4"/>
        <v>-</v>
      </c>
      <c r="O62" s="199" t="str">
        <f t="shared" si="5"/>
        <v>-</v>
      </c>
      <c r="P62" s="173"/>
    </row>
    <row r="63" spans="1:16" x14ac:dyDescent="0.3">
      <c r="A63" s="261"/>
      <c r="B63" s="192" t="s">
        <v>2</v>
      </c>
      <c r="C63" s="21" t="s">
        <v>675</v>
      </c>
      <c r="D63" s="203">
        <v>0</v>
      </c>
      <c r="E63" s="203">
        <v>0</v>
      </c>
      <c r="F63" s="158">
        <v>0</v>
      </c>
      <c r="G63" s="158">
        <v>0</v>
      </c>
      <c r="H63" s="158">
        <v>0</v>
      </c>
      <c r="I63" s="54">
        <f t="shared" si="0"/>
        <v>0</v>
      </c>
      <c r="J63" s="54"/>
      <c r="K63" s="198">
        <f t="shared" si="1"/>
        <v>0</v>
      </c>
      <c r="L63" s="199" t="str">
        <f t="shared" si="2"/>
        <v>-</v>
      </c>
      <c r="M63" s="199" t="str">
        <f t="shared" si="3"/>
        <v>-</v>
      </c>
      <c r="N63" s="199" t="str">
        <f t="shared" si="4"/>
        <v>-</v>
      </c>
      <c r="O63" s="199" t="str">
        <f t="shared" si="5"/>
        <v>-</v>
      </c>
      <c r="P63" s="173"/>
    </row>
    <row r="64" spans="1:16" ht="15.75" customHeight="1" x14ac:dyDescent="0.3">
      <c r="A64" s="261">
        <v>15</v>
      </c>
      <c r="B64" s="36" t="s">
        <v>567</v>
      </c>
      <c r="C64" s="21"/>
      <c r="D64" s="203">
        <v>0</v>
      </c>
      <c r="E64" s="203">
        <v>0</v>
      </c>
      <c r="F64" s="158">
        <v>0</v>
      </c>
      <c r="G64" s="158">
        <v>0</v>
      </c>
      <c r="H64" s="158">
        <v>0</v>
      </c>
      <c r="I64" s="54">
        <f t="shared" si="0"/>
        <v>0</v>
      </c>
      <c r="J64" s="54"/>
      <c r="K64" s="198">
        <f t="shared" si="1"/>
        <v>0</v>
      </c>
      <c r="L64" s="199" t="str">
        <f t="shared" si="2"/>
        <v>-</v>
      </c>
      <c r="M64" s="199" t="str">
        <f t="shared" si="3"/>
        <v>-</v>
      </c>
      <c r="N64" s="199" t="str">
        <f t="shared" si="4"/>
        <v>-</v>
      </c>
      <c r="O64" s="199" t="str">
        <f t="shared" si="5"/>
        <v>-</v>
      </c>
      <c r="P64" s="214"/>
    </row>
    <row r="65" spans="1:45" x14ac:dyDescent="0.3">
      <c r="A65" s="261"/>
      <c r="B65" s="192" t="s">
        <v>1</v>
      </c>
      <c r="C65" s="21" t="s">
        <v>676</v>
      </c>
      <c r="D65" s="203">
        <v>0</v>
      </c>
      <c r="E65" s="203">
        <v>0</v>
      </c>
      <c r="F65" s="158">
        <v>0</v>
      </c>
      <c r="G65" s="158">
        <v>0</v>
      </c>
      <c r="H65" s="158">
        <v>0</v>
      </c>
      <c r="I65" s="54">
        <f t="shared" si="0"/>
        <v>0</v>
      </c>
      <c r="J65" s="54"/>
      <c r="K65" s="198">
        <f t="shared" si="1"/>
        <v>0</v>
      </c>
      <c r="L65" s="199" t="str">
        <f t="shared" si="2"/>
        <v>-</v>
      </c>
      <c r="M65" s="199" t="str">
        <f t="shared" si="3"/>
        <v>-</v>
      </c>
      <c r="N65" s="199" t="str">
        <f t="shared" si="4"/>
        <v>-</v>
      </c>
      <c r="O65" s="199" t="str">
        <f t="shared" si="5"/>
        <v>-</v>
      </c>
      <c r="P65" s="173"/>
    </row>
    <row r="66" spans="1:45" x14ac:dyDescent="0.3">
      <c r="A66" s="261"/>
      <c r="B66" s="192" t="s">
        <v>2</v>
      </c>
      <c r="C66" s="21" t="s">
        <v>677</v>
      </c>
      <c r="D66" s="203">
        <v>0</v>
      </c>
      <c r="E66" s="203">
        <v>0</v>
      </c>
      <c r="F66" s="158">
        <v>0</v>
      </c>
      <c r="G66" s="158">
        <v>0</v>
      </c>
      <c r="H66" s="158">
        <v>0</v>
      </c>
      <c r="I66" s="54">
        <f t="shared" si="0"/>
        <v>0</v>
      </c>
      <c r="J66" s="54"/>
      <c r="K66" s="198">
        <f t="shared" si="1"/>
        <v>0</v>
      </c>
      <c r="L66" s="199" t="str">
        <f t="shared" si="2"/>
        <v>-</v>
      </c>
      <c r="M66" s="199" t="str">
        <f t="shared" si="3"/>
        <v>-</v>
      </c>
      <c r="N66" s="199" t="str">
        <f t="shared" si="4"/>
        <v>-</v>
      </c>
      <c r="O66" s="199" t="str">
        <f t="shared" si="5"/>
        <v>-</v>
      </c>
      <c r="P66" s="173"/>
    </row>
    <row r="67" spans="1:45" s="208" customFormat="1" ht="15" customHeight="1" x14ac:dyDescent="0.3">
      <c r="A67" s="205" t="s">
        <v>678</v>
      </c>
      <c r="B67" s="206"/>
      <c r="C67" s="205"/>
      <c r="D67" s="203">
        <v>0</v>
      </c>
      <c r="E67" s="203">
        <v>0</v>
      </c>
      <c r="F67" s="158">
        <v>0</v>
      </c>
      <c r="G67" s="158">
        <v>0</v>
      </c>
      <c r="H67" s="158">
        <v>0</v>
      </c>
      <c r="I67" s="54">
        <f t="shared" si="0"/>
        <v>0</v>
      </c>
      <c r="J67" s="54"/>
      <c r="K67" s="198">
        <f t="shared" si="1"/>
        <v>0</v>
      </c>
      <c r="L67" s="199"/>
      <c r="M67" s="199"/>
      <c r="N67" s="199"/>
      <c r="O67" s="199"/>
      <c r="P67" s="196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07"/>
      <c r="AK67" s="207"/>
      <c r="AL67" s="207"/>
      <c r="AM67" s="207"/>
      <c r="AN67" s="207"/>
      <c r="AO67" s="207"/>
      <c r="AP67" s="207"/>
      <c r="AQ67" s="207"/>
      <c r="AR67" s="207"/>
      <c r="AS67" s="207"/>
    </row>
    <row r="68" spans="1:45" s="202" customFormat="1" ht="20.25" customHeight="1" x14ac:dyDescent="0.3">
      <c r="A68" s="1">
        <v>16</v>
      </c>
      <c r="B68" s="263" t="s">
        <v>568</v>
      </c>
      <c r="C68" s="263"/>
      <c r="D68" s="158">
        <v>0</v>
      </c>
      <c r="E68" s="158">
        <v>4</v>
      </c>
      <c r="F68" s="158">
        <v>0</v>
      </c>
      <c r="G68" s="158">
        <v>0</v>
      </c>
      <c r="H68" s="158">
        <v>4</v>
      </c>
      <c r="I68" s="54">
        <f t="shared" si="0"/>
        <v>4</v>
      </c>
      <c r="J68" s="54"/>
      <c r="K68" s="198">
        <f t="shared" si="1"/>
        <v>0</v>
      </c>
      <c r="L68" s="199">
        <f t="shared" si="2"/>
        <v>1</v>
      </c>
      <c r="M68" s="199">
        <f t="shared" si="3"/>
        <v>0</v>
      </c>
      <c r="N68" s="199">
        <f t="shared" si="4"/>
        <v>0</v>
      </c>
      <c r="O68" s="199">
        <f t="shared" si="5"/>
        <v>0</v>
      </c>
      <c r="P68" s="42" t="s">
        <v>679</v>
      </c>
      <c r="Q68" s="201"/>
      <c r="R68" s="201" t="s">
        <v>510</v>
      </c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  <c r="AP68" s="201"/>
      <c r="AQ68" s="201"/>
      <c r="AR68" s="201"/>
      <c r="AS68" s="201"/>
    </row>
    <row r="69" spans="1:45" s="202" customFormat="1" ht="30.75" customHeight="1" x14ac:dyDescent="0.3">
      <c r="A69" s="1">
        <v>17</v>
      </c>
      <c r="B69" s="263" t="s">
        <v>570</v>
      </c>
      <c r="C69" s="263"/>
      <c r="D69" s="158">
        <v>263</v>
      </c>
      <c r="E69" s="158">
        <v>226</v>
      </c>
      <c r="F69" s="158">
        <v>3</v>
      </c>
      <c r="G69" s="158">
        <v>0</v>
      </c>
      <c r="H69" s="158">
        <v>1</v>
      </c>
      <c r="I69" s="54">
        <f t="shared" si="0"/>
        <v>4</v>
      </c>
      <c r="J69" s="54"/>
      <c r="K69" s="198">
        <f t="shared" si="1"/>
        <v>222</v>
      </c>
      <c r="L69" s="199">
        <f t="shared" si="2"/>
        <v>1.7699115044247787E-2</v>
      </c>
      <c r="M69" s="199">
        <f t="shared" si="3"/>
        <v>0</v>
      </c>
      <c r="N69" s="199">
        <f t="shared" si="4"/>
        <v>0.98230088495575218</v>
      </c>
      <c r="O69" s="199">
        <f t="shared" si="5"/>
        <v>0.98230088495575218</v>
      </c>
      <c r="P69" s="42" t="s">
        <v>680</v>
      </c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</row>
    <row r="70" spans="1:45" ht="36.75" customHeight="1" x14ac:dyDescent="0.3">
      <c r="A70" s="1">
        <v>18</v>
      </c>
      <c r="B70" s="263" t="s">
        <v>571</v>
      </c>
      <c r="C70" s="263"/>
      <c r="D70" s="158">
        <v>35</v>
      </c>
      <c r="E70" s="158">
        <v>197</v>
      </c>
      <c r="F70" s="158">
        <v>8</v>
      </c>
      <c r="G70" s="158">
        <v>0</v>
      </c>
      <c r="H70" s="158">
        <v>0</v>
      </c>
      <c r="I70" s="54">
        <f t="shared" ref="I70:I133" si="6">SUM(F70:H70)</f>
        <v>8</v>
      </c>
      <c r="J70" s="54"/>
      <c r="K70" s="198">
        <f t="shared" ref="K70:K133" si="7">SUM(E70-(I70+J70))</f>
        <v>189</v>
      </c>
      <c r="L70" s="199">
        <f t="shared" ref="L70:L133" si="8">IF(E70=0,"-",(I70/E70))</f>
        <v>4.060913705583756E-2</v>
      </c>
      <c r="M70" s="199">
        <f t="shared" ref="M70:M133" si="9">IF(E70=0,"-",(J70/E70))</f>
        <v>0</v>
      </c>
      <c r="N70" s="199">
        <f t="shared" ref="N70:N133" si="10">IF(E70=0,"-",(K70/E70))</f>
        <v>0.95939086294416243</v>
      </c>
      <c r="O70" s="199">
        <f t="shared" ref="O70:O133" si="11">IF(E70=0,"-",(M70+N70))</f>
        <v>0.95939086294416243</v>
      </c>
      <c r="P70" s="143" t="s">
        <v>681</v>
      </c>
    </row>
    <row r="71" spans="1:45" x14ac:dyDescent="0.3">
      <c r="A71" s="1">
        <v>19</v>
      </c>
      <c r="B71" s="263" t="s">
        <v>572</v>
      </c>
      <c r="C71" s="263"/>
      <c r="D71" s="158">
        <v>24</v>
      </c>
      <c r="E71" s="158">
        <v>126</v>
      </c>
      <c r="F71" s="158">
        <v>2</v>
      </c>
      <c r="G71" s="158">
        <v>0</v>
      </c>
      <c r="H71" s="158">
        <v>0</v>
      </c>
      <c r="I71" s="54">
        <f t="shared" si="6"/>
        <v>2</v>
      </c>
      <c r="J71" s="54"/>
      <c r="K71" s="198">
        <f t="shared" si="7"/>
        <v>124</v>
      </c>
      <c r="L71" s="199">
        <f t="shared" si="8"/>
        <v>1.5873015873015872E-2</v>
      </c>
      <c r="M71" s="199">
        <f t="shared" si="9"/>
        <v>0</v>
      </c>
      <c r="N71" s="199">
        <f t="shared" si="10"/>
        <v>0.98412698412698407</v>
      </c>
      <c r="O71" s="199">
        <f t="shared" si="11"/>
        <v>0.98412698412698407</v>
      </c>
      <c r="P71" s="166" t="s">
        <v>682</v>
      </c>
    </row>
    <row r="72" spans="1:45" ht="37.5" customHeight="1" x14ac:dyDescent="0.3">
      <c r="A72" s="1">
        <v>20</v>
      </c>
      <c r="B72" s="263" t="s">
        <v>573</v>
      </c>
      <c r="C72" s="263"/>
      <c r="D72" s="158">
        <v>99</v>
      </c>
      <c r="E72" s="158">
        <v>134</v>
      </c>
      <c r="F72" s="158">
        <v>2</v>
      </c>
      <c r="G72" s="158">
        <v>0</v>
      </c>
      <c r="H72" s="158">
        <v>0</v>
      </c>
      <c r="I72" s="54">
        <f t="shared" si="6"/>
        <v>2</v>
      </c>
      <c r="J72" s="54"/>
      <c r="K72" s="198">
        <f t="shared" si="7"/>
        <v>132</v>
      </c>
      <c r="L72" s="199">
        <f t="shared" si="8"/>
        <v>1.4925373134328358E-2</v>
      </c>
      <c r="M72" s="199">
        <f t="shared" si="9"/>
        <v>0</v>
      </c>
      <c r="N72" s="199">
        <f t="shared" si="10"/>
        <v>0.9850746268656716</v>
      </c>
      <c r="O72" s="199">
        <f t="shared" si="11"/>
        <v>0.9850746268656716</v>
      </c>
      <c r="P72" s="59" t="s">
        <v>682</v>
      </c>
    </row>
    <row r="73" spans="1:45" x14ac:dyDescent="0.3">
      <c r="A73" s="54">
        <v>21</v>
      </c>
      <c r="B73" s="263" t="s">
        <v>574</v>
      </c>
      <c r="C73" s="263"/>
      <c r="D73" s="158">
        <v>101</v>
      </c>
      <c r="E73" s="158">
        <v>90</v>
      </c>
      <c r="F73" s="158">
        <v>11</v>
      </c>
      <c r="G73" s="158">
        <v>0</v>
      </c>
      <c r="H73" s="158">
        <v>0</v>
      </c>
      <c r="I73" s="54">
        <f t="shared" si="6"/>
        <v>11</v>
      </c>
      <c r="J73" s="54"/>
      <c r="K73" s="198">
        <f t="shared" si="7"/>
        <v>79</v>
      </c>
      <c r="L73" s="199">
        <f t="shared" si="8"/>
        <v>0.12222222222222222</v>
      </c>
      <c r="M73" s="199">
        <f t="shared" si="9"/>
        <v>0</v>
      </c>
      <c r="N73" s="199">
        <f t="shared" si="10"/>
        <v>0.87777777777777777</v>
      </c>
      <c r="O73" s="199">
        <f t="shared" si="11"/>
        <v>0.87777777777777777</v>
      </c>
      <c r="P73" s="47" t="s">
        <v>683</v>
      </c>
    </row>
    <row r="74" spans="1:45" s="202" customFormat="1" ht="20.25" customHeight="1" x14ac:dyDescent="0.3">
      <c r="A74" s="1">
        <v>22</v>
      </c>
      <c r="B74" s="263" t="s">
        <v>576</v>
      </c>
      <c r="C74" s="263"/>
      <c r="D74" s="158">
        <v>10</v>
      </c>
      <c r="E74" s="158">
        <v>8</v>
      </c>
      <c r="F74" s="158">
        <v>1</v>
      </c>
      <c r="G74" s="158">
        <v>0</v>
      </c>
      <c r="H74" s="158">
        <v>0</v>
      </c>
      <c r="I74" s="54">
        <f t="shared" si="6"/>
        <v>1</v>
      </c>
      <c r="J74" s="54"/>
      <c r="K74" s="198">
        <f t="shared" si="7"/>
        <v>7</v>
      </c>
      <c r="L74" s="199">
        <f t="shared" si="8"/>
        <v>0.125</v>
      </c>
      <c r="M74" s="199">
        <f t="shared" si="9"/>
        <v>0</v>
      </c>
      <c r="N74" s="199">
        <f t="shared" si="10"/>
        <v>0.875</v>
      </c>
      <c r="O74" s="199">
        <f t="shared" si="11"/>
        <v>0.875</v>
      </c>
      <c r="P74" s="47" t="s">
        <v>684</v>
      </c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</row>
    <row r="75" spans="1:45" ht="20.25" customHeight="1" x14ac:dyDescent="0.3">
      <c r="A75" s="54">
        <v>23</v>
      </c>
      <c r="B75" s="263" t="s">
        <v>577</v>
      </c>
      <c r="C75" s="263"/>
      <c r="D75" s="158">
        <v>2</v>
      </c>
      <c r="E75" s="158">
        <v>3</v>
      </c>
      <c r="F75" s="158">
        <v>0</v>
      </c>
      <c r="G75" s="158">
        <v>0</v>
      </c>
      <c r="H75" s="158">
        <v>0</v>
      </c>
      <c r="I75" s="54">
        <f t="shared" si="6"/>
        <v>0</v>
      </c>
      <c r="J75" s="54"/>
      <c r="K75" s="198">
        <f t="shared" si="7"/>
        <v>3</v>
      </c>
      <c r="L75" s="199">
        <f t="shared" si="8"/>
        <v>0</v>
      </c>
      <c r="M75" s="199">
        <f t="shared" si="9"/>
        <v>0</v>
      </c>
      <c r="N75" s="199">
        <f t="shared" si="10"/>
        <v>1</v>
      </c>
      <c r="O75" s="199">
        <f t="shared" si="11"/>
        <v>1</v>
      </c>
      <c r="P75" s="173"/>
    </row>
    <row r="76" spans="1:45" s="202" customFormat="1" x14ac:dyDescent="0.3">
      <c r="A76" s="1">
        <v>24</v>
      </c>
      <c r="B76" s="263" t="s">
        <v>578</v>
      </c>
      <c r="C76" s="263"/>
      <c r="D76" s="158">
        <v>0</v>
      </c>
      <c r="E76" s="158">
        <v>0</v>
      </c>
      <c r="F76" s="158">
        <v>0</v>
      </c>
      <c r="G76" s="158">
        <v>0</v>
      </c>
      <c r="H76" s="158">
        <v>0</v>
      </c>
      <c r="I76" s="54">
        <f t="shared" si="6"/>
        <v>0</v>
      </c>
      <c r="J76" s="54"/>
      <c r="K76" s="198">
        <f t="shared" si="7"/>
        <v>0</v>
      </c>
      <c r="L76" s="199" t="str">
        <f t="shared" si="8"/>
        <v>-</v>
      </c>
      <c r="M76" s="199" t="str">
        <f t="shared" si="9"/>
        <v>-</v>
      </c>
      <c r="N76" s="199" t="str">
        <f t="shared" si="10"/>
        <v>-</v>
      </c>
      <c r="O76" s="199" t="str">
        <f t="shared" si="11"/>
        <v>-</v>
      </c>
      <c r="P76" s="42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  <c r="AQ76" s="201"/>
      <c r="AR76" s="201"/>
      <c r="AS76" s="201"/>
    </row>
    <row r="77" spans="1:45" s="202" customFormat="1" ht="33.75" customHeight="1" x14ac:dyDescent="0.3">
      <c r="A77" s="1">
        <v>25</v>
      </c>
      <c r="B77" s="263" t="s">
        <v>580</v>
      </c>
      <c r="C77" s="263"/>
      <c r="D77" s="158">
        <v>0</v>
      </c>
      <c r="E77" s="158">
        <v>0</v>
      </c>
      <c r="F77" s="158">
        <v>0</v>
      </c>
      <c r="G77" s="158">
        <v>0</v>
      </c>
      <c r="H77" s="158">
        <v>0</v>
      </c>
      <c r="I77" s="54">
        <f t="shared" si="6"/>
        <v>0</v>
      </c>
      <c r="J77" s="54"/>
      <c r="K77" s="198">
        <f t="shared" si="7"/>
        <v>0</v>
      </c>
      <c r="L77" s="199" t="str">
        <f t="shared" si="8"/>
        <v>-</v>
      </c>
      <c r="M77" s="199" t="str">
        <f t="shared" si="9"/>
        <v>-</v>
      </c>
      <c r="N77" s="199" t="str">
        <f t="shared" si="10"/>
        <v>-</v>
      </c>
      <c r="O77" s="199" t="str">
        <f t="shared" si="11"/>
        <v>-</v>
      </c>
      <c r="P77" s="59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1"/>
      <c r="AM77" s="201"/>
      <c r="AN77" s="201"/>
      <c r="AO77" s="201"/>
      <c r="AP77" s="201"/>
      <c r="AQ77" s="201"/>
      <c r="AR77" s="201"/>
      <c r="AS77" s="201"/>
    </row>
    <row r="78" spans="1:45" ht="15.75" customHeight="1" x14ac:dyDescent="0.3">
      <c r="A78" s="54">
        <v>26</v>
      </c>
      <c r="B78" s="263" t="s">
        <v>582</v>
      </c>
      <c r="C78" s="263"/>
      <c r="D78" s="158">
        <v>18</v>
      </c>
      <c r="E78" s="158">
        <v>9</v>
      </c>
      <c r="F78" s="158">
        <v>0</v>
      </c>
      <c r="G78" s="158">
        <v>0</v>
      </c>
      <c r="H78" s="158">
        <v>0</v>
      </c>
      <c r="I78" s="54">
        <f t="shared" si="6"/>
        <v>0</v>
      </c>
      <c r="J78" s="54"/>
      <c r="K78" s="198">
        <f t="shared" si="7"/>
        <v>9</v>
      </c>
      <c r="L78" s="199">
        <f t="shared" si="8"/>
        <v>0</v>
      </c>
      <c r="M78" s="199">
        <f t="shared" si="9"/>
        <v>0</v>
      </c>
      <c r="N78" s="199">
        <f t="shared" si="10"/>
        <v>1</v>
      </c>
      <c r="O78" s="199">
        <f t="shared" si="11"/>
        <v>1</v>
      </c>
      <c r="P78" s="173"/>
    </row>
    <row r="79" spans="1:45" s="202" customFormat="1" x14ac:dyDescent="0.3">
      <c r="A79" s="1">
        <v>27</v>
      </c>
      <c r="B79" s="263" t="s">
        <v>584</v>
      </c>
      <c r="C79" s="263"/>
      <c r="D79" s="158">
        <v>92</v>
      </c>
      <c r="E79" s="158">
        <v>30</v>
      </c>
      <c r="F79" s="158">
        <v>1</v>
      </c>
      <c r="G79" s="158">
        <v>0</v>
      </c>
      <c r="H79" s="158">
        <v>0</v>
      </c>
      <c r="I79" s="54">
        <f t="shared" si="6"/>
        <v>1</v>
      </c>
      <c r="J79" s="54"/>
      <c r="K79" s="198">
        <f t="shared" si="7"/>
        <v>29</v>
      </c>
      <c r="L79" s="199">
        <f t="shared" si="8"/>
        <v>3.3333333333333333E-2</v>
      </c>
      <c r="M79" s="199">
        <f t="shared" si="9"/>
        <v>0</v>
      </c>
      <c r="N79" s="199">
        <f t="shared" si="10"/>
        <v>0.96666666666666667</v>
      </c>
      <c r="O79" s="199">
        <f t="shared" si="11"/>
        <v>0.96666666666666667</v>
      </c>
      <c r="P79" s="217" t="s">
        <v>685</v>
      </c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1"/>
      <c r="AD79" s="201"/>
      <c r="AE79" s="201"/>
      <c r="AF79" s="201"/>
      <c r="AG79" s="201"/>
      <c r="AH79" s="201"/>
      <c r="AI79" s="201"/>
      <c r="AJ79" s="201"/>
      <c r="AK79" s="201"/>
      <c r="AL79" s="201"/>
      <c r="AM79" s="201"/>
      <c r="AN79" s="201"/>
      <c r="AO79" s="201"/>
      <c r="AP79" s="201"/>
      <c r="AQ79" s="201"/>
      <c r="AR79" s="201"/>
      <c r="AS79" s="201"/>
    </row>
    <row r="80" spans="1:45" s="208" customFormat="1" ht="14.25" customHeight="1" x14ac:dyDescent="0.3">
      <c r="A80" s="205" t="s">
        <v>686</v>
      </c>
      <c r="B80" s="206"/>
      <c r="C80" s="205"/>
      <c r="D80" s="205">
        <v>0</v>
      </c>
      <c r="E80" s="205">
        <v>0</v>
      </c>
      <c r="F80" s="205">
        <v>0</v>
      </c>
      <c r="G80" s="205">
        <v>0</v>
      </c>
      <c r="H80" s="205">
        <v>0</v>
      </c>
      <c r="I80" s="54"/>
      <c r="J80" s="54"/>
      <c r="K80" s="198"/>
      <c r="L80" s="199"/>
      <c r="M80" s="199"/>
      <c r="N80" s="199"/>
      <c r="O80" s="199"/>
      <c r="P80" s="205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7"/>
      <c r="AK80" s="207"/>
      <c r="AL80" s="207"/>
      <c r="AM80" s="207"/>
      <c r="AN80" s="207"/>
      <c r="AO80" s="207"/>
      <c r="AP80" s="207"/>
      <c r="AQ80" s="207"/>
      <c r="AR80" s="207"/>
      <c r="AS80" s="207"/>
    </row>
    <row r="81" spans="1:45" x14ac:dyDescent="0.3">
      <c r="A81" s="1">
        <v>28</v>
      </c>
      <c r="B81" s="263" t="s">
        <v>586</v>
      </c>
      <c r="C81" s="263"/>
      <c r="D81" s="158">
        <v>242</v>
      </c>
      <c r="E81" s="158">
        <v>297</v>
      </c>
      <c r="F81" s="158">
        <v>17</v>
      </c>
      <c r="G81" s="158">
        <v>0</v>
      </c>
      <c r="H81" s="158">
        <v>0</v>
      </c>
      <c r="I81" s="54">
        <f t="shared" si="6"/>
        <v>17</v>
      </c>
      <c r="J81" s="54"/>
      <c r="K81" s="198">
        <f t="shared" si="7"/>
        <v>280</v>
      </c>
      <c r="L81" s="199">
        <f t="shared" si="8"/>
        <v>5.7239057239057242E-2</v>
      </c>
      <c r="M81" s="199">
        <f t="shared" si="9"/>
        <v>0</v>
      </c>
      <c r="N81" s="199">
        <f t="shared" si="10"/>
        <v>0.9427609427609428</v>
      </c>
      <c r="O81" s="199">
        <f t="shared" si="11"/>
        <v>0.9427609427609428</v>
      </c>
      <c r="P81" s="217" t="s">
        <v>687</v>
      </c>
    </row>
    <row r="82" spans="1:45" ht="15.75" customHeight="1" x14ac:dyDescent="0.3">
      <c r="A82" s="54">
        <v>29</v>
      </c>
      <c r="B82" s="263" t="s">
        <v>587</v>
      </c>
      <c r="C82" s="263"/>
      <c r="D82" s="158">
        <v>16</v>
      </c>
      <c r="E82" s="158">
        <v>11</v>
      </c>
      <c r="F82" s="158">
        <v>0</v>
      </c>
      <c r="G82" s="158">
        <v>5</v>
      </c>
      <c r="H82" s="158">
        <v>0</v>
      </c>
      <c r="I82" s="54">
        <f t="shared" si="6"/>
        <v>5</v>
      </c>
      <c r="J82" s="54"/>
      <c r="K82" s="198">
        <f t="shared" si="7"/>
        <v>6</v>
      </c>
      <c r="L82" s="199">
        <f t="shared" si="8"/>
        <v>0.45454545454545453</v>
      </c>
      <c r="M82" s="199">
        <f t="shared" si="9"/>
        <v>0</v>
      </c>
      <c r="N82" s="199">
        <f t="shared" si="10"/>
        <v>0.54545454545454541</v>
      </c>
      <c r="O82" s="199">
        <f t="shared" si="11"/>
        <v>0.54545454545454541</v>
      </c>
      <c r="P82" s="173" t="s">
        <v>688</v>
      </c>
    </row>
    <row r="83" spans="1:45" ht="15.75" customHeight="1" x14ac:dyDescent="0.3">
      <c r="A83" s="54">
        <v>30</v>
      </c>
      <c r="B83" s="263" t="s">
        <v>588</v>
      </c>
      <c r="C83" s="263"/>
      <c r="D83" s="158">
        <v>0</v>
      </c>
      <c r="E83" s="158">
        <v>0</v>
      </c>
      <c r="F83" s="158">
        <v>0</v>
      </c>
      <c r="G83" s="158">
        <v>0</v>
      </c>
      <c r="H83" s="158">
        <v>0</v>
      </c>
      <c r="I83" s="54">
        <f t="shared" si="6"/>
        <v>0</v>
      </c>
      <c r="J83" s="54"/>
      <c r="K83" s="198">
        <f t="shared" si="7"/>
        <v>0</v>
      </c>
      <c r="L83" s="199" t="str">
        <f t="shared" si="8"/>
        <v>-</v>
      </c>
      <c r="M83" s="199" t="str">
        <f t="shared" si="9"/>
        <v>-</v>
      </c>
      <c r="N83" s="199" t="str">
        <f t="shared" si="10"/>
        <v>-</v>
      </c>
      <c r="O83" s="199" t="str">
        <f t="shared" si="11"/>
        <v>-</v>
      </c>
      <c r="P83" s="173"/>
    </row>
    <row r="84" spans="1:45" x14ac:dyDescent="0.3">
      <c r="A84" s="54">
        <v>31</v>
      </c>
      <c r="B84" s="263" t="s">
        <v>589</v>
      </c>
      <c r="C84" s="263"/>
      <c r="D84" s="158">
        <v>44</v>
      </c>
      <c r="E84" s="158">
        <v>38</v>
      </c>
      <c r="F84" s="158">
        <v>0</v>
      </c>
      <c r="G84" s="158">
        <v>0</v>
      </c>
      <c r="H84" s="158">
        <v>2</v>
      </c>
      <c r="I84" s="54">
        <f t="shared" si="6"/>
        <v>2</v>
      </c>
      <c r="J84" s="54"/>
      <c r="K84" s="198">
        <f t="shared" si="7"/>
        <v>36</v>
      </c>
      <c r="L84" s="199">
        <f t="shared" si="8"/>
        <v>5.2631578947368418E-2</v>
      </c>
      <c r="M84" s="199">
        <f t="shared" si="9"/>
        <v>0</v>
      </c>
      <c r="N84" s="199">
        <f t="shared" si="10"/>
        <v>0.94736842105263153</v>
      </c>
      <c r="O84" s="199">
        <f t="shared" si="11"/>
        <v>0.94736842105263153</v>
      </c>
      <c r="P84" s="42" t="s">
        <v>689</v>
      </c>
    </row>
    <row r="85" spans="1:45" ht="21" customHeight="1" x14ac:dyDescent="0.3">
      <c r="A85" s="54">
        <v>32</v>
      </c>
      <c r="B85" s="264" t="s">
        <v>590</v>
      </c>
      <c r="C85" s="264"/>
      <c r="D85" s="158">
        <v>40</v>
      </c>
      <c r="E85" s="158">
        <v>54</v>
      </c>
      <c r="F85" s="158">
        <v>0</v>
      </c>
      <c r="G85" s="158">
        <v>0</v>
      </c>
      <c r="H85" s="158">
        <v>0</v>
      </c>
      <c r="I85" s="54">
        <f t="shared" si="6"/>
        <v>0</v>
      </c>
      <c r="J85" s="54"/>
      <c r="K85" s="198">
        <f t="shared" si="7"/>
        <v>54</v>
      </c>
      <c r="L85" s="199">
        <f t="shared" si="8"/>
        <v>0</v>
      </c>
      <c r="M85" s="199">
        <f t="shared" si="9"/>
        <v>0</v>
      </c>
      <c r="N85" s="199">
        <f t="shared" si="10"/>
        <v>1</v>
      </c>
      <c r="O85" s="199">
        <f t="shared" si="11"/>
        <v>1</v>
      </c>
      <c r="P85" s="217"/>
    </row>
    <row r="86" spans="1:45" ht="15.75" customHeight="1" x14ac:dyDescent="0.3">
      <c r="A86" s="54">
        <v>33</v>
      </c>
      <c r="B86" s="264" t="s">
        <v>591</v>
      </c>
      <c r="C86" s="264"/>
      <c r="D86" s="158">
        <v>0</v>
      </c>
      <c r="E86" s="158">
        <v>0</v>
      </c>
      <c r="F86" s="158">
        <v>0</v>
      </c>
      <c r="G86" s="158">
        <v>0</v>
      </c>
      <c r="H86" s="158">
        <v>0</v>
      </c>
      <c r="I86" s="54">
        <f t="shared" si="6"/>
        <v>0</v>
      </c>
      <c r="J86" s="54"/>
      <c r="K86" s="198">
        <f t="shared" si="7"/>
        <v>0</v>
      </c>
      <c r="L86" s="199" t="str">
        <f t="shared" si="8"/>
        <v>-</v>
      </c>
      <c r="M86" s="199" t="str">
        <f t="shared" si="9"/>
        <v>-</v>
      </c>
      <c r="N86" s="199" t="str">
        <f t="shared" si="10"/>
        <v>-</v>
      </c>
      <c r="O86" s="199" t="str">
        <f t="shared" si="11"/>
        <v>-</v>
      </c>
      <c r="P86" s="173"/>
    </row>
    <row r="87" spans="1:45" s="208" customFormat="1" ht="15" customHeight="1" x14ac:dyDescent="0.3">
      <c r="A87" s="205" t="s">
        <v>690</v>
      </c>
      <c r="B87" s="206"/>
      <c r="C87" s="205"/>
      <c r="D87" s="205">
        <v>0</v>
      </c>
      <c r="E87" s="205">
        <v>0</v>
      </c>
      <c r="F87" s="205">
        <v>0</v>
      </c>
      <c r="G87" s="205">
        <v>0</v>
      </c>
      <c r="H87" s="205">
        <v>0</v>
      </c>
      <c r="I87" s="54"/>
      <c r="J87" s="54"/>
      <c r="K87" s="198"/>
      <c r="L87" s="199"/>
      <c r="M87" s="199"/>
      <c r="N87" s="199"/>
      <c r="O87" s="199"/>
      <c r="P87" s="205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</row>
    <row r="88" spans="1:45" ht="24" customHeight="1" x14ac:dyDescent="0.3">
      <c r="A88" s="54">
        <v>34</v>
      </c>
      <c r="B88" s="265" t="s">
        <v>592</v>
      </c>
      <c r="C88" s="265"/>
      <c r="D88" s="158">
        <v>150</v>
      </c>
      <c r="E88" s="158">
        <v>225</v>
      </c>
      <c r="F88" s="158">
        <v>0</v>
      </c>
      <c r="G88" s="158">
        <v>0</v>
      </c>
      <c r="H88" s="158">
        <v>0</v>
      </c>
      <c r="I88" s="54">
        <f t="shared" si="6"/>
        <v>0</v>
      </c>
      <c r="J88" s="54"/>
      <c r="K88" s="198">
        <f t="shared" si="7"/>
        <v>225</v>
      </c>
      <c r="L88" s="199">
        <f t="shared" si="8"/>
        <v>0</v>
      </c>
      <c r="M88" s="199">
        <f t="shared" si="9"/>
        <v>0</v>
      </c>
      <c r="N88" s="199">
        <f t="shared" si="10"/>
        <v>1</v>
      </c>
      <c r="O88" s="199">
        <f t="shared" si="11"/>
        <v>1</v>
      </c>
      <c r="P88" s="42" t="s">
        <v>691</v>
      </c>
    </row>
    <row r="89" spans="1:45" x14ac:dyDescent="0.3">
      <c r="A89" s="54">
        <v>35</v>
      </c>
      <c r="B89" s="265" t="s">
        <v>594</v>
      </c>
      <c r="C89" s="265"/>
      <c r="D89" s="158">
        <v>451</v>
      </c>
      <c r="E89" s="158">
        <v>149</v>
      </c>
      <c r="F89" s="158">
        <v>0</v>
      </c>
      <c r="G89" s="158">
        <v>0</v>
      </c>
      <c r="H89" s="158">
        <v>0</v>
      </c>
      <c r="I89" s="54">
        <f t="shared" si="6"/>
        <v>0</v>
      </c>
      <c r="J89" s="54"/>
      <c r="K89" s="198">
        <f t="shared" si="7"/>
        <v>149</v>
      </c>
      <c r="L89" s="199">
        <f t="shared" si="8"/>
        <v>0</v>
      </c>
      <c r="M89" s="199">
        <f t="shared" si="9"/>
        <v>0</v>
      </c>
      <c r="N89" s="199">
        <f t="shared" si="10"/>
        <v>1</v>
      </c>
      <c r="O89" s="199">
        <f t="shared" si="11"/>
        <v>1</v>
      </c>
      <c r="P89" s="217"/>
    </row>
    <row r="90" spans="1:45" x14ac:dyDescent="0.3">
      <c r="A90" s="1">
        <v>36</v>
      </c>
      <c r="B90" s="265" t="s">
        <v>595</v>
      </c>
      <c r="C90" s="265"/>
      <c r="D90" s="158">
        <v>435</v>
      </c>
      <c r="E90" s="158">
        <v>558</v>
      </c>
      <c r="F90" s="158">
        <v>4</v>
      </c>
      <c r="G90" s="158">
        <v>0</v>
      </c>
      <c r="H90" s="158">
        <v>0</v>
      </c>
      <c r="I90" s="54">
        <f t="shared" si="6"/>
        <v>4</v>
      </c>
      <c r="J90" s="54"/>
      <c r="K90" s="198">
        <f t="shared" si="7"/>
        <v>554</v>
      </c>
      <c r="L90" s="160">
        <f t="shared" si="8"/>
        <v>7.1684587813620072E-3</v>
      </c>
      <c r="M90" s="160">
        <f t="shared" si="9"/>
        <v>0</v>
      </c>
      <c r="N90" s="160">
        <f t="shared" si="10"/>
        <v>0.99283154121863804</v>
      </c>
      <c r="O90" s="160">
        <f t="shared" si="11"/>
        <v>0.99283154121863804</v>
      </c>
      <c r="P90" s="217" t="s">
        <v>691</v>
      </c>
    </row>
    <row r="91" spans="1:45" x14ac:dyDescent="0.3">
      <c r="A91" s="1">
        <v>37</v>
      </c>
      <c r="B91" s="265" t="s">
        <v>596</v>
      </c>
      <c r="C91" s="265"/>
      <c r="D91" s="158">
        <v>462</v>
      </c>
      <c r="E91" s="158">
        <v>526</v>
      </c>
      <c r="F91" s="158">
        <v>7</v>
      </c>
      <c r="G91" s="158">
        <v>0</v>
      </c>
      <c r="H91" s="158">
        <v>0</v>
      </c>
      <c r="I91" s="54">
        <f t="shared" si="6"/>
        <v>7</v>
      </c>
      <c r="J91" s="54"/>
      <c r="K91" s="198">
        <f t="shared" si="7"/>
        <v>519</v>
      </c>
      <c r="L91" s="199">
        <f t="shared" si="8"/>
        <v>1.3307984790874524E-2</v>
      </c>
      <c r="M91" s="199">
        <f t="shared" si="9"/>
        <v>0</v>
      </c>
      <c r="N91" s="199">
        <f t="shared" si="10"/>
        <v>0.98669201520912553</v>
      </c>
      <c r="O91" s="199">
        <f t="shared" si="11"/>
        <v>0.98669201520912553</v>
      </c>
      <c r="P91" s="217" t="s">
        <v>692</v>
      </c>
    </row>
    <row r="92" spans="1:45" ht="15.75" customHeight="1" x14ac:dyDescent="0.3">
      <c r="A92" s="54">
        <v>38</v>
      </c>
      <c r="B92" s="265" t="s">
        <v>597</v>
      </c>
      <c r="C92" s="265"/>
      <c r="D92" s="158">
        <v>95</v>
      </c>
      <c r="E92" s="158">
        <v>131</v>
      </c>
      <c r="F92" s="158">
        <v>3</v>
      </c>
      <c r="G92" s="158">
        <v>0</v>
      </c>
      <c r="H92" s="158">
        <v>0</v>
      </c>
      <c r="I92" s="54">
        <f t="shared" si="6"/>
        <v>3</v>
      </c>
      <c r="J92" s="54"/>
      <c r="K92" s="198">
        <f t="shared" si="7"/>
        <v>128</v>
      </c>
      <c r="L92" s="199">
        <f t="shared" si="8"/>
        <v>2.2900763358778626E-2</v>
      </c>
      <c r="M92" s="199">
        <f t="shared" si="9"/>
        <v>0</v>
      </c>
      <c r="N92" s="199">
        <f t="shared" si="10"/>
        <v>0.97709923664122134</v>
      </c>
      <c r="O92" s="199">
        <f t="shared" si="11"/>
        <v>0.97709923664122134</v>
      </c>
      <c r="P92" s="217" t="s">
        <v>680</v>
      </c>
    </row>
    <row r="93" spans="1:45" ht="15" customHeight="1" x14ac:dyDescent="0.3">
      <c r="A93" s="54">
        <v>39</v>
      </c>
      <c r="B93" s="265" t="s">
        <v>598</v>
      </c>
      <c r="C93" s="265"/>
      <c r="D93" s="158">
        <v>91</v>
      </c>
      <c r="E93" s="158">
        <v>60</v>
      </c>
      <c r="F93" s="158">
        <v>0</v>
      </c>
      <c r="G93" s="158">
        <v>0</v>
      </c>
      <c r="H93" s="158">
        <v>1</v>
      </c>
      <c r="I93" s="54">
        <f t="shared" si="6"/>
        <v>1</v>
      </c>
      <c r="J93" s="54"/>
      <c r="K93" s="198">
        <f t="shared" si="7"/>
        <v>59</v>
      </c>
      <c r="L93" s="199">
        <f t="shared" si="8"/>
        <v>1.6666666666666666E-2</v>
      </c>
      <c r="M93" s="199">
        <f t="shared" si="9"/>
        <v>0</v>
      </c>
      <c r="N93" s="199">
        <f t="shared" si="10"/>
        <v>0.98333333333333328</v>
      </c>
      <c r="O93" s="199">
        <f t="shared" si="11"/>
        <v>0.98333333333333328</v>
      </c>
      <c r="P93" s="42" t="s">
        <v>693</v>
      </c>
    </row>
    <row r="94" spans="1:45" x14ac:dyDescent="0.3">
      <c r="A94" s="54">
        <v>40</v>
      </c>
      <c r="B94" s="265" t="s">
        <v>599</v>
      </c>
      <c r="C94" s="265"/>
      <c r="D94" s="158">
        <v>37</v>
      </c>
      <c r="E94" s="158">
        <v>29</v>
      </c>
      <c r="F94" s="158">
        <v>0</v>
      </c>
      <c r="G94" s="158">
        <v>0</v>
      </c>
      <c r="H94" s="158">
        <v>0</v>
      </c>
      <c r="I94" s="54">
        <f t="shared" si="6"/>
        <v>0</v>
      </c>
      <c r="J94" s="54"/>
      <c r="K94" s="198">
        <f t="shared" si="7"/>
        <v>29</v>
      </c>
      <c r="L94" s="199">
        <f t="shared" si="8"/>
        <v>0</v>
      </c>
      <c r="M94" s="199">
        <f t="shared" si="9"/>
        <v>0</v>
      </c>
      <c r="N94" s="199">
        <f t="shared" si="10"/>
        <v>1</v>
      </c>
      <c r="O94" s="199">
        <f t="shared" si="11"/>
        <v>1</v>
      </c>
      <c r="P94" s="217"/>
    </row>
    <row r="95" spans="1:45" ht="15.75" customHeight="1" x14ac:dyDescent="0.3">
      <c r="A95" s="54">
        <v>41</v>
      </c>
      <c r="B95" s="265" t="s">
        <v>600</v>
      </c>
      <c r="C95" s="265"/>
      <c r="D95" s="158">
        <v>19</v>
      </c>
      <c r="E95" s="158">
        <v>19</v>
      </c>
      <c r="F95" s="158">
        <v>0</v>
      </c>
      <c r="G95" s="158">
        <v>0</v>
      </c>
      <c r="H95" s="158">
        <v>0</v>
      </c>
      <c r="I95" s="54">
        <f t="shared" si="6"/>
        <v>0</v>
      </c>
      <c r="J95" s="54"/>
      <c r="K95" s="198">
        <f t="shared" si="7"/>
        <v>19</v>
      </c>
      <c r="L95" s="199">
        <f t="shared" si="8"/>
        <v>0</v>
      </c>
      <c r="M95" s="199">
        <f t="shared" si="9"/>
        <v>0</v>
      </c>
      <c r="N95" s="199">
        <f t="shared" si="10"/>
        <v>1</v>
      </c>
      <c r="O95" s="199">
        <f t="shared" si="11"/>
        <v>1</v>
      </c>
      <c r="P95" s="218"/>
    </row>
    <row r="96" spans="1:45" s="202" customFormat="1" x14ac:dyDescent="0.3">
      <c r="A96" s="54">
        <v>42</v>
      </c>
      <c r="B96" s="265" t="s">
        <v>601</v>
      </c>
      <c r="C96" s="265"/>
      <c r="D96" s="158">
        <v>19</v>
      </c>
      <c r="E96" s="158">
        <v>19</v>
      </c>
      <c r="F96" s="158">
        <v>0</v>
      </c>
      <c r="G96" s="158">
        <v>0</v>
      </c>
      <c r="H96" s="158">
        <v>0</v>
      </c>
      <c r="I96" s="54">
        <f t="shared" si="6"/>
        <v>0</v>
      </c>
      <c r="J96" s="54"/>
      <c r="K96" s="198">
        <f t="shared" si="7"/>
        <v>19</v>
      </c>
      <c r="L96" s="199">
        <f t="shared" si="8"/>
        <v>0</v>
      </c>
      <c r="M96" s="199">
        <f t="shared" si="9"/>
        <v>0</v>
      </c>
      <c r="N96" s="199">
        <f t="shared" si="10"/>
        <v>1</v>
      </c>
      <c r="O96" s="199">
        <f t="shared" si="11"/>
        <v>1</v>
      </c>
      <c r="P96" s="217"/>
      <c r="Q96" s="201"/>
      <c r="R96" s="201"/>
      <c r="S96" s="201"/>
      <c r="T96" s="201"/>
      <c r="U96" s="201"/>
      <c r="V96" s="201"/>
      <c r="W96" s="201"/>
      <c r="X96" s="201"/>
      <c r="Y96" s="201"/>
      <c r="Z96" s="201"/>
      <c r="AA96" s="201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/>
      <c r="AL96" s="201"/>
      <c r="AM96" s="201"/>
      <c r="AN96" s="201"/>
      <c r="AO96" s="201"/>
      <c r="AP96" s="201"/>
      <c r="AQ96" s="201"/>
      <c r="AR96" s="201"/>
      <c r="AS96" s="201"/>
    </row>
    <row r="97" spans="1:45" x14ac:dyDescent="0.3">
      <c r="A97" s="54">
        <v>43</v>
      </c>
      <c r="B97" s="265" t="s">
        <v>602</v>
      </c>
      <c r="C97" s="265"/>
      <c r="D97" s="158">
        <v>117</v>
      </c>
      <c r="E97" s="158">
        <v>55</v>
      </c>
      <c r="F97" s="158">
        <v>0</v>
      </c>
      <c r="G97" s="158">
        <v>0</v>
      </c>
      <c r="H97" s="158">
        <v>0</v>
      </c>
      <c r="I97" s="54">
        <f t="shared" si="6"/>
        <v>0</v>
      </c>
      <c r="J97" s="54"/>
      <c r="K97" s="198">
        <f t="shared" si="7"/>
        <v>55</v>
      </c>
      <c r="L97" s="199">
        <f t="shared" si="8"/>
        <v>0</v>
      </c>
      <c r="M97" s="199">
        <f t="shared" si="9"/>
        <v>0</v>
      </c>
      <c r="N97" s="199">
        <f t="shared" si="10"/>
        <v>1</v>
      </c>
      <c r="O97" s="199">
        <f t="shared" si="11"/>
        <v>1</v>
      </c>
      <c r="P97" s="219"/>
    </row>
    <row r="98" spans="1:45" ht="30" x14ac:dyDescent="0.3">
      <c r="A98" s="1">
        <v>44</v>
      </c>
      <c r="B98" s="265" t="s">
        <v>603</v>
      </c>
      <c r="C98" s="265"/>
      <c r="D98" s="158">
        <v>3007</v>
      </c>
      <c r="E98" s="158">
        <v>1364</v>
      </c>
      <c r="F98" s="158">
        <v>23</v>
      </c>
      <c r="G98" s="158">
        <v>0</v>
      </c>
      <c r="H98" s="158">
        <v>11</v>
      </c>
      <c r="I98" s="54">
        <f t="shared" si="6"/>
        <v>34</v>
      </c>
      <c r="J98" s="54"/>
      <c r="K98" s="198">
        <f t="shared" si="7"/>
        <v>1330</v>
      </c>
      <c r="L98" s="199">
        <f t="shared" si="8"/>
        <v>2.4926686217008796E-2</v>
      </c>
      <c r="M98" s="199">
        <f t="shared" si="9"/>
        <v>0</v>
      </c>
      <c r="N98" s="199">
        <f t="shared" si="10"/>
        <v>0.97507331378299122</v>
      </c>
      <c r="O98" s="199">
        <f t="shared" si="11"/>
        <v>0.97507331378299122</v>
      </c>
      <c r="P98" s="42" t="s">
        <v>694</v>
      </c>
    </row>
    <row r="99" spans="1:45" x14ac:dyDescent="0.3">
      <c r="A99" s="54">
        <v>45</v>
      </c>
      <c r="B99" s="265" t="s">
        <v>604</v>
      </c>
      <c r="C99" s="265"/>
      <c r="D99" s="158">
        <v>73</v>
      </c>
      <c r="E99" s="158">
        <v>70</v>
      </c>
      <c r="F99" s="158">
        <v>0</v>
      </c>
      <c r="G99" s="158">
        <v>0</v>
      </c>
      <c r="H99" s="158">
        <v>0</v>
      </c>
      <c r="I99" s="54">
        <f t="shared" si="6"/>
        <v>0</v>
      </c>
      <c r="J99" s="54"/>
      <c r="K99" s="198">
        <f t="shared" si="7"/>
        <v>70</v>
      </c>
      <c r="L99" s="199">
        <f t="shared" si="8"/>
        <v>0</v>
      </c>
      <c r="M99" s="199">
        <f t="shared" si="9"/>
        <v>0</v>
      </c>
      <c r="N99" s="199">
        <f t="shared" si="10"/>
        <v>1</v>
      </c>
      <c r="O99" s="199">
        <f t="shared" si="11"/>
        <v>1</v>
      </c>
      <c r="P99" s="42"/>
    </row>
    <row r="100" spans="1:45" ht="15" customHeight="1" x14ac:dyDescent="0.3">
      <c r="A100" s="54">
        <v>46</v>
      </c>
      <c r="B100" s="265" t="s">
        <v>605</v>
      </c>
      <c r="C100" s="265"/>
      <c r="D100" s="158">
        <v>0</v>
      </c>
      <c r="E100" s="158">
        <v>0</v>
      </c>
      <c r="F100" s="158">
        <v>0</v>
      </c>
      <c r="G100" s="158">
        <v>0</v>
      </c>
      <c r="H100" s="158">
        <v>0</v>
      </c>
      <c r="I100" s="54">
        <f t="shared" si="6"/>
        <v>0</v>
      </c>
      <c r="J100" s="54"/>
      <c r="K100" s="198">
        <f t="shared" si="7"/>
        <v>0</v>
      </c>
      <c r="L100" s="199" t="str">
        <f t="shared" si="8"/>
        <v>-</v>
      </c>
      <c r="M100" s="199" t="str">
        <f t="shared" si="9"/>
        <v>-</v>
      </c>
      <c r="N100" s="199" t="str">
        <f t="shared" si="10"/>
        <v>-</v>
      </c>
      <c r="O100" s="199" t="str">
        <f t="shared" si="11"/>
        <v>-</v>
      </c>
      <c r="P100" s="173"/>
    </row>
    <row r="101" spans="1:45" ht="15" customHeight="1" x14ac:dyDescent="0.3">
      <c r="A101" s="54">
        <v>47</v>
      </c>
      <c r="B101" s="265" t="s">
        <v>606</v>
      </c>
      <c r="C101" s="265"/>
      <c r="D101" s="158">
        <v>300</v>
      </c>
      <c r="E101" s="158">
        <v>12</v>
      </c>
      <c r="F101" s="158">
        <v>6</v>
      </c>
      <c r="G101" s="158">
        <v>0</v>
      </c>
      <c r="H101" s="158">
        <v>0</v>
      </c>
      <c r="I101" s="54">
        <f t="shared" si="6"/>
        <v>6</v>
      </c>
      <c r="J101" s="54"/>
      <c r="K101" s="198">
        <f t="shared" si="7"/>
        <v>6</v>
      </c>
      <c r="L101" s="199">
        <f t="shared" si="8"/>
        <v>0.5</v>
      </c>
      <c r="M101" s="199">
        <f t="shared" si="9"/>
        <v>0</v>
      </c>
      <c r="N101" s="199">
        <f t="shared" si="10"/>
        <v>0.5</v>
      </c>
      <c r="O101" s="199">
        <f t="shared" si="11"/>
        <v>0.5</v>
      </c>
      <c r="P101" s="173" t="s">
        <v>695</v>
      </c>
    </row>
    <row r="102" spans="1:45" x14ac:dyDescent="0.3">
      <c r="A102" s="54">
        <v>48</v>
      </c>
      <c r="B102" s="265" t="s">
        <v>608</v>
      </c>
      <c r="C102" s="265"/>
      <c r="D102" s="158">
        <v>293</v>
      </c>
      <c r="E102" s="158">
        <v>224</v>
      </c>
      <c r="F102" s="158">
        <v>0</v>
      </c>
      <c r="G102" s="158">
        <v>0</v>
      </c>
      <c r="H102" s="158">
        <v>0</v>
      </c>
      <c r="I102" s="54">
        <f t="shared" si="6"/>
        <v>0</v>
      </c>
      <c r="J102" s="54"/>
      <c r="K102" s="198">
        <f t="shared" si="7"/>
        <v>224</v>
      </c>
      <c r="L102" s="199">
        <f t="shared" si="8"/>
        <v>0</v>
      </c>
      <c r="M102" s="199">
        <f t="shared" si="9"/>
        <v>0</v>
      </c>
      <c r="N102" s="199">
        <f t="shared" si="10"/>
        <v>1</v>
      </c>
      <c r="O102" s="199">
        <f t="shared" si="11"/>
        <v>1</v>
      </c>
      <c r="P102" s="217"/>
    </row>
    <row r="103" spans="1:45" ht="15.75" customHeight="1" x14ac:dyDescent="0.3">
      <c r="A103" s="54">
        <v>49</v>
      </c>
      <c r="B103" s="265" t="s">
        <v>609</v>
      </c>
      <c r="C103" s="265"/>
      <c r="D103" s="158">
        <v>8</v>
      </c>
      <c r="E103" s="158">
        <v>4</v>
      </c>
      <c r="F103" s="158">
        <v>0</v>
      </c>
      <c r="G103" s="158">
        <v>0</v>
      </c>
      <c r="H103" s="158">
        <v>0</v>
      </c>
      <c r="I103" s="54">
        <f t="shared" si="6"/>
        <v>0</v>
      </c>
      <c r="J103" s="54"/>
      <c r="K103" s="198">
        <f t="shared" si="7"/>
        <v>4</v>
      </c>
      <c r="L103" s="199">
        <f t="shared" si="8"/>
        <v>0</v>
      </c>
      <c r="M103" s="199">
        <f t="shared" si="9"/>
        <v>0</v>
      </c>
      <c r="N103" s="199">
        <f t="shared" si="10"/>
        <v>1</v>
      </c>
      <c r="O103" s="199">
        <f t="shared" si="11"/>
        <v>1</v>
      </c>
      <c r="P103" s="220"/>
    </row>
    <row r="104" spans="1:45" ht="15" customHeight="1" x14ac:dyDescent="0.3">
      <c r="A104" s="54">
        <v>50</v>
      </c>
      <c r="B104" s="265" t="s">
        <v>610</v>
      </c>
      <c r="C104" s="265"/>
      <c r="D104" s="158">
        <v>440</v>
      </c>
      <c r="E104" s="158">
        <v>154</v>
      </c>
      <c r="F104" s="158">
        <v>0</v>
      </c>
      <c r="G104" s="158">
        <v>0</v>
      </c>
      <c r="H104" s="158">
        <v>0</v>
      </c>
      <c r="I104" s="54">
        <f t="shared" si="6"/>
        <v>0</v>
      </c>
      <c r="J104" s="54"/>
      <c r="K104" s="198">
        <f t="shared" si="7"/>
        <v>154</v>
      </c>
      <c r="L104" s="199">
        <f t="shared" si="8"/>
        <v>0</v>
      </c>
      <c r="M104" s="199">
        <f t="shared" si="9"/>
        <v>0</v>
      </c>
      <c r="N104" s="199">
        <f t="shared" si="10"/>
        <v>1</v>
      </c>
      <c r="O104" s="199">
        <f t="shared" si="11"/>
        <v>1</v>
      </c>
      <c r="P104" s="173"/>
    </row>
    <row r="105" spans="1:45" s="202" customFormat="1" ht="30" x14ac:dyDescent="0.3">
      <c r="A105" s="1">
        <v>51</v>
      </c>
      <c r="B105" s="265" t="s">
        <v>611</v>
      </c>
      <c r="C105" s="265"/>
      <c r="D105" s="158">
        <v>683</v>
      </c>
      <c r="E105" s="158">
        <v>451</v>
      </c>
      <c r="F105" s="158">
        <v>1</v>
      </c>
      <c r="G105" s="158">
        <v>0</v>
      </c>
      <c r="H105" s="158">
        <v>2</v>
      </c>
      <c r="I105" s="54">
        <f t="shared" si="6"/>
        <v>3</v>
      </c>
      <c r="J105" s="54"/>
      <c r="K105" s="198">
        <f t="shared" si="7"/>
        <v>448</v>
      </c>
      <c r="L105" s="160">
        <f t="shared" si="8"/>
        <v>6.6518847006651885E-3</v>
      </c>
      <c r="M105" s="160">
        <f t="shared" si="9"/>
        <v>0</v>
      </c>
      <c r="N105" s="160">
        <f t="shared" si="10"/>
        <v>0.99334811529933487</v>
      </c>
      <c r="O105" s="160">
        <f t="shared" si="11"/>
        <v>0.99334811529933487</v>
      </c>
      <c r="P105" s="42" t="s">
        <v>696</v>
      </c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  <c r="AA105" s="201"/>
      <c r="AB105" s="201"/>
      <c r="AC105" s="201"/>
      <c r="AD105" s="201"/>
      <c r="AE105" s="201"/>
      <c r="AF105" s="201"/>
      <c r="AG105" s="201"/>
      <c r="AH105" s="201"/>
      <c r="AI105" s="201"/>
      <c r="AJ105" s="201"/>
      <c r="AK105" s="201"/>
      <c r="AL105" s="201"/>
      <c r="AM105" s="201"/>
      <c r="AN105" s="201"/>
      <c r="AO105" s="201"/>
      <c r="AP105" s="201"/>
      <c r="AQ105" s="201"/>
      <c r="AR105" s="201"/>
      <c r="AS105" s="201"/>
    </row>
    <row r="106" spans="1:45" x14ac:dyDescent="0.3">
      <c r="A106" s="54">
        <v>52</v>
      </c>
      <c r="B106" s="265" t="s">
        <v>612</v>
      </c>
      <c r="C106" s="265"/>
      <c r="D106" s="158">
        <v>123</v>
      </c>
      <c r="E106" s="158">
        <v>65</v>
      </c>
      <c r="F106" s="158">
        <v>0</v>
      </c>
      <c r="G106" s="158">
        <v>0</v>
      </c>
      <c r="H106" s="158">
        <v>0</v>
      </c>
      <c r="I106" s="54">
        <f t="shared" si="6"/>
        <v>0</v>
      </c>
      <c r="J106" s="54"/>
      <c r="K106" s="198">
        <f t="shared" si="7"/>
        <v>65</v>
      </c>
      <c r="L106" s="199">
        <f t="shared" si="8"/>
        <v>0</v>
      </c>
      <c r="M106" s="199">
        <f t="shared" si="9"/>
        <v>0</v>
      </c>
      <c r="N106" s="199">
        <f t="shared" si="10"/>
        <v>1</v>
      </c>
      <c r="O106" s="199">
        <f t="shared" si="11"/>
        <v>1</v>
      </c>
      <c r="P106" s="217"/>
    </row>
    <row r="107" spans="1:45" s="202" customFormat="1" ht="26.25" customHeight="1" x14ac:dyDescent="0.3">
      <c r="A107" s="205" t="s">
        <v>697</v>
      </c>
      <c r="B107" s="206"/>
      <c r="C107" s="205"/>
      <c r="D107" s="205">
        <v>0</v>
      </c>
      <c r="E107" s="205">
        <v>0</v>
      </c>
      <c r="F107" s="205">
        <v>0</v>
      </c>
      <c r="G107" s="205">
        <v>0</v>
      </c>
      <c r="H107" s="205">
        <v>0</v>
      </c>
      <c r="I107" s="54"/>
      <c r="J107" s="54"/>
      <c r="K107" s="198"/>
      <c r="L107" s="199"/>
      <c r="M107" s="199"/>
      <c r="N107" s="199"/>
      <c r="O107" s="199"/>
      <c r="P107" s="205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  <c r="AP107" s="201"/>
      <c r="AQ107" s="201"/>
      <c r="AR107" s="201"/>
      <c r="AS107" s="201"/>
    </row>
    <row r="108" spans="1:45" x14ac:dyDescent="0.3">
      <c r="A108" s="1">
        <v>53</v>
      </c>
      <c r="B108" s="266" t="s">
        <v>613</v>
      </c>
      <c r="C108" s="266"/>
      <c r="D108" s="158">
        <v>2784</v>
      </c>
      <c r="E108" s="158">
        <v>2104</v>
      </c>
      <c r="F108" s="158">
        <v>11</v>
      </c>
      <c r="G108" s="158">
        <v>0</v>
      </c>
      <c r="H108" s="158">
        <v>0</v>
      </c>
      <c r="I108" s="54">
        <f t="shared" si="6"/>
        <v>11</v>
      </c>
      <c r="J108" s="54"/>
      <c r="K108" s="198">
        <f t="shared" si="7"/>
        <v>2093</v>
      </c>
      <c r="L108" s="199">
        <f t="shared" si="8"/>
        <v>5.2281368821292772E-3</v>
      </c>
      <c r="M108" s="199">
        <f t="shared" si="9"/>
        <v>0</v>
      </c>
      <c r="N108" s="199">
        <f t="shared" si="10"/>
        <v>0.99477186311787069</v>
      </c>
      <c r="O108" s="199">
        <f t="shared" si="11"/>
        <v>0.99477186311787069</v>
      </c>
      <c r="P108" s="221" t="s">
        <v>683</v>
      </c>
    </row>
    <row r="109" spans="1:45" x14ac:dyDescent="0.3">
      <c r="A109" s="1">
        <v>54</v>
      </c>
      <c r="B109" s="266" t="s">
        <v>614</v>
      </c>
      <c r="C109" s="266"/>
      <c r="D109" s="158">
        <v>28</v>
      </c>
      <c r="E109" s="158">
        <v>51</v>
      </c>
      <c r="F109" s="158">
        <v>0</v>
      </c>
      <c r="G109" s="158">
        <v>0</v>
      </c>
      <c r="H109" s="158">
        <v>0</v>
      </c>
      <c r="I109" s="54">
        <f t="shared" si="6"/>
        <v>0</v>
      </c>
      <c r="J109" s="54"/>
      <c r="K109" s="198">
        <f t="shared" si="7"/>
        <v>51</v>
      </c>
      <c r="L109" s="199">
        <f t="shared" si="8"/>
        <v>0</v>
      </c>
      <c r="M109" s="199">
        <f t="shared" si="9"/>
        <v>0</v>
      </c>
      <c r="N109" s="199">
        <f t="shared" si="10"/>
        <v>1</v>
      </c>
      <c r="O109" s="199">
        <f t="shared" si="11"/>
        <v>1</v>
      </c>
      <c r="P109" s="217"/>
    </row>
    <row r="110" spans="1:45" x14ac:dyDescent="0.3">
      <c r="A110" s="1">
        <v>55</v>
      </c>
      <c r="B110" s="266" t="s">
        <v>615</v>
      </c>
      <c r="C110" s="266"/>
      <c r="D110" s="158">
        <v>0</v>
      </c>
      <c r="E110" s="158">
        <v>0</v>
      </c>
      <c r="F110" s="158">
        <v>0</v>
      </c>
      <c r="G110" s="158">
        <v>0</v>
      </c>
      <c r="H110" s="158">
        <v>0</v>
      </c>
      <c r="I110" s="54">
        <f t="shared" si="6"/>
        <v>0</v>
      </c>
      <c r="J110" s="54"/>
      <c r="K110" s="198">
        <f t="shared" si="7"/>
        <v>0</v>
      </c>
      <c r="L110" s="199" t="str">
        <f t="shared" si="8"/>
        <v>-</v>
      </c>
      <c r="M110" s="199" t="str">
        <f t="shared" si="9"/>
        <v>-</v>
      </c>
      <c r="N110" s="199" t="str">
        <f t="shared" si="10"/>
        <v>-</v>
      </c>
      <c r="O110" s="199" t="str">
        <f t="shared" si="11"/>
        <v>-</v>
      </c>
      <c r="P110" s="217"/>
    </row>
    <row r="111" spans="1:45" x14ac:dyDescent="0.3">
      <c r="A111" s="1">
        <v>56</v>
      </c>
      <c r="B111" s="266" t="s">
        <v>616</v>
      </c>
      <c r="C111" s="266"/>
      <c r="D111" s="158">
        <v>156</v>
      </c>
      <c r="E111" s="158">
        <v>199</v>
      </c>
      <c r="F111" s="158">
        <v>0</v>
      </c>
      <c r="G111" s="158">
        <v>0</v>
      </c>
      <c r="H111" s="158">
        <v>0</v>
      </c>
      <c r="I111" s="54">
        <f t="shared" si="6"/>
        <v>0</v>
      </c>
      <c r="J111" s="54"/>
      <c r="K111" s="198">
        <f t="shared" si="7"/>
        <v>199</v>
      </c>
      <c r="L111" s="199">
        <f t="shared" si="8"/>
        <v>0</v>
      </c>
      <c r="M111" s="199">
        <f t="shared" si="9"/>
        <v>0</v>
      </c>
      <c r="N111" s="199">
        <f t="shared" si="10"/>
        <v>1</v>
      </c>
      <c r="O111" s="199">
        <f t="shared" si="11"/>
        <v>1</v>
      </c>
      <c r="P111" s="59"/>
    </row>
    <row r="112" spans="1:45" x14ac:dyDescent="0.3">
      <c r="A112" s="1">
        <v>57</v>
      </c>
      <c r="B112" s="266" t="s">
        <v>617</v>
      </c>
      <c r="C112" s="266"/>
      <c r="D112" s="158">
        <v>84</v>
      </c>
      <c r="E112" s="158">
        <v>169</v>
      </c>
      <c r="F112" s="158">
        <v>0</v>
      </c>
      <c r="G112" s="158">
        <v>0</v>
      </c>
      <c r="H112" s="158">
        <v>0</v>
      </c>
      <c r="I112" s="54">
        <f t="shared" si="6"/>
        <v>0</v>
      </c>
      <c r="J112" s="54"/>
      <c r="K112" s="198">
        <f t="shared" si="7"/>
        <v>169</v>
      </c>
      <c r="L112" s="199">
        <f t="shared" si="8"/>
        <v>0</v>
      </c>
      <c r="M112" s="199">
        <f t="shared" si="9"/>
        <v>0</v>
      </c>
      <c r="N112" s="199">
        <f t="shared" si="10"/>
        <v>1</v>
      </c>
      <c r="O112" s="199">
        <f t="shared" si="11"/>
        <v>1</v>
      </c>
      <c r="P112" s="217"/>
    </row>
    <row r="113" spans="1:45" s="202" customFormat="1" x14ac:dyDescent="0.3">
      <c r="A113" s="1">
        <v>58</v>
      </c>
      <c r="B113" s="266" t="s">
        <v>618</v>
      </c>
      <c r="C113" s="266"/>
      <c r="D113" s="158">
        <v>296</v>
      </c>
      <c r="E113" s="158">
        <v>307</v>
      </c>
      <c r="F113" s="158">
        <v>0</v>
      </c>
      <c r="G113" s="158">
        <v>0</v>
      </c>
      <c r="H113" s="158">
        <v>0</v>
      </c>
      <c r="I113" s="54">
        <f t="shared" si="6"/>
        <v>0</v>
      </c>
      <c r="J113" s="54"/>
      <c r="K113" s="198">
        <f t="shared" si="7"/>
        <v>307</v>
      </c>
      <c r="L113" s="199">
        <f t="shared" si="8"/>
        <v>0</v>
      </c>
      <c r="M113" s="199">
        <f t="shared" si="9"/>
        <v>0</v>
      </c>
      <c r="N113" s="199">
        <f t="shared" si="10"/>
        <v>1</v>
      </c>
      <c r="O113" s="199">
        <f t="shared" si="11"/>
        <v>1</v>
      </c>
      <c r="P113" s="217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</row>
    <row r="114" spans="1:45" x14ac:dyDescent="0.3">
      <c r="A114" s="1">
        <v>59</v>
      </c>
      <c r="B114" s="266" t="s">
        <v>619</v>
      </c>
      <c r="C114" s="266"/>
      <c r="D114" s="158">
        <v>37</v>
      </c>
      <c r="E114" s="158">
        <v>20</v>
      </c>
      <c r="F114" s="158">
        <v>0</v>
      </c>
      <c r="G114" s="158">
        <v>0</v>
      </c>
      <c r="H114" s="158">
        <v>0</v>
      </c>
      <c r="I114" s="54">
        <f t="shared" si="6"/>
        <v>0</v>
      </c>
      <c r="J114" s="54"/>
      <c r="K114" s="198">
        <f t="shared" si="7"/>
        <v>20</v>
      </c>
      <c r="L114" s="199">
        <f t="shared" si="8"/>
        <v>0</v>
      </c>
      <c r="M114" s="199">
        <f t="shared" si="9"/>
        <v>0</v>
      </c>
      <c r="N114" s="199">
        <f t="shared" si="10"/>
        <v>1</v>
      </c>
      <c r="O114" s="199">
        <f t="shared" si="11"/>
        <v>1</v>
      </c>
      <c r="P114" s="217"/>
    </row>
    <row r="115" spans="1:45" x14ac:dyDescent="0.3">
      <c r="A115" s="1">
        <v>60</v>
      </c>
      <c r="B115" s="266" t="s">
        <v>620</v>
      </c>
      <c r="C115" s="266"/>
      <c r="D115" s="158">
        <v>221</v>
      </c>
      <c r="E115" s="158">
        <v>271</v>
      </c>
      <c r="F115" s="158">
        <v>0</v>
      </c>
      <c r="G115" s="158">
        <v>0</v>
      </c>
      <c r="H115" s="158">
        <v>1</v>
      </c>
      <c r="I115" s="54">
        <f t="shared" si="6"/>
        <v>1</v>
      </c>
      <c r="J115" s="54"/>
      <c r="K115" s="198">
        <f t="shared" si="7"/>
        <v>270</v>
      </c>
      <c r="L115" s="199">
        <f t="shared" si="8"/>
        <v>3.6900369003690036E-3</v>
      </c>
      <c r="M115" s="199">
        <f t="shared" si="9"/>
        <v>0</v>
      </c>
      <c r="N115" s="199">
        <f t="shared" si="10"/>
        <v>0.99630996309963105</v>
      </c>
      <c r="O115" s="199">
        <f t="shared" si="11"/>
        <v>0.99630996309963105</v>
      </c>
      <c r="P115" s="143" t="s">
        <v>693</v>
      </c>
    </row>
    <row r="116" spans="1:45" ht="23.25" customHeight="1" x14ac:dyDescent="0.3">
      <c r="A116" s="1">
        <v>61</v>
      </c>
      <c r="B116" s="266" t="s">
        <v>621</v>
      </c>
      <c r="C116" s="266"/>
      <c r="D116" s="158">
        <v>77</v>
      </c>
      <c r="E116" s="158">
        <v>201</v>
      </c>
      <c r="F116" s="158">
        <v>2</v>
      </c>
      <c r="G116" s="158">
        <v>0</v>
      </c>
      <c r="H116" s="158">
        <v>0</v>
      </c>
      <c r="I116" s="54">
        <f t="shared" si="6"/>
        <v>2</v>
      </c>
      <c r="J116" s="54"/>
      <c r="K116" s="198">
        <f t="shared" si="7"/>
        <v>199</v>
      </c>
      <c r="L116" s="199">
        <f t="shared" si="8"/>
        <v>9.9502487562189053E-3</v>
      </c>
      <c r="M116" s="199">
        <f t="shared" si="9"/>
        <v>0</v>
      </c>
      <c r="N116" s="199">
        <f t="shared" si="10"/>
        <v>0.99004975124378114</v>
      </c>
      <c r="O116" s="199">
        <f t="shared" si="11"/>
        <v>0.99004975124378114</v>
      </c>
      <c r="P116" s="217" t="s">
        <v>682</v>
      </c>
    </row>
    <row r="117" spans="1:45" s="202" customFormat="1" ht="30.75" customHeight="1" x14ac:dyDescent="0.3">
      <c r="A117" s="1">
        <v>62</v>
      </c>
      <c r="B117" s="266" t="s">
        <v>622</v>
      </c>
      <c r="C117" s="266"/>
      <c r="D117" s="158">
        <v>1</v>
      </c>
      <c r="E117" s="158">
        <v>1</v>
      </c>
      <c r="F117" s="158">
        <v>0</v>
      </c>
      <c r="G117" s="158">
        <v>0</v>
      </c>
      <c r="H117" s="158">
        <v>0</v>
      </c>
      <c r="I117" s="54">
        <f t="shared" si="6"/>
        <v>0</v>
      </c>
      <c r="J117" s="54"/>
      <c r="K117" s="198">
        <f t="shared" si="7"/>
        <v>1</v>
      </c>
      <c r="L117" s="199">
        <f t="shared" si="8"/>
        <v>0</v>
      </c>
      <c r="M117" s="199">
        <f t="shared" si="9"/>
        <v>0</v>
      </c>
      <c r="N117" s="199">
        <f t="shared" si="10"/>
        <v>1</v>
      </c>
      <c r="O117" s="199">
        <f t="shared" si="11"/>
        <v>1</v>
      </c>
      <c r="P117" s="42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  <c r="AP117" s="201"/>
      <c r="AQ117" s="201"/>
      <c r="AR117" s="201"/>
      <c r="AS117" s="201"/>
    </row>
    <row r="118" spans="1:45" s="202" customFormat="1" ht="20.25" customHeight="1" x14ac:dyDescent="0.3">
      <c r="A118" s="1">
        <v>63</v>
      </c>
      <c r="B118" s="266" t="s">
        <v>623</v>
      </c>
      <c r="C118" s="266"/>
      <c r="D118" s="158">
        <v>0</v>
      </c>
      <c r="E118" s="158">
        <v>2</v>
      </c>
      <c r="F118" s="158">
        <v>0</v>
      </c>
      <c r="G118" s="158">
        <v>0</v>
      </c>
      <c r="H118" s="158">
        <v>0</v>
      </c>
      <c r="I118" s="54">
        <f t="shared" si="6"/>
        <v>0</v>
      </c>
      <c r="J118" s="54"/>
      <c r="K118" s="198">
        <f t="shared" si="7"/>
        <v>2</v>
      </c>
      <c r="L118" s="199">
        <f t="shared" si="8"/>
        <v>0</v>
      </c>
      <c r="M118" s="199">
        <f t="shared" si="9"/>
        <v>0</v>
      </c>
      <c r="N118" s="199">
        <f t="shared" si="10"/>
        <v>1</v>
      </c>
      <c r="O118" s="199">
        <f t="shared" si="11"/>
        <v>1</v>
      </c>
      <c r="P118" s="217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/>
      <c r="AN118" s="201"/>
      <c r="AO118" s="201"/>
      <c r="AP118" s="201"/>
      <c r="AQ118" s="201"/>
      <c r="AR118" s="201"/>
      <c r="AS118" s="201"/>
    </row>
    <row r="119" spans="1:45" x14ac:dyDescent="0.3">
      <c r="A119" s="1">
        <v>64</v>
      </c>
      <c r="B119" s="266" t="s">
        <v>624</v>
      </c>
      <c r="C119" s="266"/>
      <c r="D119" s="158">
        <v>133</v>
      </c>
      <c r="E119" s="158">
        <v>375</v>
      </c>
      <c r="F119" s="158">
        <v>0</v>
      </c>
      <c r="G119" s="158">
        <v>0</v>
      </c>
      <c r="H119" s="158">
        <v>0</v>
      </c>
      <c r="I119" s="54">
        <f t="shared" si="6"/>
        <v>0</v>
      </c>
      <c r="J119" s="54"/>
      <c r="K119" s="198">
        <f t="shared" si="7"/>
        <v>375</v>
      </c>
      <c r="L119" s="199">
        <f t="shared" si="8"/>
        <v>0</v>
      </c>
      <c r="M119" s="199">
        <f t="shared" si="9"/>
        <v>0</v>
      </c>
      <c r="N119" s="199">
        <f t="shared" si="10"/>
        <v>1</v>
      </c>
      <c r="O119" s="199">
        <f t="shared" si="11"/>
        <v>1</v>
      </c>
      <c r="P119" s="217"/>
    </row>
    <row r="120" spans="1:45" x14ac:dyDescent="0.3">
      <c r="A120" s="1">
        <v>65</v>
      </c>
      <c r="B120" s="266" t="s">
        <v>625</v>
      </c>
      <c r="C120" s="266"/>
      <c r="D120" s="158">
        <v>2550</v>
      </c>
      <c r="E120" s="158">
        <v>2775</v>
      </c>
      <c r="F120" s="158">
        <v>0</v>
      </c>
      <c r="G120" s="158">
        <v>0</v>
      </c>
      <c r="H120" s="158">
        <v>0</v>
      </c>
      <c r="I120" s="54">
        <f t="shared" si="6"/>
        <v>0</v>
      </c>
      <c r="J120" s="54"/>
      <c r="K120" s="198">
        <f t="shared" si="7"/>
        <v>2775</v>
      </c>
      <c r="L120" s="199">
        <f t="shared" si="8"/>
        <v>0</v>
      </c>
      <c r="M120" s="199">
        <f t="shared" si="9"/>
        <v>0</v>
      </c>
      <c r="N120" s="199">
        <f t="shared" si="10"/>
        <v>1</v>
      </c>
      <c r="O120" s="199">
        <f t="shared" si="11"/>
        <v>1</v>
      </c>
      <c r="P120" s="182"/>
    </row>
    <row r="121" spans="1:45" s="202" customFormat="1" x14ac:dyDescent="0.3">
      <c r="A121" s="1">
        <v>66</v>
      </c>
      <c r="B121" s="265" t="s">
        <v>626</v>
      </c>
      <c r="C121" s="265"/>
      <c r="D121" s="158">
        <v>4</v>
      </c>
      <c r="E121" s="158">
        <v>6</v>
      </c>
      <c r="F121" s="158">
        <v>0</v>
      </c>
      <c r="G121" s="158">
        <v>0</v>
      </c>
      <c r="H121" s="158">
        <v>0</v>
      </c>
      <c r="I121" s="54">
        <f t="shared" si="6"/>
        <v>0</v>
      </c>
      <c r="J121" s="54"/>
      <c r="K121" s="198">
        <f t="shared" si="7"/>
        <v>6</v>
      </c>
      <c r="L121" s="199">
        <f t="shared" si="8"/>
        <v>0</v>
      </c>
      <c r="M121" s="199">
        <f t="shared" si="9"/>
        <v>0</v>
      </c>
      <c r="N121" s="199">
        <f t="shared" si="10"/>
        <v>1</v>
      </c>
      <c r="O121" s="199">
        <f t="shared" si="11"/>
        <v>1</v>
      </c>
      <c r="P121" s="217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/>
      <c r="AN121" s="201"/>
      <c r="AO121" s="201"/>
      <c r="AP121" s="201"/>
      <c r="AQ121" s="201"/>
      <c r="AR121" s="201"/>
      <c r="AS121" s="201"/>
    </row>
    <row r="122" spans="1:45" s="202" customFormat="1" x14ac:dyDescent="0.3">
      <c r="A122" s="1">
        <v>67</v>
      </c>
      <c r="B122" s="263" t="s">
        <v>627</v>
      </c>
      <c r="C122" s="263"/>
      <c r="D122" s="158">
        <v>109</v>
      </c>
      <c r="E122" s="158">
        <v>175</v>
      </c>
      <c r="F122" s="158">
        <v>0</v>
      </c>
      <c r="G122" s="158">
        <v>0</v>
      </c>
      <c r="H122" s="158">
        <v>0</v>
      </c>
      <c r="I122" s="54">
        <f t="shared" si="6"/>
        <v>0</v>
      </c>
      <c r="J122" s="54"/>
      <c r="K122" s="198">
        <f t="shared" si="7"/>
        <v>175</v>
      </c>
      <c r="L122" s="199">
        <f t="shared" si="8"/>
        <v>0</v>
      </c>
      <c r="M122" s="199">
        <f t="shared" si="9"/>
        <v>0</v>
      </c>
      <c r="N122" s="199">
        <f t="shared" si="10"/>
        <v>1</v>
      </c>
      <c r="O122" s="199">
        <f t="shared" si="11"/>
        <v>1</v>
      </c>
      <c r="P122" s="217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1"/>
      <c r="AD122" s="201"/>
      <c r="AE122" s="201"/>
      <c r="AF122" s="201"/>
      <c r="AG122" s="201"/>
      <c r="AH122" s="201"/>
      <c r="AI122" s="201"/>
      <c r="AJ122" s="201"/>
      <c r="AK122" s="201"/>
      <c r="AL122" s="201"/>
      <c r="AM122" s="201"/>
      <c r="AN122" s="201"/>
      <c r="AO122" s="201"/>
      <c r="AP122" s="201"/>
      <c r="AQ122" s="201"/>
      <c r="AR122" s="201"/>
      <c r="AS122" s="201"/>
    </row>
    <row r="123" spans="1:45" x14ac:dyDescent="0.3">
      <c r="A123" s="1">
        <v>68</v>
      </c>
      <c r="B123" s="263" t="s">
        <v>698</v>
      </c>
      <c r="C123" s="263"/>
      <c r="D123" s="158">
        <v>58</v>
      </c>
      <c r="E123" s="158">
        <v>156</v>
      </c>
      <c r="F123" s="158">
        <v>0</v>
      </c>
      <c r="G123" s="158">
        <v>0</v>
      </c>
      <c r="H123" s="158">
        <v>0</v>
      </c>
      <c r="I123" s="54">
        <f t="shared" si="6"/>
        <v>0</v>
      </c>
      <c r="J123" s="54"/>
      <c r="K123" s="198">
        <f t="shared" si="7"/>
        <v>156</v>
      </c>
      <c r="L123" s="199">
        <f t="shared" si="8"/>
        <v>0</v>
      </c>
      <c r="M123" s="199">
        <f t="shared" si="9"/>
        <v>0</v>
      </c>
      <c r="N123" s="199">
        <f t="shared" si="10"/>
        <v>1</v>
      </c>
      <c r="O123" s="199">
        <f t="shared" si="11"/>
        <v>1</v>
      </c>
      <c r="P123" s="217"/>
    </row>
    <row r="124" spans="1:45" s="202" customFormat="1" x14ac:dyDescent="0.3">
      <c r="A124" s="1">
        <v>69</v>
      </c>
      <c r="B124" s="263" t="s">
        <v>699</v>
      </c>
      <c r="C124" s="263"/>
      <c r="D124" s="158">
        <v>43</v>
      </c>
      <c r="E124" s="158">
        <v>67</v>
      </c>
      <c r="F124" s="158">
        <v>0</v>
      </c>
      <c r="G124" s="158">
        <v>0</v>
      </c>
      <c r="H124" s="158">
        <v>0</v>
      </c>
      <c r="I124" s="54">
        <f t="shared" si="6"/>
        <v>0</v>
      </c>
      <c r="J124" s="54"/>
      <c r="K124" s="198">
        <f t="shared" si="7"/>
        <v>67</v>
      </c>
      <c r="L124" s="199">
        <f t="shared" si="8"/>
        <v>0</v>
      </c>
      <c r="M124" s="199">
        <f t="shared" si="9"/>
        <v>0</v>
      </c>
      <c r="N124" s="199">
        <f t="shared" si="10"/>
        <v>1</v>
      </c>
      <c r="O124" s="199">
        <f t="shared" si="11"/>
        <v>1</v>
      </c>
      <c r="P124" s="217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  <c r="AP124" s="201"/>
      <c r="AQ124" s="201"/>
      <c r="AR124" s="201"/>
      <c r="AS124" s="201"/>
    </row>
    <row r="125" spans="1:45" ht="18" customHeight="1" x14ac:dyDescent="0.3">
      <c r="A125" s="1">
        <v>70</v>
      </c>
      <c r="B125" s="263" t="s">
        <v>700</v>
      </c>
      <c r="C125" s="263"/>
      <c r="D125" s="158">
        <v>0</v>
      </c>
      <c r="E125" s="158">
        <v>0</v>
      </c>
      <c r="F125" s="158">
        <v>0</v>
      </c>
      <c r="G125" s="158">
        <v>0</v>
      </c>
      <c r="H125" s="158">
        <v>0</v>
      </c>
      <c r="I125" s="54">
        <f t="shared" si="6"/>
        <v>0</v>
      </c>
      <c r="J125" s="54"/>
      <c r="K125" s="198">
        <f t="shared" si="7"/>
        <v>0</v>
      </c>
      <c r="L125" s="199" t="str">
        <f t="shared" si="8"/>
        <v>-</v>
      </c>
      <c r="M125" s="199" t="str">
        <f t="shared" si="9"/>
        <v>-</v>
      </c>
      <c r="N125" s="199" t="str">
        <f t="shared" si="10"/>
        <v>-</v>
      </c>
      <c r="O125" s="199" t="str">
        <f t="shared" si="11"/>
        <v>-</v>
      </c>
      <c r="P125" s="217"/>
    </row>
    <row r="126" spans="1:45" s="202" customFormat="1" x14ac:dyDescent="0.3">
      <c r="A126" s="1">
        <v>71</v>
      </c>
      <c r="B126" s="263" t="s">
        <v>701</v>
      </c>
      <c r="C126" s="263"/>
      <c r="D126" s="158">
        <v>389</v>
      </c>
      <c r="E126" s="158">
        <v>336</v>
      </c>
      <c r="F126" s="158">
        <v>0</v>
      </c>
      <c r="G126" s="158">
        <v>0</v>
      </c>
      <c r="H126" s="158">
        <v>1</v>
      </c>
      <c r="I126" s="54">
        <f t="shared" si="6"/>
        <v>1</v>
      </c>
      <c r="J126" s="54"/>
      <c r="K126" s="198">
        <f t="shared" si="7"/>
        <v>335</v>
      </c>
      <c r="L126" s="199">
        <f t="shared" si="8"/>
        <v>2.976190476190476E-3</v>
      </c>
      <c r="M126" s="199">
        <f t="shared" si="9"/>
        <v>0</v>
      </c>
      <c r="N126" s="199">
        <f t="shared" si="10"/>
        <v>0.99702380952380953</v>
      </c>
      <c r="O126" s="199">
        <f t="shared" si="11"/>
        <v>0.99702380952380953</v>
      </c>
      <c r="P126" s="42" t="s">
        <v>693</v>
      </c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</row>
    <row r="127" spans="1:45" s="202" customFormat="1" ht="15.75" customHeight="1" x14ac:dyDescent="0.3">
      <c r="A127" s="1">
        <v>72</v>
      </c>
      <c r="B127" s="263" t="s">
        <v>702</v>
      </c>
      <c r="C127" s="263"/>
      <c r="D127" s="158">
        <v>22</v>
      </c>
      <c r="E127" s="158">
        <v>31</v>
      </c>
      <c r="F127" s="158">
        <v>0</v>
      </c>
      <c r="G127" s="158">
        <v>0</v>
      </c>
      <c r="H127" s="158">
        <v>0</v>
      </c>
      <c r="I127" s="54">
        <f t="shared" si="6"/>
        <v>0</v>
      </c>
      <c r="J127" s="54"/>
      <c r="K127" s="198">
        <f t="shared" si="7"/>
        <v>31</v>
      </c>
      <c r="L127" s="199">
        <f t="shared" si="8"/>
        <v>0</v>
      </c>
      <c r="M127" s="199">
        <f t="shared" si="9"/>
        <v>0</v>
      </c>
      <c r="N127" s="199">
        <f t="shared" si="10"/>
        <v>1</v>
      </c>
      <c r="O127" s="199">
        <f t="shared" si="11"/>
        <v>1</v>
      </c>
      <c r="P127" s="145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1"/>
      <c r="AD127" s="201"/>
      <c r="AE127" s="201"/>
      <c r="AF127" s="201"/>
      <c r="AG127" s="201"/>
      <c r="AH127" s="201"/>
      <c r="AI127" s="201"/>
      <c r="AJ127" s="201"/>
      <c r="AK127" s="201"/>
      <c r="AL127" s="201"/>
      <c r="AM127" s="201"/>
      <c r="AN127" s="201"/>
      <c r="AO127" s="201"/>
      <c r="AP127" s="201"/>
      <c r="AQ127" s="201"/>
      <c r="AR127" s="201"/>
      <c r="AS127" s="201"/>
    </row>
    <row r="128" spans="1:45" s="202" customFormat="1" ht="21" customHeight="1" x14ac:dyDescent="0.3">
      <c r="A128" s="1">
        <v>73</v>
      </c>
      <c r="B128" s="263" t="s">
        <v>703</v>
      </c>
      <c r="C128" s="263"/>
      <c r="D128" s="158">
        <v>524</v>
      </c>
      <c r="E128" s="158">
        <v>902</v>
      </c>
      <c r="F128" s="158">
        <v>0</v>
      </c>
      <c r="G128" s="158">
        <v>0</v>
      </c>
      <c r="H128" s="158">
        <v>2</v>
      </c>
      <c r="I128" s="54">
        <f t="shared" si="6"/>
        <v>2</v>
      </c>
      <c r="J128" s="54"/>
      <c r="K128" s="198">
        <f t="shared" si="7"/>
        <v>900</v>
      </c>
      <c r="L128" s="199">
        <f t="shared" si="8"/>
        <v>2.2172949002217295E-3</v>
      </c>
      <c r="M128" s="199">
        <f t="shared" si="9"/>
        <v>0</v>
      </c>
      <c r="N128" s="199">
        <f t="shared" si="10"/>
        <v>0.99778270509977829</v>
      </c>
      <c r="O128" s="199">
        <f t="shared" si="11"/>
        <v>0.99778270509977829</v>
      </c>
      <c r="P128" s="42" t="s">
        <v>689</v>
      </c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01"/>
    </row>
    <row r="129" spans="1:45" x14ac:dyDescent="0.3">
      <c r="A129" s="1">
        <v>74</v>
      </c>
      <c r="B129" s="263" t="s">
        <v>704</v>
      </c>
      <c r="C129" s="263"/>
      <c r="D129" s="158">
        <v>806</v>
      </c>
      <c r="E129" s="158">
        <v>1032</v>
      </c>
      <c r="F129" s="158">
        <v>0</v>
      </c>
      <c r="G129" s="158">
        <v>0</v>
      </c>
      <c r="H129" s="158">
        <v>4</v>
      </c>
      <c r="I129" s="54">
        <f t="shared" si="6"/>
        <v>4</v>
      </c>
      <c r="J129" s="54"/>
      <c r="K129" s="198">
        <f t="shared" si="7"/>
        <v>1028</v>
      </c>
      <c r="L129" s="199">
        <f t="shared" si="8"/>
        <v>3.875968992248062E-3</v>
      </c>
      <c r="M129" s="199">
        <f t="shared" si="9"/>
        <v>0</v>
      </c>
      <c r="N129" s="199">
        <f t="shared" si="10"/>
        <v>0.99612403100775193</v>
      </c>
      <c r="O129" s="199">
        <f t="shared" si="11"/>
        <v>0.99612403100775193</v>
      </c>
      <c r="P129" s="42" t="s">
        <v>679</v>
      </c>
    </row>
    <row r="130" spans="1:45" x14ac:dyDescent="0.3">
      <c r="A130" s="1">
        <v>75</v>
      </c>
      <c r="B130" s="263" t="s">
        <v>705</v>
      </c>
      <c r="C130" s="263"/>
      <c r="D130" s="158">
        <v>1111</v>
      </c>
      <c r="E130" s="158">
        <v>1696</v>
      </c>
      <c r="F130" s="158">
        <v>0</v>
      </c>
      <c r="G130" s="158">
        <v>0</v>
      </c>
      <c r="H130" s="158">
        <v>5</v>
      </c>
      <c r="I130" s="54">
        <f t="shared" si="6"/>
        <v>5</v>
      </c>
      <c r="J130" s="54"/>
      <c r="K130" s="198">
        <f t="shared" si="7"/>
        <v>1691</v>
      </c>
      <c r="L130" s="199">
        <f t="shared" si="8"/>
        <v>2.94811320754717E-3</v>
      </c>
      <c r="M130" s="199">
        <f t="shared" si="9"/>
        <v>0</v>
      </c>
      <c r="N130" s="199">
        <f t="shared" si="10"/>
        <v>0.99705188679245282</v>
      </c>
      <c r="O130" s="199">
        <f t="shared" si="11"/>
        <v>0.99705188679245282</v>
      </c>
      <c r="P130" s="42" t="s">
        <v>706</v>
      </c>
    </row>
    <row r="131" spans="1:45" ht="15" customHeight="1" x14ac:dyDescent="0.3">
      <c r="A131" s="1">
        <v>76</v>
      </c>
      <c r="B131" s="263" t="s">
        <v>707</v>
      </c>
      <c r="C131" s="263"/>
      <c r="D131" s="158">
        <v>348</v>
      </c>
      <c r="E131" s="158">
        <v>40</v>
      </c>
      <c r="F131" s="158">
        <v>0</v>
      </c>
      <c r="G131" s="158">
        <v>0</v>
      </c>
      <c r="H131" s="158">
        <v>0</v>
      </c>
      <c r="I131" s="54">
        <f t="shared" si="6"/>
        <v>0</v>
      </c>
      <c r="J131" s="54"/>
      <c r="K131" s="198">
        <f t="shared" si="7"/>
        <v>40</v>
      </c>
      <c r="L131" s="199">
        <f t="shared" si="8"/>
        <v>0</v>
      </c>
      <c r="M131" s="199">
        <f t="shared" si="9"/>
        <v>0</v>
      </c>
      <c r="N131" s="199">
        <f t="shared" si="10"/>
        <v>1</v>
      </c>
      <c r="O131" s="199">
        <f t="shared" si="11"/>
        <v>1</v>
      </c>
      <c r="P131" s="173"/>
    </row>
    <row r="132" spans="1:45" s="210" customFormat="1" x14ac:dyDescent="0.3">
      <c r="A132" s="1">
        <v>77</v>
      </c>
      <c r="B132" s="263" t="s">
        <v>708</v>
      </c>
      <c r="C132" s="263"/>
      <c r="D132" s="158">
        <v>9</v>
      </c>
      <c r="E132" s="158">
        <v>12</v>
      </c>
      <c r="F132" s="158">
        <v>0</v>
      </c>
      <c r="G132" s="158">
        <v>0</v>
      </c>
      <c r="H132" s="158">
        <v>0</v>
      </c>
      <c r="I132" s="54">
        <f t="shared" si="6"/>
        <v>0</v>
      </c>
      <c r="J132" s="54"/>
      <c r="K132" s="198">
        <f t="shared" si="7"/>
        <v>12</v>
      </c>
      <c r="L132" s="199">
        <f t="shared" si="8"/>
        <v>0</v>
      </c>
      <c r="M132" s="199">
        <f t="shared" si="9"/>
        <v>0</v>
      </c>
      <c r="N132" s="199">
        <f t="shared" si="10"/>
        <v>1</v>
      </c>
      <c r="O132" s="199">
        <f t="shared" si="11"/>
        <v>1</v>
      </c>
      <c r="P132" s="217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09"/>
      <c r="AP132" s="209"/>
      <c r="AQ132" s="209"/>
      <c r="AR132" s="209"/>
      <c r="AS132" s="209"/>
    </row>
    <row r="133" spans="1:45" ht="15.75" customHeight="1" x14ac:dyDescent="0.3">
      <c r="A133" s="1">
        <v>78</v>
      </c>
      <c r="B133" s="263" t="s">
        <v>709</v>
      </c>
      <c r="C133" s="263"/>
      <c r="D133" s="158">
        <v>0</v>
      </c>
      <c r="E133" s="158">
        <v>10</v>
      </c>
      <c r="F133" s="158">
        <v>0</v>
      </c>
      <c r="G133" s="158">
        <v>0</v>
      </c>
      <c r="H133" s="158">
        <v>0</v>
      </c>
      <c r="I133" s="54">
        <f t="shared" si="6"/>
        <v>0</v>
      </c>
      <c r="J133" s="54"/>
      <c r="K133" s="198">
        <f t="shared" si="7"/>
        <v>10</v>
      </c>
      <c r="L133" s="199">
        <f t="shared" si="8"/>
        <v>0</v>
      </c>
      <c r="M133" s="199">
        <f t="shared" si="9"/>
        <v>0</v>
      </c>
      <c r="N133" s="199">
        <f t="shared" si="10"/>
        <v>1</v>
      </c>
      <c r="O133" s="199">
        <f t="shared" si="11"/>
        <v>1</v>
      </c>
      <c r="P133" s="42"/>
    </row>
    <row r="134" spans="1:45" ht="15.75" customHeight="1" x14ac:dyDescent="0.3">
      <c r="A134" s="1">
        <v>79</v>
      </c>
      <c r="B134" s="263" t="s">
        <v>710</v>
      </c>
      <c r="C134" s="263"/>
      <c r="D134" s="158">
        <v>130</v>
      </c>
      <c r="E134" s="158">
        <v>125</v>
      </c>
      <c r="F134" s="158">
        <v>0</v>
      </c>
      <c r="G134" s="158">
        <v>0</v>
      </c>
      <c r="H134" s="158">
        <v>0</v>
      </c>
      <c r="I134" s="54">
        <f t="shared" ref="I134:I169" si="12">SUM(F134:H134)</f>
        <v>0</v>
      </c>
      <c r="J134" s="54"/>
      <c r="K134" s="198">
        <f t="shared" ref="K134:K169" si="13">SUM(E134-(I134+J134))</f>
        <v>125</v>
      </c>
      <c r="L134" s="199">
        <f t="shared" ref="L134:L169" si="14">IF(E134=0,"-",(I134/E134))</f>
        <v>0</v>
      </c>
      <c r="M134" s="199">
        <f t="shared" ref="M134:M169" si="15">IF(E134=0,"-",(J134/E134))</f>
        <v>0</v>
      </c>
      <c r="N134" s="199">
        <f t="shared" ref="N134:N169" si="16">IF(E134=0,"-",(K134/E134))</f>
        <v>1</v>
      </c>
      <c r="O134" s="199">
        <f t="shared" ref="O134:O169" si="17">IF(E134=0,"-",(M134+N134))</f>
        <v>1</v>
      </c>
      <c r="P134" s="218"/>
    </row>
    <row r="135" spans="1:45" x14ac:dyDescent="0.3">
      <c r="A135" s="1">
        <v>80</v>
      </c>
      <c r="B135" s="263" t="s">
        <v>711</v>
      </c>
      <c r="C135" s="263"/>
      <c r="D135" s="158">
        <v>258</v>
      </c>
      <c r="E135" s="158">
        <v>120</v>
      </c>
      <c r="F135" s="158">
        <v>0</v>
      </c>
      <c r="G135" s="158">
        <v>0</v>
      </c>
      <c r="H135" s="158">
        <v>0</v>
      </c>
      <c r="I135" s="54">
        <f t="shared" si="12"/>
        <v>0</v>
      </c>
      <c r="J135" s="54"/>
      <c r="K135" s="198">
        <f t="shared" si="13"/>
        <v>120</v>
      </c>
      <c r="L135" s="199">
        <f t="shared" si="14"/>
        <v>0</v>
      </c>
      <c r="M135" s="199">
        <f t="shared" si="15"/>
        <v>0</v>
      </c>
      <c r="N135" s="199">
        <f t="shared" si="16"/>
        <v>1</v>
      </c>
      <c r="O135" s="199">
        <f t="shared" si="17"/>
        <v>1</v>
      </c>
      <c r="P135" s="217"/>
    </row>
    <row r="136" spans="1:45" x14ac:dyDescent="0.3">
      <c r="A136" s="1">
        <v>81</v>
      </c>
      <c r="B136" s="263" t="s">
        <v>712</v>
      </c>
      <c r="C136" s="263"/>
      <c r="D136" s="158">
        <v>144</v>
      </c>
      <c r="E136" s="158">
        <v>216</v>
      </c>
      <c r="F136" s="158">
        <v>0</v>
      </c>
      <c r="G136" s="158">
        <v>0</v>
      </c>
      <c r="H136" s="158">
        <v>1</v>
      </c>
      <c r="I136" s="54">
        <f t="shared" si="12"/>
        <v>1</v>
      </c>
      <c r="J136" s="54"/>
      <c r="K136" s="198">
        <f t="shared" si="13"/>
        <v>215</v>
      </c>
      <c r="L136" s="199">
        <f t="shared" si="14"/>
        <v>4.6296296296296294E-3</v>
      </c>
      <c r="M136" s="199">
        <f t="shared" si="15"/>
        <v>0</v>
      </c>
      <c r="N136" s="199">
        <f t="shared" si="16"/>
        <v>0.99537037037037035</v>
      </c>
      <c r="O136" s="199">
        <f t="shared" si="17"/>
        <v>0.99537037037037035</v>
      </c>
      <c r="P136" s="42" t="s">
        <v>693</v>
      </c>
    </row>
    <row r="137" spans="1:45" x14ac:dyDescent="0.3">
      <c r="A137" s="1">
        <v>82</v>
      </c>
      <c r="B137" s="263" t="s">
        <v>713</v>
      </c>
      <c r="C137" s="263"/>
      <c r="D137" s="158">
        <v>174</v>
      </c>
      <c r="E137" s="158">
        <v>61</v>
      </c>
      <c r="F137" s="158">
        <v>0</v>
      </c>
      <c r="G137" s="158">
        <v>0</v>
      </c>
      <c r="H137" s="158">
        <v>1</v>
      </c>
      <c r="I137" s="54">
        <f t="shared" si="12"/>
        <v>1</v>
      </c>
      <c r="J137" s="54"/>
      <c r="K137" s="198">
        <f t="shared" si="13"/>
        <v>60</v>
      </c>
      <c r="L137" s="199">
        <f t="shared" si="14"/>
        <v>1.6393442622950821E-2</v>
      </c>
      <c r="M137" s="199">
        <f t="shared" si="15"/>
        <v>0</v>
      </c>
      <c r="N137" s="199">
        <f t="shared" si="16"/>
        <v>0.98360655737704916</v>
      </c>
      <c r="O137" s="199">
        <f t="shared" si="17"/>
        <v>0.98360655737704916</v>
      </c>
      <c r="P137" s="42" t="s">
        <v>693</v>
      </c>
    </row>
    <row r="138" spans="1:45" ht="15.75" customHeight="1" x14ac:dyDescent="0.3">
      <c r="A138" s="1">
        <v>83</v>
      </c>
      <c r="B138" s="263" t="s">
        <v>714</v>
      </c>
      <c r="C138" s="263"/>
      <c r="D138" s="158">
        <v>0</v>
      </c>
      <c r="E138" s="158">
        <v>0</v>
      </c>
      <c r="F138" s="158">
        <v>0</v>
      </c>
      <c r="G138" s="158">
        <v>0</v>
      </c>
      <c r="H138" s="158">
        <v>0</v>
      </c>
      <c r="I138" s="54">
        <f t="shared" si="12"/>
        <v>0</v>
      </c>
      <c r="J138" s="54"/>
      <c r="K138" s="198">
        <f t="shared" si="13"/>
        <v>0</v>
      </c>
      <c r="L138" s="199" t="str">
        <f t="shared" si="14"/>
        <v>-</v>
      </c>
      <c r="M138" s="199" t="str">
        <f t="shared" si="15"/>
        <v>-</v>
      </c>
      <c r="N138" s="199" t="str">
        <f t="shared" si="16"/>
        <v>-</v>
      </c>
      <c r="O138" s="199" t="str">
        <f t="shared" si="17"/>
        <v>-</v>
      </c>
      <c r="P138" s="222"/>
    </row>
    <row r="139" spans="1:45" ht="15" customHeight="1" x14ac:dyDescent="0.3">
      <c r="A139" s="1">
        <v>84</v>
      </c>
      <c r="B139" s="263" t="s">
        <v>715</v>
      </c>
      <c r="C139" s="263"/>
      <c r="D139" s="158">
        <v>4</v>
      </c>
      <c r="E139" s="158">
        <v>207</v>
      </c>
      <c r="F139" s="158">
        <v>0</v>
      </c>
      <c r="G139" s="158">
        <v>0</v>
      </c>
      <c r="H139" s="158">
        <v>0</v>
      </c>
      <c r="I139" s="54">
        <f t="shared" si="12"/>
        <v>0</v>
      </c>
      <c r="J139" s="54"/>
      <c r="K139" s="198">
        <f t="shared" si="13"/>
        <v>207</v>
      </c>
      <c r="L139" s="199">
        <f t="shared" si="14"/>
        <v>0</v>
      </c>
      <c r="M139" s="199">
        <f t="shared" si="15"/>
        <v>0</v>
      </c>
      <c r="N139" s="199">
        <f t="shared" si="16"/>
        <v>1</v>
      </c>
      <c r="O139" s="199">
        <f t="shared" si="17"/>
        <v>1</v>
      </c>
      <c r="P139" s="217"/>
    </row>
    <row r="140" spans="1:45" ht="15.75" customHeight="1" x14ac:dyDescent="0.3">
      <c r="A140" s="1">
        <v>85</v>
      </c>
      <c r="B140" s="264" t="s">
        <v>716</v>
      </c>
      <c r="C140" s="264"/>
      <c r="D140" s="158">
        <v>0</v>
      </c>
      <c r="E140" s="158">
        <v>14</v>
      </c>
      <c r="F140" s="158">
        <v>0</v>
      </c>
      <c r="G140" s="158">
        <v>0</v>
      </c>
      <c r="H140" s="158">
        <v>0</v>
      </c>
      <c r="I140" s="54">
        <f t="shared" si="12"/>
        <v>0</v>
      </c>
      <c r="J140" s="54"/>
      <c r="K140" s="198">
        <f t="shared" si="13"/>
        <v>14</v>
      </c>
      <c r="L140" s="199">
        <f t="shared" si="14"/>
        <v>0</v>
      </c>
      <c r="M140" s="199">
        <f t="shared" si="15"/>
        <v>0</v>
      </c>
      <c r="N140" s="199">
        <f t="shared" si="16"/>
        <v>1</v>
      </c>
      <c r="O140" s="199">
        <f t="shared" si="17"/>
        <v>1</v>
      </c>
      <c r="P140" s="222"/>
    </row>
    <row r="141" spans="1:45" ht="15.75" customHeight="1" x14ac:dyDescent="0.3">
      <c r="A141" s="1">
        <v>86</v>
      </c>
      <c r="B141" s="264" t="s">
        <v>717</v>
      </c>
      <c r="C141" s="264"/>
      <c r="D141" s="158">
        <v>0</v>
      </c>
      <c r="E141" s="158">
        <v>0</v>
      </c>
      <c r="F141" s="158">
        <v>0</v>
      </c>
      <c r="G141" s="158">
        <v>0</v>
      </c>
      <c r="H141" s="158">
        <v>0</v>
      </c>
      <c r="I141" s="54">
        <f t="shared" si="12"/>
        <v>0</v>
      </c>
      <c r="J141" s="54"/>
      <c r="K141" s="198">
        <f t="shared" si="13"/>
        <v>0</v>
      </c>
      <c r="L141" s="199" t="str">
        <f t="shared" si="14"/>
        <v>-</v>
      </c>
      <c r="M141" s="199" t="str">
        <f t="shared" si="15"/>
        <v>-</v>
      </c>
      <c r="N141" s="199" t="str">
        <f t="shared" si="16"/>
        <v>-</v>
      </c>
      <c r="O141" s="199" t="str">
        <f t="shared" si="17"/>
        <v>-</v>
      </c>
      <c r="P141" s="223"/>
    </row>
    <row r="142" spans="1:45" ht="15.75" customHeight="1" x14ac:dyDescent="0.3">
      <c r="A142" s="1">
        <v>87</v>
      </c>
      <c r="B142" s="264" t="s">
        <v>718</v>
      </c>
      <c r="C142" s="264"/>
      <c r="D142" s="158">
        <v>49</v>
      </c>
      <c r="E142" s="158">
        <v>14</v>
      </c>
      <c r="F142" s="158">
        <v>0</v>
      </c>
      <c r="G142" s="158">
        <v>0</v>
      </c>
      <c r="H142" s="158">
        <v>0</v>
      </c>
      <c r="I142" s="54">
        <f t="shared" si="12"/>
        <v>0</v>
      </c>
      <c r="J142" s="54"/>
      <c r="K142" s="198">
        <f t="shared" si="13"/>
        <v>14</v>
      </c>
      <c r="L142" s="199">
        <f t="shared" si="14"/>
        <v>0</v>
      </c>
      <c r="M142" s="199">
        <f t="shared" si="15"/>
        <v>0</v>
      </c>
      <c r="N142" s="199">
        <f t="shared" si="16"/>
        <v>1</v>
      </c>
      <c r="O142" s="199">
        <f t="shared" si="17"/>
        <v>1</v>
      </c>
      <c r="P142" s="223"/>
    </row>
    <row r="143" spans="1:45" ht="15.75" customHeight="1" x14ac:dyDescent="0.3">
      <c r="A143" s="1">
        <v>88</v>
      </c>
      <c r="B143" s="264" t="s">
        <v>719</v>
      </c>
      <c r="C143" s="264"/>
      <c r="D143" s="158">
        <v>1</v>
      </c>
      <c r="E143" s="158">
        <v>11</v>
      </c>
      <c r="F143" s="158">
        <v>0</v>
      </c>
      <c r="G143" s="158">
        <v>0</v>
      </c>
      <c r="H143" s="158">
        <v>0</v>
      </c>
      <c r="I143" s="54">
        <f t="shared" si="12"/>
        <v>0</v>
      </c>
      <c r="J143" s="54"/>
      <c r="K143" s="198">
        <f t="shared" si="13"/>
        <v>11</v>
      </c>
      <c r="L143" s="199">
        <f t="shared" si="14"/>
        <v>0</v>
      </c>
      <c r="M143" s="199">
        <f t="shared" si="15"/>
        <v>0</v>
      </c>
      <c r="N143" s="199">
        <f t="shared" si="16"/>
        <v>1</v>
      </c>
      <c r="O143" s="199">
        <f t="shared" si="17"/>
        <v>1</v>
      </c>
      <c r="P143" s="223"/>
    </row>
    <row r="144" spans="1:45" ht="15.75" customHeight="1" x14ac:dyDescent="0.3">
      <c r="A144" s="1">
        <v>89</v>
      </c>
      <c r="B144" s="267" t="s">
        <v>720</v>
      </c>
      <c r="C144" s="267"/>
      <c r="D144" s="158">
        <v>0</v>
      </c>
      <c r="E144" s="158">
        <v>0</v>
      </c>
      <c r="F144" s="158">
        <v>0</v>
      </c>
      <c r="G144" s="158">
        <v>0</v>
      </c>
      <c r="H144" s="158">
        <v>0</v>
      </c>
      <c r="I144" s="54">
        <f t="shared" si="12"/>
        <v>0</v>
      </c>
      <c r="J144" s="54"/>
      <c r="K144" s="198">
        <f t="shared" si="13"/>
        <v>0</v>
      </c>
      <c r="L144" s="199" t="str">
        <f t="shared" si="14"/>
        <v>-</v>
      </c>
      <c r="M144" s="199" t="str">
        <f t="shared" si="15"/>
        <v>-</v>
      </c>
      <c r="N144" s="199" t="str">
        <f t="shared" si="16"/>
        <v>-</v>
      </c>
      <c r="O144" s="199" t="str">
        <f t="shared" si="17"/>
        <v>-</v>
      </c>
      <c r="P144" s="223"/>
    </row>
    <row r="145" spans="1:45" ht="15.75" customHeight="1" x14ac:dyDescent="0.3">
      <c r="A145" s="1">
        <v>90</v>
      </c>
      <c r="B145" s="267" t="s">
        <v>721</v>
      </c>
      <c r="C145" s="267"/>
      <c r="D145" s="158">
        <v>0</v>
      </c>
      <c r="E145" s="158">
        <v>0</v>
      </c>
      <c r="F145" s="158">
        <v>0</v>
      </c>
      <c r="G145" s="158">
        <v>0</v>
      </c>
      <c r="H145" s="158">
        <v>0</v>
      </c>
      <c r="I145" s="54">
        <f t="shared" si="12"/>
        <v>0</v>
      </c>
      <c r="J145" s="54"/>
      <c r="K145" s="198">
        <f t="shared" si="13"/>
        <v>0</v>
      </c>
      <c r="L145" s="199" t="str">
        <f t="shared" si="14"/>
        <v>-</v>
      </c>
      <c r="M145" s="199" t="str">
        <f t="shared" si="15"/>
        <v>-</v>
      </c>
      <c r="N145" s="199" t="str">
        <f t="shared" si="16"/>
        <v>-</v>
      </c>
      <c r="O145" s="199" t="str">
        <f t="shared" si="17"/>
        <v>-</v>
      </c>
      <c r="P145" s="223"/>
    </row>
    <row r="146" spans="1:45" x14ac:dyDescent="0.3">
      <c r="A146" s="1">
        <v>91</v>
      </c>
      <c r="B146" s="267" t="s">
        <v>722</v>
      </c>
      <c r="C146" s="267"/>
      <c r="D146" s="158">
        <v>0</v>
      </c>
      <c r="E146" s="158">
        <v>0</v>
      </c>
      <c r="F146" s="158">
        <v>0</v>
      </c>
      <c r="G146" s="158">
        <v>0</v>
      </c>
      <c r="H146" s="158">
        <v>0</v>
      </c>
      <c r="I146" s="54">
        <f t="shared" si="12"/>
        <v>0</v>
      </c>
      <c r="J146" s="54"/>
      <c r="K146" s="198">
        <f t="shared" si="13"/>
        <v>0</v>
      </c>
      <c r="L146" s="199" t="str">
        <f t="shared" si="14"/>
        <v>-</v>
      </c>
      <c r="M146" s="199" t="str">
        <f t="shared" si="15"/>
        <v>-</v>
      </c>
      <c r="N146" s="199" t="str">
        <f t="shared" si="16"/>
        <v>-</v>
      </c>
      <c r="O146" s="199" t="str">
        <f t="shared" si="17"/>
        <v>-</v>
      </c>
      <c r="P146" s="219"/>
    </row>
    <row r="147" spans="1:45" x14ac:dyDescent="0.3">
      <c r="A147" s="1">
        <v>92</v>
      </c>
      <c r="B147" s="267" t="s">
        <v>723</v>
      </c>
      <c r="C147" s="267"/>
      <c r="D147" s="158">
        <v>1</v>
      </c>
      <c r="E147" s="158">
        <v>1</v>
      </c>
      <c r="F147" s="158">
        <v>0</v>
      </c>
      <c r="G147" s="158">
        <v>0</v>
      </c>
      <c r="H147" s="158">
        <v>0</v>
      </c>
      <c r="I147" s="54">
        <f t="shared" si="12"/>
        <v>0</v>
      </c>
      <c r="J147" s="54"/>
      <c r="K147" s="198">
        <f t="shared" si="13"/>
        <v>1</v>
      </c>
      <c r="L147" s="199">
        <f t="shared" si="14"/>
        <v>0</v>
      </c>
      <c r="M147" s="199">
        <f t="shared" si="15"/>
        <v>0</v>
      </c>
      <c r="N147" s="199">
        <f t="shared" si="16"/>
        <v>1</v>
      </c>
      <c r="O147" s="199">
        <f t="shared" si="17"/>
        <v>1</v>
      </c>
      <c r="P147" s="219"/>
    </row>
    <row r="148" spans="1:45" x14ac:dyDescent="0.3">
      <c r="A148" s="1">
        <v>93</v>
      </c>
      <c r="B148" s="267" t="s">
        <v>724</v>
      </c>
      <c r="C148" s="267"/>
      <c r="D148" s="158">
        <v>54</v>
      </c>
      <c r="E148" s="158">
        <v>72</v>
      </c>
      <c r="F148" s="158">
        <v>0</v>
      </c>
      <c r="G148" s="158">
        <v>0</v>
      </c>
      <c r="H148" s="158">
        <v>0</v>
      </c>
      <c r="I148" s="54">
        <f t="shared" si="12"/>
        <v>0</v>
      </c>
      <c r="J148" s="54"/>
      <c r="K148" s="198">
        <f t="shared" si="13"/>
        <v>72</v>
      </c>
      <c r="L148" s="199">
        <f t="shared" si="14"/>
        <v>0</v>
      </c>
      <c r="M148" s="199">
        <f t="shared" si="15"/>
        <v>0</v>
      </c>
      <c r="N148" s="199">
        <f t="shared" si="16"/>
        <v>1</v>
      </c>
      <c r="O148" s="199">
        <f t="shared" si="17"/>
        <v>1</v>
      </c>
      <c r="P148" s="217"/>
    </row>
    <row r="149" spans="1:45" ht="15.75" customHeight="1" x14ac:dyDescent="0.3">
      <c r="A149" s="1">
        <v>94</v>
      </c>
      <c r="B149" s="267" t="s">
        <v>725</v>
      </c>
      <c r="C149" s="267"/>
      <c r="D149" s="158">
        <v>0</v>
      </c>
      <c r="E149" s="158">
        <v>0</v>
      </c>
      <c r="F149" s="158">
        <v>0</v>
      </c>
      <c r="G149" s="158">
        <v>0</v>
      </c>
      <c r="H149" s="158">
        <v>0</v>
      </c>
      <c r="I149" s="54">
        <f t="shared" si="12"/>
        <v>0</v>
      </c>
      <c r="J149" s="54"/>
      <c r="K149" s="198">
        <f t="shared" si="13"/>
        <v>0</v>
      </c>
      <c r="L149" s="199" t="str">
        <f t="shared" si="14"/>
        <v>-</v>
      </c>
      <c r="M149" s="199" t="str">
        <f t="shared" si="15"/>
        <v>-</v>
      </c>
      <c r="N149" s="199" t="str">
        <f t="shared" si="16"/>
        <v>-</v>
      </c>
      <c r="O149" s="199" t="str">
        <f t="shared" si="17"/>
        <v>-</v>
      </c>
      <c r="P149" s="219"/>
    </row>
    <row r="150" spans="1:45" s="1" customFormat="1" ht="15" customHeight="1" x14ac:dyDescent="0.3">
      <c r="A150" s="1">
        <v>95</v>
      </c>
      <c r="B150" s="267" t="s">
        <v>726</v>
      </c>
      <c r="C150" s="267"/>
      <c r="D150" s="158">
        <v>0</v>
      </c>
      <c r="E150" s="158">
        <v>0</v>
      </c>
      <c r="F150" s="158">
        <v>0</v>
      </c>
      <c r="G150" s="158">
        <v>0</v>
      </c>
      <c r="H150" s="158">
        <v>0</v>
      </c>
      <c r="I150" s="54">
        <f t="shared" si="12"/>
        <v>0</v>
      </c>
      <c r="J150" s="54"/>
      <c r="K150" s="198">
        <f t="shared" si="13"/>
        <v>0</v>
      </c>
      <c r="L150" s="199" t="str">
        <f t="shared" si="14"/>
        <v>-</v>
      </c>
      <c r="M150" s="199" t="str">
        <f t="shared" si="15"/>
        <v>-</v>
      </c>
      <c r="N150" s="199" t="str">
        <f t="shared" si="16"/>
        <v>-</v>
      </c>
      <c r="O150" s="199" t="str">
        <f t="shared" si="17"/>
        <v>-</v>
      </c>
      <c r="P150" s="224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202" customFormat="1" x14ac:dyDescent="0.3">
      <c r="A151" s="1">
        <v>96</v>
      </c>
      <c r="B151" s="267" t="s">
        <v>727</v>
      </c>
      <c r="C151" s="267"/>
      <c r="D151" s="158">
        <v>90</v>
      </c>
      <c r="E151" s="158">
        <v>89</v>
      </c>
      <c r="F151" s="158">
        <v>0</v>
      </c>
      <c r="G151" s="158">
        <v>0</v>
      </c>
      <c r="H151" s="158">
        <v>0</v>
      </c>
      <c r="I151" s="54">
        <f t="shared" si="12"/>
        <v>0</v>
      </c>
      <c r="J151" s="54"/>
      <c r="K151" s="198">
        <f t="shared" si="13"/>
        <v>89</v>
      </c>
      <c r="L151" s="199">
        <f t="shared" si="14"/>
        <v>0</v>
      </c>
      <c r="M151" s="199">
        <f t="shared" si="15"/>
        <v>0</v>
      </c>
      <c r="N151" s="199">
        <f t="shared" si="16"/>
        <v>1</v>
      </c>
      <c r="O151" s="199">
        <f t="shared" si="17"/>
        <v>1</v>
      </c>
      <c r="P151" s="217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</row>
    <row r="152" spans="1:45" s="202" customFormat="1" x14ac:dyDescent="0.3">
      <c r="A152" s="1">
        <v>97</v>
      </c>
      <c r="B152" s="267" t="s">
        <v>728</v>
      </c>
      <c r="C152" s="267"/>
      <c r="D152" s="158">
        <v>0</v>
      </c>
      <c r="E152" s="158">
        <v>0</v>
      </c>
      <c r="F152" s="158">
        <v>0</v>
      </c>
      <c r="G152" s="158">
        <v>0</v>
      </c>
      <c r="H152" s="158">
        <v>0</v>
      </c>
      <c r="I152" s="54">
        <f t="shared" si="12"/>
        <v>0</v>
      </c>
      <c r="J152" s="54"/>
      <c r="K152" s="198">
        <f t="shared" si="13"/>
        <v>0</v>
      </c>
      <c r="L152" s="199" t="str">
        <f t="shared" si="14"/>
        <v>-</v>
      </c>
      <c r="M152" s="199" t="str">
        <f t="shared" si="15"/>
        <v>-</v>
      </c>
      <c r="N152" s="199" t="str">
        <f t="shared" si="16"/>
        <v>-</v>
      </c>
      <c r="O152" s="199" t="str">
        <f t="shared" si="17"/>
        <v>-</v>
      </c>
      <c r="P152" s="217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1"/>
      <c r="AD152" s="201"/>
      <c r="AE152" s="201"/>
      <c r="AF152" s="201"/>
      <c r="AG152" s="201"/>
      <c r="AH152" s="201"/>
      <c r="AI152" s="201"/>
      <c r="AJ152" s="201"/>
      <c r="AK152" s="201"/>
      <c r="AL152" s="201"/>
      <c r="AM152" s="201"/>
      <c r="AN152" s="201"/>
      <c r="AO152" s="201"/>
      <c r="AP152" s="201"/>
      <c r="AQ152" s="201"/>
      <c r="AR152" s="201"/>
      <c r="AS152" s="201"/>
    </row>
    <row r="153" spans="1:45" x14ac:dyDescent="0.3">
      <c r="A153" s="1">
        <v>98</v>
      </c>
      <c r="B153" s="267" t="s">
        <v>729</v>
      </c>
      <c r="C153" s="267"/>
      <c r="D153" s="158">
        <v>0</v>
      </c>
      <c r="E153" s="158">
        <v>4784</v>
      </c>
      <c r="F153" s="158">
        <v>0</v>
      </c>
      <c r="G153" s="158">
        <v>0</v>
      </c>
      <c r="H153" s="158">
        <v>0</v>
      </c>
      <c r="I153" s="54">
        <f t="shared" si="12"/>
        <v>0</v>
      </c>
      <c r="J153" s="54"/>
      <c r="K153" s="198">
        <f t="shared" si="13"/>
        <v>4784</v>
      </c>
      <c r="L153" s="199">
        <f t="shared" si="14"/>
        <v>0</v>
      </c>
      <c r="M153" s="199">
        <f t="shared" si="15"/>
        <v>0</v>
      </c>
      <c r="N153" s="199">
        <f t="shared" si="16"/>
        <v>1</v>
      </c>
      <c r="O153" s="199">
        <f t="shared" si="17"/>
        <v>1</v>
      </c>
      <c r="P153" s="221"/>
    </row>
    <row r="154" spans="1:45" x14ac:dyDescent="0.3">
      <c r="A154" s="1">
        <v>99</v>
      </c>
      <c r="B154" s="267" t="s">
        <v>730</v>
      </c>
      <c r="C154" s="267"/>
      <c r="D154" s="158">
        <v>0</v>
      </c>
      <c r="E154" s="158">
        <v>99</v>
      </c>
      <c r="F154" s="158">
        <v>0</v>
      </c>
      <c r="G154" s="158">
        <v>0</v>
      </c>
      <c r="H154" s="158">
        <v>0</v>
      </c>
      <c r="I154" s="54">
        <f t="shared" si="12"/>
        <v>0</v>
      </c>
      <c r="J154" s="54"/>
      <c r="K154" s="198">
        <f t="shared" si="13"/>
        <v>99</v>
      </c>
      <c r="L154" s="199">
        <f t="shared" si="14"/>
        <v>0</v>
      </c>
      <c r="M154" s="199">
        <f t="shared" si="15"/>
        <v>0</v>
      </c>
      <c r="N154" s="199">
        <f t="shared" si="16"/>
        <v>1</v>
      </c>
      <c r="O154" s="199">
        <f t="shared" si="17"/>
        <v>1</v>
      </c>
      <c r="P154" s="225"/>
    </row>
    <row r="155" spans="1:45" s="202" customFormat="1" x14ac:dyDescent="0.3">
      <c r="A155" s="1">
        <v>100</v>
      </c>
      <c r="B155" s="267" t="s">
        <v>731</v>
      </c>
      <c r="C155" s="267"/>
      <c r="D155" s="158">
        <v>0</v>
      </c>
      <c r="E155" s="158">
        <v>2548</v>
      </c>
      <c r="F155" s="158">
        <v>0</v>
      </c>
      <c r="G155" s="158">
        <v>0</v>
      </c>
      <c r="H155" s="158">
        <v>0</v>
      </c>
      <c r="I155" s="54">
        <f t="shared" si="12"/>
        <v>0</v>
      </c>
      <c r="J155" s="54"/>
      <c r="K155" s="198">
        <f t="shared" si="13"/>
        <v>2548</v>
      </c>
      <c r="L155" s="199">
        <f t="shared" si="14"/>
        <v>0</v>
      </c>
      <c r="M155" s="199">
        <f t="shared" si="15"/>
        <v>0</v>
      </c>
      <c r="N155" s="199">
        <f t="shared" si="16"/>
        <v>1</v>
      </c>
      <c r="O155" s="199">
        <f t="shared" si="17"/>
        <v>1</v>
      </c>
      <c r="P155" s="22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/>
      <c r="AC155" s="201"/>
      <c r="AD155" s="201"/>
      <c r="AE155" s="201"/>
      <c r="AF155" s="201"/>
      <c r="AG155" s="201"/>
      <c r="AH155" s="201"/>
      <c r="AI155" s="201"/>
      <c r="AJ155" s="201"/>
      <c r="AK155" s="201"/>
      <c r="AL155" s="201"/>
      <c r="AM155" s="201"/>
      <c r="AN155" s="201"/>
      <c r="AO155" s="201"/>
      <c r="AP155" s="201"/>
      <c r="AQ155" s="201"/>
      <c r="AR155" s="201"/>
      <c r="AS155" s="201"/>
    </row>
    <row r="156" spans="1:45" x14ac:dyDescent="0.3">
      <c r="A156" s="1">
        <v>101</v>
      </c>
      <c r="B156" s="267" t="s">
        <v>732</v>
      </c>
      <c r="C156" s="267"/>
      <c r="D156" s="158">
        <v>0</v>
      </c>
      <c r="E156" s="158">
        <v>0</v>
      </c>
      <c r="F156" s="158">
        <v>0</v>
      </c>
      <c r="G156" s="158">
        <v>0</v>
      </c>
      <c r="H156" s="158">
        <v>0</v>
      </c>
      <c r="I156" s="54">
        <f t="shared" si="12"/>
        <v>0</v>
      </c>
      <c r="J156" s="54"/>
      <c r="K156" s="198">
        <f t="shared" si="13"/>
        <v>0</v>
      </c>
      <c r="L156" s="199" t="str">
        <f t="shared" si="14"/>
        <v>-</v>
      </c>
      <c r="M156" s="199" t="str">
        <f t="shared" si="15"/>
        <v>-</v>
      </c>
      <c r="N156" s="199" t="str">
        <f t="shared" si="16"/>
        <v>-</v>
      </c>
      <c r="O156" s="199" t="str">
        <f t="shared" si="17"/>
        <v>-</v>
      </c>
      <c r="P156" s="196"/>
    </row>
    <row r="157" spans="1:45" x14ac:dyDescent="0.3">
      <c r="A157" s="1">
        <v>102</v>
      </c>
      <c r="B157" s="267" t="s">
        <v>733</v>
      </c>
      <c r="C157" s="267"/>
      <c r="D157" s="158">
        <v>20</v>
      </c>
      <c r="E157" s="158">
        <v>13</v>
      </c>
      <c r="F157" s="158">
        <v>0</v>
      </c>
      <c r="G157" s="158">
        <v>0</v>
      </c>
      <c r="H157" s="158">
        <v>0</v>
      </c>
      <c r="I157" s="54">
        <f t="shared" si="12"/>
        <v>0</v>
      </c>
      <c r="J157" s="54"/>
      <c r="K157" s="198">
        <f t="shared" si="13"/>
        <v>13</v>
      </c>
      <c r="L157" s="199">
        <f t="shared" si="14"/>
        <v>0</v>
      </c>
      <c r="M157" s="199">
        <f t="shared" si="15"/>
        <v>0</v>
      </c>
      <c r="N157" s="199">
        <f t="shared" si="16"/>
        <v>1</v>
      </c>
      <c r="O157" s="199">
        <f t="shared" si="17"/>
        <v>1</v>
      </c>
      <c r="P157" s="218"/>
    </row>
    <row r="158" spans="1:45" x14ac:dyDescent="0.3">
      <c r="A158" s="1">
        <v>103</v>
      </c>
      <c r="B158" s="267" t="s">
        <v>734</v>
      </c>
      <c r="C158" s="267"/>
      <c r="D158" s="158">
        <v>26</v>
      </c>
      <c r="E158" s="158">
        <v>18</v>
      </c>
      <c r="F158" s="158">
        <v>0</v>
      </c>
      <c r="G158" s="158">
        <v>0</v>
      </c>
      <c r="H158" s="158">
        <v>0</v>
      </c>
      <c r="I158" s="54">
        <f t="shared" si="12"/>
        <v>0</v>
      </c>
      <c r="J158" s="54"/>
      <c r="K158" s="198">
        <f t="shared" si="13"/>
        <v>18</v>
      </c>
      <c r="L158" s="199">
        <f t="shared" si="14"/>
        <v>0</v>
      </c>
      <c r="M158" s="199">
        <f t="shared" si="15"/>
        <v>0</v>
      </c>
      <c r="N158" s="199">
        <f t="shared" si="16"/>
        <v>1</v>
      </c>
      <c r="O158" s="199">
        <f t="shared" si="17"/>
        <v>1</v>
      </c>
      <c r="P158" s="218"/>
    </row>
    <row r="159" spans="1:45" ht="25.5" customHeight="1" x14ac:dyDescent="0.3">
      <c r="A159" s="1">
        <v>104</v>
      </c>
      <c r="B159" s="267" t="s">
        <v>735</v>
      </c>
      <c r="C159" s="267"/>
      <c r="D159" s="158">
        <v>360</v>
      </c>
      <c r="E159" s="158">
        <v>505</v>
      </c>
      <c r="F159" s="158">
        <v>0</v>
      </c>
      <c r="G159" s="158">
        <v>0</v>
      </c>
      <c r="H159" s="158">
        <v>0</v>
      </c>
      <c r="I159" s="54">
        <f t="shared" si="12"/>
        <v>0</v>
      </c>
      <c r="J159" s="54"/>
      <c r="K159" s="198">
        <f t="shared" si="13"/>
        <v>505</v>
      </c>
      <c r="L159" s="199">
        <f t="shared" si="14"/>
        <v>0</v>
      </c>
      <c r="M159" s="199">
        <f t="shared" si="15"/>
        <v>0</v>
      </c>
      <c r="N159" s="199">
        <f t="shared" si="16"/>
        <v>1</v>
      </c>
      <c r="O159" s="199">
        <f t="shared" si="17"/>
        <v>1</v>
      </c>
      <c r="P159" s="59"/>
    </row>
    <row r="160" spans="1:45" ht="19.5" customHeight="1" x14ac:dyDescent="0.3">
      <c r="A160" s="1">
        <v>105</v>
      </c>
      <c r="B160" s="267" t="s">
        <v>736</v>
      </c>
      <c r="C160" s="267"/>
      <c r="D160" s="43">
        <v>108</v>
      </c>
      <c r="E160" s="158">
        <v>86</v>
      </c>
      <c r="F160" s="158">
        <v>0</v>
      </c>
      <c r="G160" s="158">
        <v>0</v>
      </c>
      <c r="H160" s="158">
        <v>0</v>
      </c>
      <c r="I160" s="54">
        <f t="shared" si="12"/>
        <v>0</v>
      </c>
      <c r="J160" s="54"/>
      <c r="K160" s="198">
        <f t="shared" si="13"/>
        <v>86</v>
      </c>
      <c r="L160" s="199">
        <f t="shared" si="14"/>
        <v>0</v>
      </c>
      <c r="M160" s="199">
        <f t="shared" si="15"/>
        <v>0</v>
      </c>
      <c r="N160" s="199">
        <f t="shared" si="16"/>
        <v>1</v>
      </c>
      <c r="O160" s="199">
        <f t="shared" si="17"/>
        <v>1</v>
      </c>
      <c r="P160" s="128"/>
    </row>
    <row r="161" spans="1:45" ht="19.5" customHeight="1" x14ac:dyDescent="0.3">
      <c r="A161" s="1">
        <v>106</v>
      </c>
      <c r="B161" s="267" t="s">
        <v>737</v>
      </c>
      <c r="C161" s="267"/>
      <c r="D161" s="43">
        <v>0</v>
      </c>
      <c r="E161" s="158">
        <v>0</v>
      </c>
      <c r="F161" s="158">
        <v>0</v>
      </c>
      <c r="G161" s="158">
        <v>0</v>
      </c>
      <c r="H161" s="158">
        <v>0</v>
      </c>
      <c r="I161" s="54">
        <f t="shared" si="12"/>
        <v>0</v>
      </c>
      <c r="J161" s="54"/>
      <c r="K161" s="198">
        <f t="shared" si="13"/>
        <v>0</v>
      </c>
      <c r="L161" s="199" t="str">
        <f t="shared" si="14"/>
        <v>-</v>
      </c>
      <c r="M161" s="199" t="str">
        <f t="shared" si="15"/>
        <v>-</v>
      </c>
      <c r="N161" s="199" t="str">
        <f t="shared" si="16"/>
        <v>-</v>
      </c>
      <c r="O161" s="199" t="str">
        <f t="shared" si="17"/>
        <v>-</v>
      </c>
      <c r="P161" s="128"/>
    </row>
    <row r="162" spans="1:45" ht="19.5" customHeight="1" x14ac:dyDescent="0.3">
      <c r="A162" s="1">
        <v>107</v>
      </c>
      <c r="B162" s="267" t="s">
        <v>738</v>
      </c>
      <c r="C162" s="267"/>
      <c r="D162" s="43">
        <v>0</v>
      </c>
      <c r="E162" s="158">
        <v>0</v>
      </c>
      <c r="F162" s="158">
        <v>0</v>
      </c>
      <c r="G162" s="158">
        <v>0</v>
      </c>
      <c r="H162" s="158">
        <v>0</v>
      </c>
      <c r="I162" s="54">
        <f t="shared" si="12"/>
        <v>0</v>
      </c>
      <c r="J162" s="54"/>
      <c r="K162" s="198">
        <f t="shared" si="13"/>
        <v>0</v>
      </c>
      <c r="L162" s="199" t="str">
        <f t="shared" si="14"/>
        <v>-</v>
      </c>
      <c r="M162" s="199" t="str">
        <f t="shared" si="15"/>
        <v>-</v>
      </c>
      <c r="N162" s="199" t="str">
        <f t="shared" si="16"/>
        <v>-</v>
      </c>
      <c r="O162" s="199" t="str">
        <f t="shared" si="17"/>
        <v>-</v>
      </c>
      <c r="P162" s="128"/>
    </row>
    <row r="163" spans="1:45" ht="19.5" customHeight="1" x14ac:dyDescent="0.3">
      <c r="A163" s="1">
        <v>108</v>
      </c>
      <c r="B163" s="267" t="s">
        <v>739</v>
      </c>
      <c r="C163" s="267"/>
      <c r="D163" s="43">
        <v>0</v>
      </c>
      <c r="E163" s="158">
        <v>0</v>
      </c>
      <c r="F163" s="158">
        <v>0</v>
      </c>
      <c r="G163" s="158">
        <v>0</v>
      </c>
      <c r="H163" s="158">
        <v>0</v>
      </c>
      <c r="I163" s="54">
        <f t="shared" si="12"/>
        <v>0</v>
      </c>
      <c r="J163" s="54"/>
      <c r="K163" s="198">
        <f t="shared" si="13"/>
        <v>0</v>
      </c>
      <c r="L163" s="199" t="str">
        <f t="shared" si="14"/>
        <v>-</v>
      </c>
      <c r="M163" s="199" t="str">
        <f t="shared" si="15"/>
        <v>-</v>
      </c>
      <c r="N163" s="199" t="str">
        <f t="shared" si="16"/>
        <v>-</v>
      </c>
      <c r="O163" s="199" t="str">
        <f t="shared" si="17"/>
        <v>-</v>
      </c>
      <c r="P163" s="128"/>
    </row>
    <row r="164" spans="1:45" ht="19.5" customHeight="1" x14ac:dyDescent="0.3">
      <c r="A164" s="1">
        <v>109</v>
      </c>
      <c r="B164" s="267" t="s">
        <v>740</v>
      </c>
      <c r="C164" s="267"/>
      <c r="D164" s="43">
        <v>3</v>
      </c>
      <c r="E164" s="158">
        <v>5</v>
      </c>
      <c r="F164" s="158">
        <v>0</v>
      </c>
      <c r="G164" s="158">
        <v>0</v>
      </c>
      <c r="H164" s="158">
        <v>0</v>
      </c>
      <c r="I164" s="54">
        <f t="shared" si="12"/>
        <v>0</v>
      </c>
      <c r="J164" s="54"/>
      <c r="K164" s="198">
        <f t="shared" si="13"/>
        <v>5</v>
      </c>
      <c r="L164" s="199">
        <f t="shared" si="14"/>
        <v>0</v>
      </c>
      <c r="M164" s="199">
        <f t="shared" si="15"/>
        <v>0</v>
      </c>
      <c r="N164" s="199">
        <f t="shared" si="16"/>
        <v>1</v>
      </c>
      <c r="O164" s="199">
        <f t="shared" si="17"/>
        <v>1</v>
      </c>
      <c r="P164" s="59"/>
    </row>
    <row r="165" spans="1:45" ht="19.5" customHeight="1" x14ac:dyDescent="0.3">
      <c r="A165" s="1">
        <v>110</v>
      </c>
      <c r="B165" s="267" t="s">
        <v>741</v>
      </c>
      <c r="C165" s="267"/>
      <c r="D165" s="43">
        <v>0</v>
      </c>
      <c r="E165" s="158">
        <v>0</v>
      </c>
      <c r="F165" s="158">
        <v>0</v>
      </c>
      <c r="G165" s="158">
        <v>0</v>
      </c>
      <c r="H165" s="158">
        <v>0</v>
      </c>
      <c r="I165" s="54">
        <f t="shared" si="12"/>
        <v>0</v>
      </c>
      <c r="J165" s="54"/>
      <c r="K165" s="198">
        <f t="shared" si="13"/>
        <v>0</v>
      </c>
      <c r="L165" s="199" t="str">
        <f t="shared" si="14"/>
        <v>-</v>
      </c>
      <c r="M165" s="199" t="str">
        <f t="shared" si="15"/>
        <v>-</v>
      </c>
      <c r="N165" s="199" t="str">
        <f t="shared" si="16"/>
        <v>-</v>
      </c>
      <c r="O165" s="199" t="str">
        <f t="shared" si="17"/>
        <v>-</v>
      </c>
      <c r="P165" s="59"/>
    </row>
    <row r="166" spans="1:45" ht="19.5" customHeight="1" x14ac:dyDescent="0.3">
      <c r="A166" s="1">
        <v>111</v>
      </c>
      <c r="B166" s="267" t="s">
        <v>742</v>
      </c>
      <c r="C166" s="267"/>
      <c r="D166" s="43">
        <v>0</v>
      </c>
      <c r="E166" s="158">
        <v>2</v>
      </c>
      <c r="F166" s="158">
        <v>0</v>
      </c>
      <c r="G166" s="158">
        <v>0</v>
      </c>
      <c r="H166" s="158">
        <v>0</v>
      </c>
      <c r="I166" s="54">
        <f t="shared" si="12"/>
        <v>0</v>
      </c>
      <c r="J166" s="54"/>
      <c r="K166" s="198">
        <f t="shared" si="13"/>
        <v>2</v>
      </c>
      <c r="L166" s="199">
        <f t="shared" si="14"/>
        <v>0</v>
      </c>
      <c r="M166" s="199">
        <f t="shared" si="15"/>
        <v>0</v>
      </c>
      <c r="N166" s="199">
        <f t="shared" si="16"/>
        <v>1</v>
      </c>
      <c r="O166" s="199">
        <f t="shared" si="17"/>
        <v>1</v>
      </c>
      <c r="P166" s="59"/>
    </row>
    <row r="167" spans="1:45" ht="33.75" customHeight="1" x14ac:dyDescent="0.3">
      <c r="A167" s="1">
        <v>112</v>
      </c>
      <c r="B167" s="267" t="s">
        <v>743</v>
      </c>
      <c r="C167" s="267"/>
      <c r="D167" s="43">
        <v>6</v>
      </c>
      <c r="E167" s="158">
        <v>15</v>
      </c>
      <c r="F167" s="158">
        <v>3</v>
      </c>
      <c r="G167" s="158">
        <v>0</v>
      </c>
      <c r="H167" s="158">
        <v>0</v>
      </c>
      <c r="I167" s="1">
        <f t="shared" si="12"/>
        <v>3</v>
      </c>
      <c r="J167" s="54"/>
      <c r="K167" s="159">
        <f t="shared" si="13"/>
        <v>12</v>
      </c>
      <c r="L167" s="199">
        <f t="shared" si="14"/>
        <v>0.2</v>
      </c>
      <c r="M167" s="199">
        <f t="shared" si="15"/>
        <v>0</v>
      </c>
      <c r="N167" s="199">
        <f t="shared" si="16"/>
        <v>0.8</v>
      </c>
      <c r="O167" s="199">
        <f t="shared" si="17"/>
        <v>0.8</v>
      </c>
      <c r="P167" s="59" t="s">
        <v>744</v>
      </c>
    </row>
    <row r="168" spans="1:45" ht="33.75" customHeight="1" x14ac:dyDescent="0.3">
      <c r="A168" s="1">
        <v>113</v>
      </c>
      <c r="B168" s="267" t="s">
        <v>745</v>
      </c>
      <c r="C168" s="267"/>
      <c r="D168" s="43">
        <v>0</v>
      </c>
      <c r="E168" s="43">
        <v>0</v>
      </c>
      <c r="F168" s="158">
        <v>0</v>
      </c>
      <c r="G168" s="158">
        <v>0</v>
      </c>
      <c r="H168" s="158">
        <v>0</v>
      </c>
      <c r="I168" s="54">
        <f t="shared" si="12"/>
        <v>0</v>
      </c>
      <c r="J168" s="54"/>
      <c r="K168" s="198">
        <f t="shared" si="13"/>
        <v>0</v>
      </c>
      <c r="L168" s="199" t="str">
        <f t="shared" si="14"/>
        <v>-</v>
      </c>
      <c r="M168" s="199" t="str">
        <f t="shared" si="15"/>
        <v>-</v>
      </c>
      <c r="N168" s="199" t="str">
        <f t="shared" si="16"/>
        <v>-</v>
      </c>
      <c r="O168" s="199" t="str">
        <f t="shared" si="17"/>
        <v>-</v>
      </c>
      <c r="P168" s="59"/>
    </row>
    <row r="169" spans="1:45" s="211" customFormat="1" ht="33.75" customHeight="1" x14ac:dyDescent="0.3">
      <c r="A169" s="1">
        <v>114</v>
      </c>
      <c r="B169" s="267" t="s">
        <v>746</v>
      </c>
      <c r="C169" s="267"/>
      <c r="D169" s="43">
        <v>0</v>
      </c>
      <c r="E169" s="43">
        <v>0</v>
      </c>
      <c r="F169" s="158">
        <v>0</v>
      </c>
      <c r="G169" s="158">
        <v>0</v>
      </c>
      <c r="H169" s="158">
        <v>0</v>
      </c>
      <c r="I169" s="54">
        <f t="shared" si="12"/>
        <v>0</v>
      </c>
      <c r="J169" s="54"/>
      <c r="K169" s="198">
        <f t="shared" si="13"/>
        <v>0</v>
      </c>
      <c r="L169" s="199" t="str">
        <f t="shared" si="14"/>
        <v>-</v>
      </c>
      <c r="M169" s="199" t="str">
        <f t="shared" si="15"/>
        <v>-</v>
      </c>
      <c r="N169" s="199" t="str">
        <f t="shared" si="16"/>
        <v>-</v>
      </c>
      <c r="O169" s="199" t="str">
        <f t="shared" si="17"/>
        <v>-</v>
      </c>
      <c r="P169" s="59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  <c r="AC169" s="184"/>
      <c r="AD169" s="184"/>
      <c r="AE169" s="184"/>
      <c r="AF169" s="184"/>
      <c r="AG169" s="184"/>
      <c r="AH169" s="184"/>
      <c r="AI169" s="184"/>
      <c r="AJ169" s="184"/>
      <c r="AK169" s="184"/>
      <c r="AL169" s="184"/>
      <c r="AM169" s="184"/>
      <c r="AN169" s="184"/>
      <c r="AO169" s="184"/>
      <c r="AP169" s="184"/>
      <c r="AQ169" s="184"/>
      <c r="AR169" s="184"/>
      <c r="AS169" s="184"/>
    </row>
    <row r="170" spans="1:45" s="184" customFormat="1" x14ac:dyDescent="0.3">
      <c r="B170" s="212"/>
      <c r="F170" s="209"/>
      <c r="G170" s="209"/>
      <c r="H170" s="209"/>
      <c r="I170" s="209"/>
      <c r="J170" s="209"/>
      <c r="N170" s="201"/>
    </row>
    <row r="171" spans="1:45" s="184" customFormat="1" x14ac:dyDescent="0.3">
      <c r="B171" s="212"/>
      <c r="F171" s="209"/>
      <c r="G171" s="209"/>
      <c r="H171" s="209"/>
      <c r="I171" s="209"/>
      <c r="J171" s="209"/>
      <c r="N171" s="201"/>
    </row>
    <row r="172" spans="1:45" s="184" customFormat="1" x14ac:dyDescent="0.3">
      <c r="B172" s="212"/>
      <c r="F172" s="209"/>
      <c r="G172" s="209"/>
      <c r="H172" s="209"/>
      <c r="I172" s="209"/>
      <c r="J172" s="209"/>
      <c r="N172" s="201"/>
    </row>
    <row r="173" spans="1:45" s="184" customFormat="1" x14ac:dyDescent="0.3">
      <c r="B173" s="212"/>
      <c r="F173" s="209"/>
      <c r="G173" s="209"/>
      <c r="H173" s="209"/>
      <c r="I173" s="209"/>
      <c r="J173" s="209"/>
      <c r="N173" s="201"/>
    </row>
    <row r="174" spans="1:45" s="184" customFormat="1" x14ac:dyDescent="0.3">
      <c r="B174" s="212"/>
      <c r="F174" s="209"/>
      <c r="G174" s="209"/>
      <c r="H174" s="209"/>
      <c r="I174" s="209"/>
      <c r="J174" s="209"/>
      <c r="N174" s="201"/>
    </row>
    <row r="175" spans="1:45" s="184" customFormat="1" x14ac:dyDescent="0.3">
      <c r="B175" s="212"/>
      <c r="F175" s="209"/>
      <c r="G175" s="209"/>
      <c r="H175" s="209"/>
      <c r="I175" s="209"/>
      <c r="J175" s="209"/>
      <c r="N175" s="201"/>
    </row>
    <row r="176" spans="1:45" s="184" customFormat="1" x14ac:dyDescent="0.3">
      <c r="B176" s="212"/>
      <c r="F176" s="209"/>
      <c r="G176" s="209"/>
      <c r="H176" s="209"/>
      <c r="I176" s="209"/>
      <c r="J176" s="209"/>
      <c r="N176" s="201"/>
    </row>
    <row r="177" spans="2:14" s="184" customFormat="1" x14ac:dyDescent="0.3">
      <c r="B177" s="212"/>
      <c r="F177" s="209"/>
      <c r="G177" s="209"/>
      <c r="H177" s="209"/>
      <c r="I177" s="209"/>
      <c r="J177" s="209"/>
      <c r="N177" s="201"/>
    </row>
    <row r="178" spans="2:14" s="184" customFormat="1" x14ac:dyDescent="0.3">
      <c r="B178" s="212"/>
      <c r="F178" s="209"/>
      <c r="G178" s="209"/>
      <c r="H178" s="209"/>
      <c r="I178" s="209"/>
      <c r="J178" s="209"/>
      <c r="N178" s="201"/>
    </row>
    <row r="179" spans="2:14" s="184" customFormat="1" x14ac:dyDescent="0.3">
      <c r="B179" s="212"/>
      <c r="F179" s="209"/>
      <c r="G179" s="209"/>
      <c r="H179" s="209"/>
      <c r="I179" s="209"/>
      <c r="J179" s="209"/>
      <c r="N179" s="201"/>
    </row>
    <row r="180" spans="2:14" s="184" customFormat="1" x14ac:dyDescent="0.3">
      <c r="B180" s="212"/>
      <c r="F180" s="209"/>
      <c r="G180" s="209"/>
      <c r="H180" s="209"/>
      <c r="I180" s="209"/>
      <c r="J180" s="209"/>
      <c r="N180" s="201"/>
    </row>
    <row r="181" spans="2:14" s="184" customFormat="1" x14ac:dyDescent="0.3">
      <c r="B181" s="212"/>
      <c r="F181" s="209"/>
      <c r="G181" s="209"/>
      <c r="H181" s="209"/>
      <c r="I181" s="209"/>
      <c r="J181" s="209"/>
      <c r="N181" s="201"/>
    </row>
    <row r="182" spans="2:14" s="184" customFormat="1" x14ac:dyDescent="0.3">
      <c r="B182" s="212"/>
      <c r="F182" s="209"/>
      <c r="G182" s="209"/>
      <c r="H182" s="209"/>
      <c r="I182" s="209"/>
      <c r="J182" s="209"/>
      <c r="N182" s="201"/>
    </row>
    <row r="183" spans="2:14" s="184" customFormat="1" x14ac:dyDescent="0.3">
      <c r="B183" s="212"/>
      <c r="F183" s="209"/>
      <c r="G183" s="209"/>
      <c r="H183" s="209"/>
      <c r="I183" s="209"/>
      <c r="J183" s="209"/>
      <c r="N183" s="201"/>
    </row>
    <row r="184" spans="2:14" s="184" customFormat="1" x14ac:dyDescent="0.3">
      <c r="B184" s="212"/>
      <c r="F184" s="209"/>
      <c r="G184" s="209"/>
      <c r="H184" s="209"/>
      <c r="I184" s="209"/>
      <c r="J184" s="209"/>
      <c r="N184" s="201"/>
    </row>
    <row r="185" spans="2:14" s="184" customFormat="1" x14ac:dyDescent="0.3">
      <c r="B185" s="212"/>
      <c r="F185" s="209"/>
      <c r="G185" s="209"/>
      <c r="H185" s="209"/>
      <c r="I185" s="209"/>
      <c r="J185" s="209"/>
      <c r="N185" s="201"/>
    </row>
    <row r="186" spans="2:14" s="184" customFormat="1" x14ac:dyDescent="0.3">
      <c r="B186" s="212"/>
      <c r="F186" s="209"/>
      <c r="G186" s="209"/>
      <c r="H186" s="209"/>
      <c r="I186" s="209"/>
      <c r="J186" s="209"/>
      <c r="N186" s="201"/>
    </row>
    <row r="187" spans="2:14" s="184" customFormat="1" x14ac:dyDescent="0.3">
      <c r="B187" s="212"/>
      <c r="F187" s="209"/>
      <c r="G187" s="209"/>
      <c r="H187" s="209"/>
      <c r="I187" s="209"/>
      <c r="J187" s="209"/>
      <c r="N187" s="201"/>
    </row>
    <row r="188" spans="2:14" s="184" customFormat="1" x14ac:dyDescent="0.3">
      <c r="B188" s="212"/>
      <c r="F188" s="209"/>
      <c r="G188" s="209"/>
      <c r="H188" s="209"/>
      <c r="I188" s="209"/>
      <c r="J188" s="209"/>
      <c r="N188" s="201"/>
    </row>
    <row r="189" spans="2:14" s="184" customFormat="1" x14ac:dyDescent="0.3">
      <c r="B189" s="212"/>
      <c r="F189" s="209"/>
      <c r="G189" s="209"/>
      <c r="H189" s="209"/>
      <c r="I189" s="209"/>
      <c r="J189" s="209"/>
      <c r="N189" s="201"/>
    </row>
    <row r="190" spans="2:14" s="184" customFormat="1" x14ac:dyDescent="0.3">
      <c r="B190" s="212"/>
      <c r="F190" s="209"/>
      <c r="G190" s="209"/>
      <c r="H190" s="209"/>
      <c r="I190" s="209"/>
      <c r="J190" s="209"/>
      <c r="N190" s="201"/>
    </row>
    <row r="191" spans="2:14" s="184" customFormat="1" x14ac:dyDescent="0.3">
      <c r="B191" s="212"/>
      <c r="F191" s="209"/>
      <c r="G191" s="209"/>
      <c r="H191" s="209"/>
      <c r="I191" s="209"/>
      <c r="J191" s="209"/>
      <c r="N191" s="201"/>
    </row>
    <row r="192" spans="2:14" s="184" customFormat="1" x14ac:dyDescent="0.3">
      <c r="B192" s="212"/>
      <c r="F192" s="209"/>
      <c r="G192" s="209"/>
      <c r="H192" s="209"/>
      <c r="I192" s="209"/>
      <c r="J192" s="209"/>
      <c r="N192" s="201"/>
    </row>
    <row r="193" spans="2:14" s="184" customFormat="1" x14ac:dyDescent="0.3">
      <c r="B193" s="212"/>
      <c r="F193" s="209"/>
      <c r="G193" s="209"/>
      <c r="H193" s="209"/>
      <c r="I193" s="209"/>
      <c r="J193" s="209"/>
      <c r="N193" s="201"/>
    </row>
    <row r="194" spans="2:14" s="184" customFormat="1" x14ac:dyDescent="0.3">
      <c r="B194" s="212"/>
      <c r="F194" s="209"/>
      <c r="G194" s="209"/>
      <c r="H194" s="209"/>
      <c r="I194" s="209"/>
      <c r="J194" s="209"/>
      <c r="N194" s="201"/>
    </row>
    <row r="195" spans="2:14" s="184" customFormat="1" x14ac:dyDescent="0.3">
      <c r="B195" s="212"/>
      <c r="F195" s="209"/>
      <c r="G195" s="209"/>
      <c r="H195" s="209"/>
      <c r="I195" s="209"/>
      <c r="J195" s="209"/>
      <c r="N195" s="201"/>
    </row>
    <row r="196" spans="2:14" s="184" customFormat="1" x14ac:dyDescent="0.3">
      <c r="B196" s="212"/>
      <c r="F196" s="209"/>
      <c r="G196" s="209"/>
      <c r="H196" s="209"/>
      <c r="I196" s="209"/>
      <c r="J196" s="209"/>
      <c r="N196" s="201"/>
    </row>
    <row r="197" spans="2:14" s="184" customFormat="1" x14ac:dyDescent="0.3">
      <c r="B197" s="212"/>
      <c r="F197" s="209"/>
      <c r="G197" s="209"/>
      <c r="H197" s="209"/>
      <c r="I197" s="209"/>
      <c r="J197" s="209"/>
      <c r="N197" s="201"/>
    </row>
    <row r="198" spans="2:14" s="184" customFormat="1" x14ac:dyDescent="0.3">
      <c r="B198" s="212"/>
      <c r="F198" s="209"/>
      <c r="G198" s="209"/>
      <c r="H198" s="209"/>
      <c r="I198" s="209"/>
      <c r="J198" s="209"/>
      <c r="N198" s="201"/>
    </row>
    <row r="199" spans="2:14" s="184" customFormat="1" x14ac:dyDescent="0.3">
      <c r="B199" s="212"/>
      <c r="F199" s="209"/>
      <c r="G199" s="209"/>
      <c r="H199" s="209"/>
      <c r="I199" s="209"/>
      <c r="J199" s="209"/>
      <c r="N199" s="201"/>
    </row>
    <row r="200" spans="2:14" s="184" customFormat="1" x14ac:dyDescent="0.3">
      <c r="B200" s="212"/>
      <c r="F200" s="209"/>
      <c r="G200" s="209"/>
      <c r="H200" s="209"/>
      <c r="I200" s="209"/>
      <c r="J200" s="209"/>
      <c r="N200" s="201"/>
    </row>
    <row r="201" spans="2:14" s="184" customFormat="1" x14ac:dyDescent="0.3">
      <c r="B201" s="212"/>
      <c r="F201" s="209"/>
      <c r="G201" s="209"/>
      <c r="H201" s="209"/>
      <c r="I201" s="209"/>
      <c r="J201" s="209"/>
      <c r="N201" s="201"/>
    </row>
    <row r="202" spans="2:14" s="184" customFormat="1" x14ac:dyDescent="0.3">
      <c r="B202" s="212"/>
      <c r="F202" s="209"/>
      <c r="G202" s="209"/>
      <c r="H202" s="209"/>
      <c r="I202" s="209"/>
      <c r="J202" s="209"/>
      <c r="N202" s="201"/>
    </row>
    <row r="203" spans="2:14" s="184" customFormat="1" x14ac:dyDescent="0.3">
      <c r="B203" s="212"/>
      <c r="F203" s="209"/>
      <c r="G203" s="209"/>
      <c r="H203" s="209"/>
      <c r="I203" s="209"/>
      <c r="J203" s="209"/>
      <c r="N203" s="201"/>
    </row>
    <row r="204" spans="2:14" s="184" customFormat="1" x14ac:dyDescent="0.3">
      <c r="B204" s="212"/>
      <c r="F204" s="209"/>
      <c r="G204" s="209"/>
      <c r="H204" s="209"/>
      <c r="I204" s="209"/>
      <c r="J204" s="209"/>
      <c r="N204" s="201"/>
    </row>
    <row r="205" spans="2:14" s="184" customFormat="1" x14ac:dyDescent="0.3">
      <c r="B205" s="212"/>
      <c r="F205" s="209"/>
      <c r="G205" s="209"/>
      <c r="H205" s="209"/>
      <c r="I205" s="209"/>
      <c r="J205" s="209"/>
      <c r="N205" s="201"/>
    </row>
    <row r="206" spans="2:14" s="184" customFormat="1" x14ac:dyDescent="0.3">
      <c r="B206" s="212"/>
      <c r="F206" s="209"/>
      <c r="G206" s="209"/>
      <c r="H206" s="209"/>
      <c r="I206" s="209"/>
      <c r="J206" s="209"/>
      <c r="N206" s="201"/>
    </row>
    <row r="207" spans="2:14" s="184" customFormat="1" x14ac:dyDescent="0.3">
      <c r="B207" s="212"/>
      <c r="F207" s="209"/>
      <c r="G207" s="209"/>
      <c r="H207" s="209"/>
      <c r="I207" s="209"/>
      <c r="J207" s="209"/>
      <c r="N207" s="201"/>
    </row>
    <row r="208" spans="2:14" s="184" customFormat="1" x14ac:dyDescent="0.3">
      <c r="B208" s="212"/>
      <c r="F208" s="209"/>
      <c r="G208" s="209"/>
      <c r="H208" s="209"/>
      <c r="I208" s="209"/>
      <c r="J208" s="209"/>
      <c r="N208" s="201"/>
    </row>
    <row r="209" spans="2:14" s="184" customFormat="1" x14ac:dyDescent="0.3">
      <c r="B209" s="212"/>
      <c r="F209" s="209"/>
      <c r="G209" s="209"/>
      <c r="H209" s="209"/>
      <c r="I209" s="209"/>
      <c r="J209" s="209"/>
      <c r="N209" s="201"/>
    </row>
    <row r="210" spans="2:14" s="184" customFormat="1" x14ac:dyDescent="0.3">
      <c r="B210" s="212"/>
      <c r="F210" s="209"/>
      <c r="G210" s="209"/>
      <c r="H210" s="209"/>
      <c r="I210" s="209"/>
      <c r="J210" s="209"/>
      <c r="N210" s="201"/>
    </row>
    <row r="211" spans="2:14" s="184" customFormat="1" x14ac:dyDescent="0.3">
      <c r="B211" s="212"/>
      <c r="F211" s="209"/>
      <c r="G211" s="209"/>
      <c r="H211" s="209"/>
      <c r="I211" s="209"/>
      <c r="J211" s="209"/>
      <c r="N211" s="201"/>
    </row>
    <row r="212" spans="2:14" s="184" customFormat="1" x14ac:dyDescent="0.3">
      <c r="B212" s="212"/>
      <c r="F212" s="209"/>
      <c r="G212" s="209"/>
      <c r="H212" s="209"/>
      <c r="I212" s="209"/>
      <c r="J212" s="209"/>
      <c r="N212" s="201"/>
    </row>
    <row r="213" spans="2:14" s="184" customFormat="1" x14ac:dyDescent="0.3">
      <c r="B213" s="212"/>
      <c r="F213" s="209"/>
      <c r="G213" s="209"/>
      <c r="H213" s="209"/>
      <c r="I213" s="209"/>
      <c r="J213" s="209"/>
      <c r="N213" s="201"/>
    </row>
    <row r="214" spans="2:14" s="184" customFormat="1" x14ac:dyDescent="0.3">
      <c r="B214" s="212"/>
      <c r="F214" s="209"/>
      <c r="G214" s="209"/>
      <c r="H214" s="209"/>
      <c r="I214" s="209"/>
      <c r="J214" s="209"/>
      <c r="N214" s="201"/>
    </row>
    <row r="215" spans="2:14" s="184" customFormat="1" x14ac:dyDescent="0.3">
      <c r="B215" s="212"/>
      <c r="F215" s="209"/>
      <c r="G215" s="209"/>
      <c r="H215" s="209"/>
      <c r="I215" s="209"/>
      <c r="J215" s="209"/>
      <c r="N215" s="201"/>
    </row>
    <row r="216" spans="2:14" s="184" customFormat="1" x14ac:dyDescent="0.3">
      <c r="B216" s="212"/>
      <c r="F216" s="209"/>
      <c r="G216" s="209"/>
      <c r="H216" s="209"/>
      <c r="I216" s="209"/>
      <c r="J216" s="209"/>
      <c r="N216" s="201"/>
    </row>
    <row r="217" spans="2:14" s="184" customFormat="1" x14ac:dyDescent="0.3">
      <c r="B217" s="212"/>
      <c r="F217" s="209"/>
      <c r="G217" s="209"/>
      <c r="H217" s="209"/>
      <c r="I217" s="209"/>
      <c r="J217" s="209"/>
      <c r="N217" s="201"/>
    </row>
    <row r="218" spans="2:14" s="184" customFormat="1" x14ac:dyDescent="0.3">
      <c r="B218" s="212"/>
      <c r="F218" s="209"/>
      <c r="G218" s="209"/>
      <c r="H218" s="209"/>
      <c r="I218" s="209"/>
      <c r="J218" s="209"/>
      <c r="N218" s="201"/>
    </row>
    <row r="219" spans="2:14" s="184" customFormat="1" x14ac:dyDescent="0.3">
      <c r="B219" s="212"/>
      <c r="F219" s="209"/>
      <c r="G219" s="209"/>
      <c r="H219" s="209"/>
      <c r="I219" s="209"/>
      <c r="J219" s="209"/>
      <c r="N219" s="201"/>
    </row>
    <row r="220" spans="2:14" s="184" customFormat="1" x14ac:dyDescent="0.3">
      <c r="B220" s="212"/>
      <c r="F220" s="209"/>
      <c r="G220" s="209"/>
      <c r="H220" s="209"/>
      <c r="I220" s="209"/>
      <c r="J220" s="209"/>
      <c r="N220" s="201"/>
    </row>
    <row r="221" spans="2:14" s="184" customFormat="1" x14ac:dyDescent="0.3">
      <c r="B221" s="212"/>
      <c r="F221" s="209"/>
      <c r="G221" s="209"/>
      <c r="H221" s="209"/>
      <c r="I221" s="209"/>
      <c r="J221" s="209"/>
      <c r="N221" s="201"/>
    </row>
    <row r="222" spans="2:14" s="184" customFormat="1" x14ac:dyDescent="0.3">
      <c r="B222" s="212"/>
      <c r="F222" s="209"/>
      <c r="G222" s="209"/>
      <c r="H222" s="209"/>
      <c r="I222" s="209"/>
      <c r="J222" s="209"/>
      <c r="N222" s="201"/>
    </row>
    <row r="223" spans="2:14" s="184" customFormat="1" x14ac:dyDescent="0.3">
      <c r="B223" s="212"/>
      <c r="F223" s="209"/>
      <c r="G223" s="209"/>
      <c r="H223" s="209"/>
      <c r="I223" s="209"/>
      <c r="J223" s="209"/>
      <c r="N223" s="201"/>
    </row>
    <row r="224" spans="2:14" s="184" customFormat="1" x14ac:dyDescent="0.3">
      <c r="B224" s="212"/>
      <c r="F224" s="209"/>
      <c r="G224" s="209"/>
      <c r="H224" s="209"/>
      <c r="I224" s="209"/>
      <c r="J224" s="209"/>
      <c r="N224" s="201"/>
    </row>
    <row r="225" spans="2:14" s="184" customFormat="1" x14ac:dyDescent="0.3">
      <c r="B225" s="212"/>
      <c r="F225" s="209"/>
      <c r="G225" s="209"/>
      <c r="H225" s="209"/>
      <c r="I225" s="209"/>
      <c r="J225" s="209"/>
      <c r="N225" s="201"/>
    </row>
    <row r="226" spans="2:14" s="184" customFormat="1" x14ac:dyDescent="0.3">
      <c r="B226" s="212"/>
      <c r="F226" s="209"/>
      <c r="G226" s="209"/>
      <c r="H226" s="209"/>
      <c r="I226" s="209"/>
      <c r="J226" s="209"/>
      <c r="N226" s="201"/>
    </row>
    <row r="227" spans="2:14" s="184" customFormat="1" x14ac:dyDescent="0.3">
      <c r="B227" s="212"/>
      <c r="F227" s="209"/>
      <c r="G227" s="209"/>
      <c r="H227" s="209"/>
      <c r="I227" s="209"/>
      <c r="J227" s="209"/>
      <c r="N227" s="201"/>
    </row>
    <row r="228" spans="2:14" s="184" customFormat="1" x14ac:dyDescent="0.3">
      <c r="B228" s="212"/>
      <c r="F228" s="209"/>
      <c r="G228" s="209"/>
      <c r="H228" s="209"/>
      <c r="I228" s="209"/>
      <c r="J228" s="209"/>
      <c r="N228" s="201"/>
    </row>
    <row r="229" spans="2:14" s="184" customFormat="1" x14ac:dyDescent="0.3">
      <c r="B229" s="212"/>
      <c r="F229" s="209"/>
      <c r="G229" s="209"/>
      <c r="H229" s="209"/>
      <c r="I229" s="209"/>
      <c r="J229" s="209"/>
      <c r="N229" s="201"/>
    </row>
    <row r="230" spans="2:14" s="184" customFormat="1" x14ac:dyDescent="0.3">
      <c r="B230" s="212"/>
      <c r="F230" s="209"/>
      <c r="G230" s="209"/>
      <c r="H230" s="209"/>
      <c r="I230" s="209"/>
      <c r="J230" s="209"/>
      <c r="N230" s="201"/>
    </row>
    <row r="231" spans="2:14" s="184" customFormat="1" x14ac:dyDescent="0.3">
      <c r="B231" s="212"/>
      <c r="F231" s="209"/>
      <c r="G231" s="209"/>
      <c r="H231" s="209"/>
      <c r="I231" s="209"/>
      <c r="J231" s="209"/>
      <c r="N231" s="201"/>
    </row>
    <row r="232" spans="2:14" s="184" customFormat="1" x14ac:dyDescent="0.3">
      <c r="B232" s="212"/>
      <c r="F232" s="209"/>
      <c r="G232" s="209"/>
      <c r="H232" s="209"/>
      <c r="I232" s="209"/>
      <c r="J232" s="209"/>
      <c r="N232" s="201"/>
    </row>
    <row r="233" spans="2:14" s="184" customFormat="1" x14ac:dyDescent="0.3">
      <c r="B233" s="212"/>
      <c r="F233" s="209"/>
      <c r="G233" s="209"/>
      <c r="H233" s="209"/>
      <c r="I233" s="209"/>
      <c r="J233" s="209"/>
      <c r="N233" s="201"/>
    </row>
    <row r="234" spans="2:14" s="184" customFormat="1" x14ac:dyDescent="0.3">
      <c r="B234" s="212"/>
      <c r="F234" s="209"/>
      <c r="G234" s="209"/>
      <c r="H234" s="209"/>
      <c r="I234" s="209"/>
      <c r="J234" s="209"/>
      <c r="N234" s="201"/>
    </row>
    <row r="235" spans="2:14" s="184" customFormat="1" x14ac:dyDescent="0.3">
      <c r="B235" s="212"/>
      <c r="F235" s="209"/>
      <c r="G235" s="209"/>
      <c r="H235" s="209"/>
      <c r="I235" s="209"/>
      <c r="J235" s="209"/>
      <c r="N235" s="201"/>
    </row>
    <row r="236" spans="2:14" s="184" customFormat="1" x14ac:dyDescent="0.3">
      <c r="B236" s="212"/>
      <c r="F236" s="209"/>
      <c r="G236" s="209"/>
      <c r="H236" s="209"/>
      <c r="I236" s="209"/>
      <c r="J236" s="209"/>
      <c r="N236" s="201"/>
    </row>
    <row r="237" spans="2:14" s="184" customFormat="1" x14ac:dyDescent="0.3">
      <c r="B237" s="212"/>
      <c r="F237" s="209"/>
      <c r="G237" s="209"/>
      <c r="H237" s="209"/>
      <c r="I237" s="209"/>
      <c r="J237" s="209"/>
      <c r="N237" s="201"/>
    </row>
    <row r="238" spans="2:14" s="184" customFormat="1" x14ac:dyDescent="0.3">
      <c r="B238" s="212"/>
      <c r="F238" s="209"/>
      <c r="G238" s="209"/>
      <c r="H238" s="209"/>
      <c r="I238" s="209"/>
      <c r="J238" s="209"/>
      <c r="N238" s="201"/>
    </row>
    <row r="239" spans="2:14" s="184" customFormat="1" x14ac:dyDescent="0.3">
      <c r="B239" s="212"/>
      <c r="F239" s="209"/>
      <c r="G239" s="209"/>
      <c r="H239" s="209"/>
      <c r="I239" s="209"/>
      <c r="J239" s="209"/>
      <c r="N239" s="201"/>
    </row>
    <row r="240" spans="2:14" s="184" customFormat="1" x14ac:dyDescent="0.3">
      <c r="B240" s="212"/>
      <c r="F240" s="209"/>
      <c r="G240" s="209"/>
      <c r="H240" s="209"/>
      <c r="I240" s="209"/>
      <c r="J240" s="209"/>
      <c r="N240" s="201"/>
    </row>
    <row r="241" spans="2:14" s="184" customFormat="1" x14ac:dyDescent="0.3">
      <c r="B241" s="212"/>
      <c r="F241" s="209"/>
      <c r="G241" s="209"/>
      <c r="H241" s="209"/>
      <c r="I241" s="209"/>
      <c r="J241" s="209"/>
      <c r="N241" s="201"/>
    </row>
    <row r="242" spans="2:14" s="184" customFormat="1" x14ac:dyDescent="0.3">
      <c r="B242" s="212"/>
      <c r="F242" s="209"/>
      <c r="G242" s="209"/>
      <c r="H242" s="209"/>
      <c r="I242" s="209"/>
      <c r="J242" s="209"/>
      <c r="N242" s="201"/>
    </row>
    <row r="243" spans="2:14" s="184" customFormat="1" x14ac:dyDescent="0.3">
      <c r="B243" s="212"/>
      <c r="F243" s="209"/>
      <c r="G243" s="209"/>
      <c r="H243" s="209"/>
      <c r="I243" s="209"/>
      <c r="J243" s="209"/>
      <c r="N243" s="201"/>
    </row>
    <row r="244" spans="2:14" s="184" customFormat="1" x14ac:dyDescent="0.3">
      <c r="B244" s="212"/>
      <c r="F244" s="209"/>
      <c r="G244" s="209"/>
      <c r="H244" s="209"/>
      <c r="I244" s="209"/>
      <c r="J244" s="209"/>
      <c r="N244" s="201"/>
    </row>
    <row r="245" spans="2:14" s="184" customFormat="1" x14ac:dyDescent="0.3">
      <c r="B245" s="212"/>
      <c r="F245" s="209"/>
      <c r="G245" s="209"/>
      <c r="H245" s="209"/>
      <c r="I245" s="209"/>
      <c r="J245" s="209"/>
      <c r="N245" s="201"/>
    </row>
    <row r="246" spans="2:14" s="184" customFormat="1" x14ac:dyDescent="0.3">
      <c r="B246" s="212"/>
      <c r="F246" s="209"/>
      <c r="G246" s="209"/>
      <c r="H246" s="209"/>
      <c r="I246" s="209"/>
      <c r="J246" s="209"/>
      <c r="N246" s="201"/>
    </row>
    <row r="247" spans="2:14" s="184" customFormat="1" x14ac:dyDescent="0.3">
      <c r="B247" s="212"/>
      <c r="F247" s="209"/>
      <c r="G247" s="209"/>
      <c r="H247" s="209"/>
      <c r="I247" s="209"/>
      <c r="J247" s="209"/>
      <c r="N247" s="201"/>
    </row>
    <row r="248" spans="2:14" s="184" customFormat="1" x14ac:dyDescent="0.3">
      <c r="B248" s="212"/>
      <c r="F248" s="209"/>
      <c r="G248" s="209"/>
      <c r="H248" s="209"/>
      <c r="I248" s="209"/>
      <c r="J248" s="209"/>
      <c r="N248" s="201"/>
    </row>
    <row r="249" spans="2:14" s="184" customFormat="1" x14ac:dyDescent="0.3">
      <c r="B249" s="212"/>
      <c r="F249" s="209"/>
      <c r="G249" s="209"/>
      <c r="H249" s="209"/>
      <c r="I249" s="209"/>
      <c r="J249" s="209"/>
      <c r="N249" s="201"/>
    </row>
    <row r="250" spans="2:14" s="184" customFormat="1" x14ac:dyDescent="0.3">
      <c r="B250" s="212"/>
      <c r="F250" s="209"/>
      <c r="G250" s="209"/>
      <c r="H250" s="209"/>
      <c r="I250" s="209"/>
      <c r="J250" s="209"/>
      <c r="N250" s="201"/>
    </row>
    <row r="251" spans="2:14" s="184" customFormat="1" x14ac:dyDescent="0.3">
      <c r="B251" s="212"/>
      <c r="F251" s="209"/>
      <c r="G251" s="209"/>
      <c r="H251" s="209"/>
      <c r="I251" s="209"/>
      <c r="J251" s="209"/>
      <c r="N251" s="201"/>
    </row>
    <row r="252" spans="2:14" s="184" customFormat="1" x14ac:dyDescent="0.3">
      <c r="B252" s="212"/>
      <c r="F252" s="209"/>
      <c r="G252" s="209"/>
      <c r="H252" s="209"/>
      <c r="I252" s="209"/>
      <c r="J252" s="209"/>
      <c r="N252" s="201"/>
    </row>
    <row r="253" spans="2:14" s="184" customFormat="1" x14ac:dyDescent="0.3">
      <c r="B253" s="212"/>
      <c r="F253" s="209"/>
      <c r="G253" s="209"/>
      <c r="H253" s="209"/>
      <c r="I253" s="209"/>
      <c r="J253" s="209"/>
      <c r="N253" s="201"/>
    </row>
    <row r="254" spans="2:14" s="184" customFormat="1" x14ac:dyDescent="0.3">
      <c r="B254" s="212"/>
      <c r="F254" s="209"/>
      <c r="G254" s="209"/>
      <c r="H254" s="209"/>
      <c r="I254" s="209"/>
      <c r="J254" s="209"/>
      <c r="N254" s="201"/>
    </row>
    <row r="255" spans="2:14" s="184" customFormat="1" x14ac:dyDescent="0.3">
      <c r="B255" s="212"/>
      <c r="F255" s="209"/>
      <c r="G255" s="209"/>
      <c r="H255" s="209"/>
      <c r="I255" s="209"/>
      <c r="J255" s="209"/>
      <c r="N255" s="201"/>
    </row>
    <row r="256" spans="2:14" s="184" customFormat="1" x14ac:dyDescent="0.3">
      <c r="B256" s="212"/>
      <c r="F256" s="209"/>
      <c r="G256" s="209"/>
      <c r="H256" s="209"/>
      <c r="I256" s="209"/>
      <c r="J256" s="209"/>
      <c r="N256" s="201"/>
    </row>
    <row r="257" spans="2:14" s="184" customFormat="1" x14ac:dyDescent="0.3">
      <c r="B257" s="212"/>
      <c r="F257" s="209"/>
      <c r="G257" s="209"/>
      <c r="H257" s="209"/>
      <c r="I257" s="209"/>
      <c r="J257" s="209"/>
      <c r="N257" s="201"/>
    </row>
    <row r="258" spans="2:14" s="184" customFormat="1" x14ac:dyDescent="0.3">
      <c r="B258" s="212"/>
      <c r="F258" s="209"/>
      <c r="G258" s="209"/>
      <c r="H258" s="209"/>
      <c r="I258" s="209"/>
      <c r="J258" s="209"/>
      <c r="N258" s="201"/>
    </row>
    <row r="259" spans="2:14" s="184" customFormat="1" x14ac:dyDescent="0.3">
      <c r="B259" s="212"/>
      <c r="F259" s="209"/>
      <c r="G259" s="209"/>
      <c r="H259" s="209"/>
      <c r="I259" s="209"/>
      <c r="J259" s="209"/>
      <c r="N259" s="201"/>
    </row>
    <row r="260" spans="2:14" s="184" customFormat="1" x14ac:dyDescent="0.3">
      <c r="B260" s="212"/>
      <c r="F260" s="209"/>
      <c r="G260" s="209"/>
      <c r="H260" s="209"/>
      <c r="I260" s="209"/>
      <c r="J260" s="209"/>
      <c r="N260" s="201"/>
    </row>
    <row r="261" spans="2:14" s="184" customFormat="1" x14ac:dyDescent="0.3">
      <c r="B261" s="212"/>
      <c r="F261" s="209"/>
      <c r="G261" s="209"/>
      <c r="H261" s="209"/>
      <c r="I261" s="209"/>
      <c r="J261" s="209"/>
      <c r="N261" s="201"/>
    </row>
    <row r="262" spans="2:14" s="184" customFormat="1" x14ac:dyDescent="0.3">
      <c r="B262" s="212"/>
      <c r="F262" s="209"/>
      <c r="G262" s="209"/>
      <c r="H262" s="209"/>
      <c r="I262" s="209"/>
      <c r="J262" s="209"/>
      <c r="N262" s="201"/>
    </row>
    <row r="263" spans="2:14" s="184" customFormat="1" x14ac:dyDescent="0.3">
      <c r="B263" s="212"/>
      <c r="F263" s="209"/>
      <c r="G263" s="209"/>
      <c r="H263" s="209"/>
      <c r="I263" s="209"/>
      <c r="J263" s="209"/>
      <c r="N263" s="201"/>
    </row>
    <row r="264" spans="2:14" s="184" customFormat="1" x14ac:dyDescent="0.3">
      <c r="B264" s="212"/>
      <c r="F264" s="209"/>
      <c r="G264" s="209"/>
      <c r="H264" s="209"/>
      <c r="I264" s="209"/>
      <c r="J264" s="209"/>
      <c r="N264" s="201"/>
    </row>
    <row r="265" spans="2:14" s="184" customFormat="1" x14ac:dyDescent="0.3">
      <c r="B265" s="212"/>
      <c r="F265" s="209"/>
      <c r="G265" s="209"/>
      <c r="H265" s="209"/>
      <c r="I265" s="209"/>
      <c r="J265" s="209"/>
      <c r="N265" s="201"/>
    </row>
    <row r="266" spans="2:14" s="184" customFormat="1" x14ac:dyDescent="0.3">
      <c r="B266" s="212"/>
      <c r="F266" s="209"/>
      <c r="G266" s="209"/>
      <c r="H266" s="209"/>
      <c r="I266" s="209"/>
      <c r="J266" s="209"/>
      <c r="N266" s="201"/>
    </row>
    <row r="267" spans="2:14" s="184" customFormat="1" x14ac:dyDescent="0.3">
      <c r="B267" s="212"/>
      <c r="F267" s="209"/>
      <c r="G267" s="209"/>
      <c r="H267" s="209"/>
      <c r="I267" s="209"/>
      <c r="J267" s="209"/>
      <c r="N267" s="201"/>
    </row>
    <row r="268" spans="2:14" s="184" customFormat="1" x14ac:dyDescent="0.3">
      <c r="B268" s="212"/>
      <c r="F268" s="209"/>
      <c r="G268" s="209"/>
      <c r="H268" s="209"/>
      <c r="I268" s="209"/>
      <c r="J268" s="209"/>
      <c r="N268" s="201"/>
    </row>
    <row r="269" spans="2:14" s="184" customFormat="1" x14ac:dyDescent="0.3">
      <c r="B269" s="212"/>
      <c r="F269" s="209"/>
      <c r="G269" s="209"/>
      <c r="H269" s="209"/>
      <c r="I269" s="209"/>
      <c r="J269" s="209"/>
      <c r="N269" s="201"/>
    </row>
    <row r="270" spans="2:14" s="184" customFormat="1" x14ac:dyDescent="0.3">
      <c r="B270" s="212"/>
      <c r="F270" s="209"/>
      <c r="G270" s="209"/>
      <c r="H270" s="209"/>
      <c r="I270" s="209"/>
      <c r="J270" s="209"/>
      <c r="N270" s="201"/>
    </row>
    <row r="271" spans="2:14" s="184" customFormat="1" x14ac:dyDescent="0.3">
      <c r="B271" s="212"/>
      <c r="F271" s="209"/>
      <c r="G271" s="209"/>
      <c r="H271" s="209"/>
      <c r="I271" s="209"/>
      <c r="J271" s="209"/>
      <c r="N271" s="201"/>
    </row>
    <row r="272" spans="2:14" s="184" customFormat="1" x14ac:dyDescent="0.3">
      <c r="B272" s="212"/>
      <c r="F272" s="209"/>
      <c r="G272" s="209"/>
      <c r="H272" s="209"/>
      <c r="I272" s="209"/>
      <c r="J272" s="209"/>
      <c r="N272" s="201"/>
    </row>
    <row r="273" spans="2:14" s="184" customFormat="1" x14ac:dyDescent="0.3">
      <c r="B273" s="212"/>
      <c r="F273" s="209"/>
      <c r="G273" s="209"/>
      <c r="H273" s="209"/>
      <c r="I273" s="209"/>
      <c r="J273" s="209"/>
      <c r="N273" s="201"/>
    </row>
    <row r="274" spans="2:14" s="184" customFormat="1" x14ac:dyDescent="0.3">
      <c r="B274" s="212"/>
      <c r="F274" s="209"/>
      <c r="G274" s="209"/>
      <c r="H274" s="209"/>
      <c r="I274" s="209"/>
      <c r="J274" s="209"/>
      <c r="N274" s="201"/>
    </row>
    <row r="275" spans="2:14" s="184" customFormat="1" x14ac:dyDescent="0.3">
      <c r="B275" s="212"/>
      <c r="F275" s="209"/>
      <c r="G275" s="209"/>
      <c r="H275" s="209"/>
      <c r="I275" s="209"/>
      <c r="J275" s="209"/>
      <c r="N275" s="201"/>
    </row>
    <row r="276" spans="2:14" s="184" customFormat="1" x14ac:dyDescent="0.3">
      <c r="B276" s="212"/>
      <c r="F276" s="209"/>
      <c r="G276" s="209"/>
      <c r="H276" s="209"/>
      <c r="I276" s="209"/>
      <c r="J276" s="209"/>
      <c r="N276" s="201"/>
    </row>
    <row r="277" spans="2:14" s="184" customFormat="1" x14ac:dyDescent="0.3">
      <c r="B277" s="212"/>
      <c r="F277" s="209"/>
      <c r="G277" s="209"/>
      <c r="H277" s="209"/>
      <c r="I277" s="209"/>
      <c r="J277" s="209"/>
      <c r="N277" s="201"/>
    </row>
    <row r="278" spans="2:14" s="184" customFormat="1" x14ac:dyDescent="0.3">
      <c r="B278" s="212"/>
      <c r="F278" s="209"/>
      <c r="G278" s="209"/>
      <c r="H278" s="209"/>
      <c r="I278" s="209"/>
      <c r="J278" s="209"/>
      <c r="N278" s="201"/>
    </row>
    <row r="279" spans="2:14" s="184" customFormat="1" x14ac:dyDescent="0.3">
      <c r="B279" s="212"/>
      <c r="F279" s="209"/>
      <c r="G279" s="209"/>
      <c r="H279" s="209"/>
      <c r="I279" s="209"/>
      <c r="J279" s="209"/>
      <c r="N279" s="201"/>
    </row>
    <row r="280" spans="2:14" s="184" customFormat="1" x14ac:dyDescent="0.3">
      <c r="B280" s="212"/>
      <c r="F280" s="209"/>
      <c r="G280" s="209"/>
      <c r="H280" s="209"/>
      <c r="I280" s="209"/>
      <c r="J280" s="209"/>
      <c r="N280" s="201"/>
    </row>
    <row r="281" spans="2:14" s="184" customFormat="1" x14ac:dyDescent="0.3">
      <c r="B281" s="212"/>
      <c r="F281" s="209"/>
      <c r="G281" s="209"/>
      <c r="H281" s="209"/>
      <c r="I281" s="209"/>
      <c r="J281" s="209"/>
      <c r="N281" s="201"/>
    </row>
    <row r="282" spans="2:14" s="184" customFormat="1" x14ac:dyDescent="0.3">
      <c r="B282" s="212"/>
      <c r="F282" s="209"/>
      <c r="G282" s="209"/>
      <c r="H282" s="209"/>
      <c r="I282" s="209"/>
      <c r="J282" s="209"/>
      <c r="N282" s="201"/>
    </row>
    <row r="283" spans="2:14" s="184" customFormat="1" x14ac:dyDescent="0.3">
      <c r="B283" s="212"/>
      <c r="F283" s="209"/>
      <c r="G283" s="209"/>
      <c r="H283" s="209"/>
      <c r="I283" s="209"/>
      <c r="J283" s="209"/>
      <c r="N283" s="201"/>
    </row>
    <row r="284" spans="2:14" s="184" customFormat="1" x14ac:dyDescent="0.3">
      <c r="B284" s="212"/>
      <c r="F284" s="209"/>
      <c r="G284" s="209"/>
      <c r="H284" s="209"/>
      <c r="I284" s="209"/>
      <c r="J284" s="209"/>
      <c r="N284" s="201"/>
    </row>
    <row r="285" spans="2:14" s="184" customFormat="1" x14ac:dyDescent="0.3">
      <c r="B285" s="212"/>
      <c r="F285" s="209"/>
      <c r="G285" s="209"/>
      <c r="H285" s="209"/>
      <c r="I285" s="209"/>
      <c r="J285" s="209"/>
      <c r="N285" s="201"/>
    </row>
    <row r="286" spans="2:14" s="184" customFormat="1" x14ac:dyDescent="0.3">
      <c r="B286" s="212"/>
      <c r="F286" s="209"/>
      <c r="G286" s="209"/>
      <c r="H286" s="209"/>
      <c r="I286" s="209"/>
      <c r="J286" s="209"/>
      <c r="N286" s="201"/>
    </row>
    <row r="287" spans="2:14" s="184" customFormat="1" x14ac:dyDescent="0.3">
      <c r="B287" s="212"/>
      <c r="F287" s="209"/>
      <c r="G287" s="209"/>
      <c r="H287" s="209"/>
      <c r="I287" s="209"/>
      <c r="J287" s="209"/>
      <c r="N287" s="201"/>
    </row>
    <row r="288" spans="2:14" s="184" customFormat="1" x14ac:dyDescent="0.3">
      <c r="B288" s="212"/>
      <c r="F288" s="209"/>
      <c r="G288" s="209"/>
      <c r="H288" s="209"/>
      <c r="I288" s="209"/>
      <c r="J288" s="209"/>
      <c r="N288" s="201"/>
    </row>
    <row r="289" spans="2:14" s="184" customFormat="1" x14ac:dyDescent="0.3">
      <c r="B289" s="212"/>
      <c r="F289" s="209"/>
      <c r="G289" s="209"/>
      <c r="H289" s="209"/>
      <c r="I289" s="209"/>
      <c r="J289" s="209"/>
      <c r="N289" s="201"/>
    </row>
    <row r="290" spans="2:14" s="184" customFormat="1" x14ac:dyDescent="0.3">
      <c r="B290" s="212"/>
      <c r="F290" s="209"/>
      <c r="G290" s="209"/>
      <c r="H290" s="209"/>
      <c r="I290" s="209"/>
      <c r="J290" s="209"/>
      <c r="N290" s="201"/>
    </row>
    <row r="291" spans="2:14" s="184" customFormat="1" x14ac:dyDescent="0.3">
      <c r="B291" s="212"/>
      <c r="F291" s="209"/>
      <c r="G291" s="209"/>
      <c r="H291" s="209"/>
      <c r="I291" s="209"/>
      <c r="J291" s="209"/>
      <c r="N291" s="201"/>
    </row>
    <row r="292" spans="2:14" s="184" customFormat="1" x14ac:dyDescent="0.3">
      <c r="B292" s="212"/>
      <c r="F292" s="209"/>
      <c r="G292" s="209"/>
      <c r="H292" s="209"/>
      <c r="I292" s="209"/>
      <c r="J292" s="209"/>
      <c r="N292" s="201"/>
    </row>
    <row r="293" spans="2:14" s="184" customFormat="1" x14ac:dyDescent="0.3">
      <c r="B293" s="212"/>
      <c r="F293" s="209"/>
      <c r="G293" s="209"/>
      <c r="H293" s="209"/>
      <c r="I293" s="209"/>
      <c r="J293" s="209"/>
      <c r="N293" s="201"/>
    </row>
    <row r="294" spans="2:14" s="184" customFormat="1" x14ac:dyDescent="0.3">
      <c r="B294" s="212"/>
      <c r="F294" s="209"/>
      <c r="G294" s="209"/>
      <c r="H294" s="209"/>
      <c r="I294" s="209"/>
      <c r="J294" s="209"/>
      <c r="N294" s="201"/>
    </row>
    <row r="295" spans="2:14" s="184" customFormat="1" x14ac:dyDescent="0.3">
      <c r="B295" s="212"/>
      <c r="F295" s="209"/>
      <c r="G295" s="209"/>
      <c r="H295" s="209"/>
      <c r="I295" s="209"/>
      <c r="J295" s="209"/>
      <c r="N295" s="201"/>
    </row>
    <row r="296" spans="2:14" s="184" customFormat="1" x14ac:dyDescent="0.3">
      <c r="B296" s="212"/>
      <c r="F296" s="209"/>
      <c r="G296" s="209"/>
      <c r="H296" s="209"/>
      <c r="I296" s="209"/>
      <c r="J296" s="209"/>
      <c r="N296" s="201"/>
    </row>
    <row r="297" spans="2:14" s="184" customFormat="1" x14ac:dyDescent="0.3">
      <c r="B297" s="212"/>
      <c r="F297" s="209"/>
      <c r="G297" s="209"/>
      <c r="H297" s="209"/>
      <c r="I297" s="209"/>
      <c r="J297" s="209"/>
      <c r="N297" s="201"/>
    </row>
    <row r="298" spans="2:14" s="184" customFormat="1" x14ac:dyDescent="0.3">
      <c r="B298" s="212"/>
      <c r="F298" s="209"/>
      <c r="G298" s="209"/>
      <c r="H298" s="209"/>
      <c r="I298" s="209"/>
      <c r="J298" s="209"/>
      <c r="N298" s="201"/>
    </row>
    <row r="299" spans="2:14" s="184" customFormat="1" x14ac:dyDescent="0.3">
      <c r="B299" s="212"/>
      <c r="F299" s="209"/>
      <c r="G299" s="209"/>
      <c r="H299" s="209"/>
      <c r="I299" s="209"/>
      <c r="J299" s="209"/>
      <c r="N299" s="201"/>
    </row>
    <row r="300" spans="2:14" s="184" customFormat="1" x14ac:dyDescent="0.3">
      <c r="B300" s="212"/>
      <c r="F300" s="209"/>
      <c r="G300" s="209"/>
      <c r="H300" s="209"/>
      <c r="I300" s="209"/>
      <c r="J300" s="209"/>
      <c r="N300" s="201"/>
    </row>
    <row r="301" spans="2:14" s="184" customFormat="1" x14ac:dyDescent="0.3">
      <c r="B301" s="212"/>
      <c r="F301" s="209"/>
      <c r="G301" s="209"/>
      <c r="H301" s="209"/>
      <c r="I301" s="209"/>
      <c r="J301" s="209"/>
      <c r="N301" s="201"/>
    </row>
    <row r="302" spans="2:14" s="184" customFormat="1" x14ac:dyDescent="0.3">
      <c r="B302" s="212"/>
      <c r="F302" s="209"/>
      <c r="G302" s="209"/>
      <c r="H302" s="209"/>
      <c r="I302" s="209"/>
      <c r="J302" s="209"/>
      <c r="N302" s="201"/>
    </row>
    <row r="303" spans="2:14" s="184" customFormat="1" x14ac:dyDescent="0.3">
      <c r="B303" s="212"/>
      <c r="F303" s="209"/>
      <c r="G303" s="209"/>
      <c r="H303" s="209"/>
      <c r="I303" s="209"/>
      <c r="J303" s="209"/>
      <c r="N303" s="201"/>
    </row>
    <row r="304" spans="2:14" s="184" customFormat="1" x14ac:dyDescent="0.3">
      <c r="B304" s="212"/>
      <c r="F304" s="209"/>
      <c r="G304" s="209"/>
      <c r="H304" s="209"/>
      <c r="I304" s="209"/>
      <c r="J304" s="209"/>
      <c r="N304" s="201"/>
    </row>
    <row r="305" spans="2:14" s="184" customFormat="1" x14ac:dyDescent="0.3">
      <c r="B305" s="212"/>
      <c r="F305" s="209"/>
      <c r="G305" s="209"/>
      <c r="H305" s="209"/>
      <c r="I305" s="209"/>
      <c r="J305" s="209"/>
      <c r="N305" s="201"/>
    </row>
    <row r="306" spans="2:14" s="184" customFormat="1" x14ac:dyDescent="0.3">
      <c r="B306" s="212"/>
      <c r="F306" s="209"/>
      <c r="G306" s="209"/>
      <c r="H306" s="209"/>
      <c r="I306" s="209"/>
      <c r="J306" s="209"/>
      <c r="N306" s="201"/>
    </row>
    <row r="307" spans="2:14" s="184" customFormat="1" x14ac:dyDescent="0.3">
      <c r="B307" s="212"/>
      <c r="F307" s="209"/>
      <c r="G307" s="209"/>
      <c r="H307" s="209"/>
      <c r="I307" s="209"/>
      <c r="J307" s="209"/>
      <c r="N307" s="201"/>
    </row>
    <row r="308" spans="2:14" s="184" customFormat="1" x14ac:dyDescent="0.3">
      <c r="B308" s="212"/>
      <c r="F308" s="209"/>
      <c r="G308" s="209"/>
      <c r="H308" s="209"/>
      <c r="I308" s="209"/>
      <c r="J308" s="209"/>
      <c r="N308" s="201"/>
    </row>
    <row r="309" spans="2:14" s="184" customFormat="1" x14ac:dyDescent="0.3">
      <c r="B309" s="212"/>
      <c r="F309" s="209"/>
      <c r="G309" s="209"/>
      <c r="H309" s="209"/>
      <c r="I309" s="209"/>
      <c r="J309" s="209"/>
      <c r="N309" s="201"/>
    </row>
    <row r="310" spans="2:14" s="184" customFormat="1" x14ac:dyDescent="0.3">
      <c r="B310" s="212"/>
      <c r="F310" s="209"/>
      <c r="G310" s="209"/>
      <c r="H310" s="209"/>
      <c r="I310" s="209"/>
      <c r="J310" s="209"/>
      <c r="N310" s="201"/>
    </row>
    <row r="311" spans="2:14" s="184" customFormat="1" x14ac:dyDescent="0.3">
      <c r="B311" s="212"/>
      <c r="F311" s="209"/>
      <c r="G311" s="209"/>
      <c r="H311" s="209"/>
      <c r="I311" s="209"/>
      <c r="J311" s="209"/>
      <c r="N311" s="201"/>
    </row>
    <row r="312" spans="2:14" s="184" customFormat="1" x14ac:dyDescent="0.3">
      <c r="B312" s="212"/>
      <c r="F312" s="209"/>
      <c r="G312" s="209"/>
      <c r="H312" s="209"/>
      <c r="I312" s="209"/>
      <c r="J312" s="209"/>
      <c r="N312" s="201"/>
    </row>
    <row r="313" spans="2:14" s="184" customFormat="1" x14ac:dyDescent="0.3">
      <c r="B313" s="212"/>
      <c r="F313" s="209"/>
      <c r="G313" s="209"/>
      <c r="H313" s="209"/>
      <c r="I313" s="209"/>
      <c r="J313" s="209"/>
      <c r="N313" s="201"/>
    </row>
    <row r="314" spans="2:14" s="184" customFormat="1" x14ac:dyDescent="0.3">
      <c r="B314" s="212"/>
      <c r="F314" s="209"/>
      <c r="G314" s="209"/>
      <c r="H314" s="209"/>
      <c r="I314" s="209"/>
      <c r="J314" s="209"/>
      <c r="N314" s="201"/>
    </row>
    <row r="315" spans="2:14" s="184" customFormat="1" x14ac:dyDescent="0.3">
      <c r="B315" s="212"/>
      <c r="F315" s="209"/>
      <c r="G315" s="209"/>
      <c r="H315" s="209"/>
      <c r="I315" s="209"/>
      <c r="J315" s="209"/>
      <c r="N315" s="201"/>
    </row>
    <row r="316" spans="2:14" s="184" customFormat="1" x14ac:dyDescent="0.3">
      <c r="B316" s="212"/>
      <c r="F316" s="209"/>
      <c r="G316" s="209"/>
      <c r="H316" s="209"/>
      <c r="I316" s="209"/>
      <c r="J316" s="209"/>
      <c r="N316" s="201"/>
    </row>
    <row r="317" spans="2:14" s="184" customFormat="1" x14ac:dyDescent="0.3">
      <c r="B317" s="212"/>
      <c r="F317" s="209"/>
      <c r="G317" s="209"/>
      <c r="H317" s="209"/>
      <c r="I317" s="209"/>
      <c r="J317" s="209"/>
      <c r="N317" s="201"/>
    </row>
    <row r="318" spans="2:14" s="184" customFormat="1" x14ac:dyDescent="0.3">
      <c r="B318" s="212"/>
      <c r="F318" s="209"/>
      <c r="G318" s="209"/>
      <c r="H318" s="209"/>
      <c r="I318" s="209"/>
      <c r="J318" s="209"/>
      <c r="N318" s="201"/>
    </row>
    <row r="319" spans="2:14" s="184" customFormat="1" x14ac:dyDescent="0.3">
      <c r="B319" s="212"/>
      <c r="F319" s="209"/>
      <c r="G319" s="209"/>
      <c r="H319" s="209"/>
      <c r="I319" s="209"/>
      <c r="J319" s="209"/>
      <c r="N319" s="201"/>
    </row>
    <row r="320" spans="2:14" s="184" customFormat="1" x14ac:dyDescent="0.3">
      <c r="B320" s="212"/>
      <c r="F320" s="209"/>
      <c r="G320" s="209"/>
      <c r="H320" s="209"/>
      <c r="I320" s="209"/>
      <c r="J320" s="209"/>
      <c r="N320" s="201"/>
    </row>
    <row r="321" spans="2:14" s="184" customFormat="1" x14ac:dyDescent="0.3">
      <c r="B321" s="212"/>
      <c r="F321" s="209"/>
      <c r="G321" s="209"/>
      <c r="H321" s="209"/>
      <c r="I321" s="209"/>
      <c r="J321" s="209"/>
      <c r="N321" s="201"/>
    </row>
    <row r="322" spans="2:14" s="184" customFormat="1" x14ac:dyDescent="0.3">
      <c r="B322" s="212"/>
      <c r="F322" s="209"/>
      <c r="G322" s="209"/>
      <c r="H322" s="209"/>
      <c r="I322" s="209"/>
      <c r="J322" s="209"/>
      <c r="N322" s="201"/>
    </row>
    <row r="323" spans="2:14" s="184" customFormat="1" x14ac:dyDescent="0.3">
      <c r="B323" s="212"/>
      <c r="F323" s="209"/>
      <c r="G323" s="209"/>
      <c r="H323" s="209"/>
      <c r="I323" s="209"/>
      <c r="J323" s="209"/>
      <c r="N323" s="201"/>
    </row>
    <row r="324" spans="2:14" s="184" customFormat="1" x14ac:dyDescent="0.3">
      <c r="B324" s="212"/>
      <c r="F324" s="209"/>
      <c r="G324" s="209"/>
      <c r="H324" s="209"/>
      <c r="I324" s="209"/>
      <c r="J324" s="209"/>
      <c r="N324" s="201"/>
    </row>
    <row r="325" spans="2:14" s="184" customFormat="1" x14ac:dyDescent="0.3">
      <c r="B325" s="212"/>
      <c r="F325" s="209"/>
      <c r="G325" s="209"/>
      <c r="H325" s="209"/>
      <c r="I325" s="209"/>
      <c r="J325" s="209"/>
      <c r="N325" s="201"/>
    </row>
    <row r="326" spans="2:14" s="184" customFormat="1" x14ac:dyDescent="0.3">
      <c r="B326" s="212"/>
      <c r="F326" s="209"/>
      <c r="G326" s="209"/>
      <c r="H326" s="209"/>
      <c r="I326" s="209"/>
      <c r="J326" s="209"/>
      <c r="N326" s="201"/>
    </row>
    <row r="327" spans="2:14" s="184" customFormat="1" x14ac:dyDescent="0.3">
      <c r="B327" s="212"/>
      <c r="F327" s="209"/>
      <c r="G327" s="209"/>
      <c r="H327" s="209"/>
      <c r="I327" s="209"/>
      <c r="J327" s="209"/>
      <c r="N327" s="201"/>
    </row>
    <row r="328" spans="2:14" s="184" customFormat="1" x14ac:dyDescent="0.3">
      <c r="B328" s="212"/>
      <c r="F328" s="209"/>
      <c r="G328" s="209"/>
      <c r="H328" s="209"/>
      <c r="I328" s="209"/>
      <c r="J328" s="209"/>
      <c r="N328" s="201"/>
    </row>
    <row r="329" spans="2:14" s="184" customFormat="1" x14ac:dyDescent="0.3">
      <c r="B329" s="212"/>
      <c r="F329" s="209"/>
      <c r="G329" s="209"/>
      <c r="H329" s="209"/>
      <c r="I329" s="209"/>
      <c r="J329" s="209"/>
      <c r="N329" s="201"/>
    </row>
    <row r="330" spans="2:14" s="184" customFormat="1" x14ac:dyDescent="0.3">
      <c r="B330" s="212"/>
      <c r="F330" s="209"/>
      <c r="G330" s="209"/>
      <c r="H330" s="209"/>
      <c r="I330" s="209"/>
      <c r="J330" s="209"/>
      <c r="N330" s="201"/>
    </row>
    <row r="331" spans="2:14" s="184" customFormat="1" x14ac:dyDescent="0.3">
      <c r="B331" s="212"/>
      <c r="F331" s="209"/>
      <c r="G331" s="209"/>
      <c r="H331" s="209"/>
      <c r="I331" s="209"/>
      <c r="J331" s="209"/>
      <c r="N331" s="201"/>
    </row>
    <row r="332" spans="2:14" s="184" customFormat="1" x14ac:dyDescent="0.3">
      <c r="B332" s="212"/>
      <c r="F332" s="209"/>
      <c r="G332" s="209"/>
      <c r="H332" s="209"/>
      <c r="I332" s="209"/>
      <c r="J332" s="209"/>
      <c r="N332" s="201"/>
    </row>
    <row r="333" spans="2:14" s="184" customFormat="1" x14ac:dyDescent="0.3">
      <c r="B333" s="212"/>
      <c r="F333" s="209"/>
      <c r="G333" s="209"/>
      <c r="H333" s="209"/>
      <c r="I333" s="209"/>
      <c r="J333" s="209"/>
      <c r="N333" s="201"/>
    </row>
    <row r="334" spans="2:14" s="184" customFormat="1" x14ac:dyDescent="0.3">
      <c r="B334" s="212"/>
      <c r="F334" s="209"/>
      <c r="G334" s="209"/>
      <c r="H334" s="209"/>
      <c r="I334" s="209"/>
      <c r="J334" s="209"/>
      <c r="N334" s="201"/>
    </row>
    <row r="335" spans="2:14" s="184" customFormat="1" x14ac:dyDescent="0.3">
      <c r="B335" s="212"/>
      <c r="F335" s="209"/>
      <c r="G335" s="209"/>
      <c r="H335" s="209"/>
      <c r="I335" s="209"/>
      <c r="J335" s="209"/>
      <c r="N335" s="201"/>
    </row>
    <row r="336" spans="2:14" s="184" customFormat="1" x14ac:dyDescent="0.3">
      <c r="B336" s="212"/>
      <c r="F336" s="209"/>
      <c r="G336" s="209"/>
      <c r="H336" s="209"/>
      <c r="I336" s="209"/>
      <c r="J336" s="209"/>
      <c r="N336" s="201"/>
    </row>
    <row r="337" spans="2:14" s="184" customFormat="1" x14ac:dyDescent="0.3">
      <c r="B337" s="212"/>
      <c r="F337" s="209"/>
      <c r="G337" s="209"/>
      <c r="H337" s="209"/>
      <c r="I337" s="209"/>
      <c r="J337" s="209"/>
      <c r="N337" s="201"/>
    </row>
    <row r="338" spans="2:14" s="184" customFormat="1" x14ac:dyDescent="0.3">
      <c r="B338" s="212"/>
      <c r="F338" s="209"/>
      <c r="G338" s="209"/>
      <c r="H338" s="209"/>
      <c r="I338" s="209"/>
      <c r="J338" s="209"/>
      <c r="N338" s="201"/>
    </row>
    <row r="339" spans="2:14" s="184" customFormat="1" x14ac:dyDescent="0.3">
      <c r="B339" s="212"/>
      <c r="F339" s="209"/>
      <c r="G339" s="209"/>
      <c r="H339" s="209"/>
      <c r="I339" s="209"/>
      <c r="J339" s="209"/>
      <c r="N339" s="201"/>
    </row>
    <row r="340" spans="2:14" s="184" customFormat="1" x14ac:dyDescent="0.3">
      <c r="B340" s="212"/>
      <c r="F340" s="209"/>
      <c r="G340" s="209"/>
      <c r="H340" s="209"/>
      <c r="I340" s="209"/>
      <c r="J340" s="209"/>
      <c r="N340" s="201"/>
    </row>
    <row r="341" spans="2:14" s="184" customFormat="1" x14ac:dyDescent="0.3">
      <c r="B341" s="212"/>
      <c r="F341" s="209"/>
      <c r="G341" s="209"/>
      <c r="H341" s="209"/>
      <c r="I341" s="209"/>
      <c r="J341" s="209"/>
      <c r="N341" s="201"/>
    </row>
    <row r="342" spans="2:14" s="184" customFormat="1" x14ac:dyDescent="0.3">
      <c r="B342" s="212"/>
      <c r="F342" s="209"/>
      <c r="G342" s="209"/>
      <c r="H342" s="209"/>
      <c r="I342" s="209"/>
      <c r="J342" s="209"/>
      <c r="N342" s="201"/>
    </row>
    <row r="343" spans="2:14" s="184" customFormat="1" x14ac:dyDescent="0.3">
      <c r="B343" s="212"/>
      <c r="F343" s="209"/>
      <c r="G343" s="209"/>
      <c r="H343" s="209"/>
      <c r="I343" s="209"/>
      <c r="J343" s="209"/>
      <c r="N343" s="201"/>
    </row>
    <row r="344" spans="2:14" s="184" customFormat="1" x14ac:dyDescent="0.3">
      <c r="B344" s="212"/>
      <c r="F344" s="209"/>
      <c r="G344" s="209"/>
      <c r="H344" s="209"/>
      <c r="I344" s="209"/>
      <c r="J344" s="209"/>
      <c r="N344" s="201"/>
    </row>
    <row r="345" spans="2:14" s="184" customFormat="1" x14ac:dyDescent="0.3">
      <c r="B345" s="212"/>
      <c r="F345" s="209"/>
      <c r="G345" s="209"/>
      <c r="H345" s="209"/>
      <c r="I345" s="209"/>
      <c r="J345" s="209"/>
      <c r="N345" s="201"/>
    </row>
    <row r="346" spans="2:14" s="184" customFormat="1" x14ac:dyDescent="0.3">
      <c r="B346" s="212"/>
      <c r="F346" s="209"/>
      <c r="G346" s="209"/>
      <c r="H346" s="209"/>
      <c r="I346" s="209"/>
      <c r="J346" s="209"/>
      <c r="N346" s="201"/>
    </row>
    <row r="347" spans="2:14" s="184" customFormat="1" x14ac:dyDescent="0.3">
      <c r="B347" s="212"/>
      <c r="F347" s="209"/>
      <c r="G347" s="209"/>
      <c r="H347" s="209"/>
      <c r="I347" s="209"/>
      <c r="J347" s="209"/>
      <c r="N347" s="201"/>
    </row>
    <row r="348" spans="2:14" s="184" customFormat="1" x14ac:dyDescent="0.3">
      <c r="B348" s="212"/>
      <c r="F348" s="209"/>
      <c r="G348" s="209"/>
      <c r="H348" s="209"/>
      <c r="I348" s="209"/>
      <c r="J348" s="209"/>
      <c r="N348" s="201"/>
    </row>
    <row r="349" spans="2:14" s="184" customFormat="1" x14ac:dyDescent="0.3">
      <c r="B349" s="212"/>
      <c r="F349" s="209"/>
      <c r="G349" s="209"/>
      <c r="H349" s="209"/>
      <c r="I349" s="209"/>
      <c r="J349" s="209"/>
      <c r="N349" s="201"/>
    </row>
    <row r="350" spans="2:14" s="184" customFormat="1" x14ac:dyDescent="0.3">
      <c r="B350" s="212"/>
      <c r="F350" s="209"/>
      <c r="G350" s="209"/>
      <c r="H350" s="209"/>
      <c r="I350" s="209"/>
      <c r="J350" s="209"/>
      <c r="N350" s="201"/>
    </row>
    <row r="351" spans="2:14" s="184" customFormat="1" x14ac:dyDescent="0.3">
      <c r="B351" s="212"/>
      <c r="F351" s="209"/>
      <c r="G351" s="209"/>
      <c r="H351" s="209"/>
      <c r="I351" s="209"/>
      <c r="J351" s="209"/>
      <c r="N351" s="201"/>
    </row>
    <row r="352" spans="2:14" s="184" customFormat="1" x14ac:dyDescent="0.3">
      <c r="B352" s="212"/>
      <c r="F352" s="209"/>
      <c r="G352" s="209"/>
      <c r="H352" s="209"/>
      <c r="I352" s="209"/>
      <c r="J352" s="209"/>
      <c r="N352" s="201"/>
    </row>
    <row r="353" spans="2:14" s="184" customFormat="1" x14ac:dyDescent="0.3">
      <c r="B353" s="212"/>
      <c r="F353" s="209"/>
      <c r="G353" s="209"/>
      <c r="H353" s="209"/>
      <c r="I353" s="209"/>
      <c r="J353" s="209"/>
      <c r="N353" s="201"/>
    </row>
    <row r="354" spans="2:14" s="184" customFormat="1" x14ac:dyDescent="0.3">
      <c r="B354" s="212"/>
      <c r="F354" s="209"/>
      <c r="G354" s="209"/>
      <c r="H354" s="209"/>
      <c r="I354" s="209"/>
      <c r="J354" s="209"/>
      <c r="N354" s="201"/>
    </row>
    <row r="355" spans="2:14" s="184" customFormat="1" x14ac:dyDescent="0.3">
      <c r="B355" s="212"/>
      <c r="F355" s="209"/>
      <c r="G355" s="209"/>
      <c r="H355" s="209"/>
      <c r="I355" s="209"/>
      <c r="J355" s="209"/>
      <c r="N355" s="201"/>
    </row>
    <row r="356" spans="2:14" s="184" customFormat="1" x14ac:dyDescent="0.3">
      <c r="B356" s="212"/>
      <c r="F356" s="209"/>
      <c r="G356" s="209"/>
      <c r="H356" s="209"/>
      <c r="I356" s="209"/>
      <c r="J356" s="209"/>
      <c r="N356" s="201"/>
    </row>
    <row r="357" spans="2:14" s="184" customFormat="1" x14ac:dyDescent="0.3">
      <c r="B357" s="212"/>
      <c r="F357" s="209"/>
      <c r="G357" s="209"/>
      <c r="H357" s="209"/>
      <c r="I357" s="209"/>
      <c r="J357" s="209"/>
      <c r="N357" s="201"/>
    </row>
    <row r="358" spans="2:14" s="184" customFormat="1" x14ac:dyDescent="0.3">
      <c r="B358" s="212"/>
      <c r="F358" s="209"/>
      <c r="G358" s="209"/>
      <c r="H358" s="209"/>
      <c r="I358" s="209"/>
      <c r="J358" s="209"/>
      <c r="N358" s="201"/>
    </row>
    <row r="359" spans="2:14" s="184" customFormat="1" x14ac:dyDescent="0.3">
      <c r="B359" s="212"/>
      <c r="F359" s="209"/>
      <c r="G359" s="209"/>
      <c r="H359" s="209"/>
      <c r="I359" s="209"/>
      <c r="J359" s="209"/>
      <c r="N359" s="201"/>
    </row>
    <row r="360" spans="2:14" s="184" customFormat="1" x14ac:dyDescent="0.3">
      <c r="B360" s="212"/>
      <c r="F360" s="209"/>
      <c r="G360" s="209"/>
      <c r="H360" s="209"/>
      <c r="I360" s="209"/>
      <c r="J360" s="209"/>
      <c r="N360" s="201"/>
    </row>
    <row r="361" spans="2:14" s="184" customFormat="1" x14ac:dyDescent="0.3">
      <c r="B361" s="212"/>
      <c r="F361" s="209"/>
      <c r="G361" s="209"/>
      <c r="H361" s="209"/>
      <c r="I361" s="209"/>
      <c r="J361" s="209"/>
      <c r="N361" s="201"/>
    </row>
    <row r="362" spans="2:14" s="184" customFormat="1" x14ac:dyDescent="0.3">
      <c r="B362" s="212"/>
      <c r="F362" s="209"/>
      <c r="G362" s="209"/>
      <c r="H362" s="209"/>
      <c r="I362" s="209"/>
      <c r="J362" s="209"/>
      <c r="N362" s="201"/>
    </row>
    <row r="363" spans="2:14" s="184" customFormat="1" x14ac:dyDescent="0.3">
      <c r="B363" s="212"/>
      <c r="F363" s="209"/>
      <c r="G363" s="209"/>
      <c r="H363" s="209"/>
      <c r="I363" s="209"/>
      <c r="J363" s="209"/>
      <c r="N363" s="201"/>
    </row>
    <row r="364" spans="2:14" s="184" customFormat="1" x14ac:dyDescent="0.3">
      <c r="B364" s="212"/>
      <c r="F364" s="209"/>
      <c r="G364" s="209"/>
      <c r="H364" s="209"/>
      <c r="I364" s="209"/>
      <c r="J364" s="209"/>
      <c r="N364" s="201"/>
    </row>
    <row r="365" spans="2:14" s="184" customFormat="1" x14ac:dyDescent="0.3">
      <c r="B365" s="212"/>
      <c r="F365" s="209"/>
      <c r="G365" s="209"/>
      <c r="H365" s="209"/>
      <c r="I365" s="209"/>
      <c r="J365" s="209"/>
      <c r="N365" s="201"/>
    </row>
    <row r="366" spans="2:14" s="184" customFormat="1" x14ac:dyDescent="0.3">
      <c r="B366" s="212"/>
      <c r="F366" s="209"/>
      <c r="G366" s="209"/>
      <c r="H366" s="209"/>
      <c r="I366" s="209"/>
      <c r="J366" s="209"/>
      <c r="N366" s="201"/>
    </row>
    <row r="367" spans="2:14" s="184" customFormat="1" x14ac:dyDescent="0.3">
      <c r="B367" s="212"/>
      <c r="F367" s="209"/>
      <c r="G367" s="209"/>
      <c r="H367" s="209"/>
      <c r="I367" s="209"/>
      <c r="J367" s="209"/>
      <c r="N367" s="201"/>
    </row>
    <row r="368" spans="2:14" s="184" customFormat="1" x14ac:dyDescent="0.3">
      <c r="B368" s="212"/>
      <c r="F368" s="209"/>
      <c r="G368" s="209"/>
      <c r="H368" s="209"/>
      <c r="I368" s="209"/>
      <c r="J368" s="209"/>
      <c r="N368" s="201"/>
    </row>
    <row r="369" spans="2:14" s="184" customFormat="1" x14ac:dyDescent="0.3">
      <c r="B369" s="212"/>
      <c r="F369" s="209"/>
      <c r="G369" s="209"/>
      <c r="H369" s="209"/>
      <c r="I369" s="209"/>
      <c r="J369" s="209"/>
      <c r="N369" s="201"/>
    </row>
    <row r="370" spans="2:14" s="184" customFormat="1" x14ac:dyDescent="0.3">
      <c r="B370" s="212"/>
      <c r="F370" s="209"/>
      <c r="G370" s="209"/>
      <c r="H370" s="209"/>
      <c r="I370" s="209"/>
      <c r="J370" s="209"/>
      <c r="N370" s="201"/>
    </row>
    <row r="371" spans="2:14" s="184" customFormat="1" x14ac:dyDescent="0.3">
      <c r="B371" s="212"/>
      <c r="F371" s="209"/>
      <c r="G371" s="209"/>
      <c r="H371" s="209"/>
      <c r="I371" s="209"/>
      <c r="J371" s="209"/>
      <c r="N371" s="201"/>
    </row>
    <row r="372" spans="2:14" s="184" customFormat="1" x14ac:dyDescent="0.3">
      <c r="B372" s="212"/>
      <c r="F372" s="209"/>
      <c r="G372" s="209"/>
      <c r="H372" s="209"/>
      <c r="I372" s="209"/>
      <c r="J372" s="209"/>
      <c r="N372" s="201"/>
    </row>
    <row r="373" spans="2:14" s="184" customFormat="1" x14ac:dyDescent="0.3">
      <c r="B373" s="212"/>
      <c r="F373" s="209"/>
      <c r="G373" s="209"/>
      <c r="H373" s="209"/>
      <c r="I373" s="209"/>
      <c r="J373" s="209"/>
      <c r="N373" s="201"/>
    </row>
    <row r="374" spans="2:14" s="184" customFormat="1" x14ac:dyDescent="0.3">
      <c r="B374" s="212"/>
      <c r="F374" s="209"/>
      <c r="G374" s="209"/>
      <c r="H374" s="209"/>
      <c r="I374" s="209"/>
      <c r="J374" s="209"/>
      <c r="N374" s="201"/>
    </row>
    <row r="375" spans="2:14" s="184" customFormat="1" x14ac:dyDescent="0.3">
      <c r="B375" s="212"/>
      <c r="F375" s="209"/>
      <c r="G375" s="209"/>
      <c r="H375" s="209"/>
      <c r="I375" s="209"/>
      <c r="J375" s="209"/>
      <c r="N375" s="201"/>
    </row>
    <row r="376" spans="2:14" s="184" customFormat="1" x14ac:dyDescent="0.3">
      <c r="B376" s="212"/>
      <c r="F376" s="209"/>
      <c r="G376" s="209"/>
      <c r="H376" s="209"/>
      <c r="I376" s="209"/>
      <c r="J376" s="209"/>
      <c r="N376" s="201"/>
    </row>
    <row r="377" spans="2:14" s="184" customFormat="1" x14ac:dyDescent="0.3">
      <c r="B377" s="212"/>
      <c r="F377" s="209"/>
      <c r="G377" s="209"/>
      <c r="H377" s="209"/>
      <c r="I377" s="209"/>
      <c r="J377" s="209"/>
      <c r="N377" s="201"/>
    </row>
    <row r="378" spans="2:14" s="184" customFormat="1" x14ac:dyDescent="0.3">
      <c r="B378" s="212"/>
      <c r="F378" s="209"/>
      <c r="G378" s="209"/>
      <c r="H378" s="209"/>
      <c r="I378" s="209"/>
      <c r="J378" s="209"/>
      <c r="N378" s="201"/>
    </row>
    <row r="379" spans="2:14" s="184" customFormat="1" x14ac:dyDescent="0.3">
      <c r="B379" s="212"/>
      <c r="F379" s="209"/>
      <c r="G379" s="209"/>
      <c r="H379" s="209"/>
      <c r="I379" s="209"/>
      <c r="J379" s="209"/>
      <c r="N379" s="201"/>
    </row>
    <row r="380" spans="2:14" s="184" customFormat="1" x14ac:dyDescent="0.3">
      <c r="B380" s="212"/>
      <c r="F380" s="209"/>
      <c r="G380" s="209"/>
      <c r="H380" s="209"/>
      <c r="I380" s="209"/>
      <c r="J380" s="209"/>
      <c r="N380" s="201"/>
    </row>
    <row r="381" spans="2:14" s="184" customFormat="1" x14ac:dyDescent="0.3">
      <c r="B381" s="212"/>
      <c r="F381" s="209"/>
      <c r="G381" s="209"/>
      <c r="H381" s="209"/>
      <c r="I381" s="209"/>
      <c r="J381" s="209"/>
      <c r="N381" s="201"/>
    </row>
    <row r="382" spans="2:14" s="184" customFormat="1" x14ac:dyDescent="0.3">
      <c r="B382" s="212"/>
      <c r="F382" s="209"/>
      <c r="G382" s="209"/>
      <c r="H382" s="209"/>
      <c r="I382" s="209"/>
      <c r="J382" s="209"/>
      <c r="N382" s="201"/>
    </row>
    <row r="383" spans="2:14" s="184" customFormat="1" x14ac:dyDescent="0.3">
      <c r="B383" s="212"/>
      <c r="F383" s="209"/>
      <c r="G383" s="209"/>
      <c r="H383" s="209"/>
      <c r="I383" s="209"/>
      <c r="J383" s="209"/>
      <c r="N383" s="201"/>
    </row>
    <row r="384" spans="2:14" s="184" customFormat="1" x14ac:dyDescent="0.3">
      <c r="B384" s="212"/>
      <c r="F384" s="209"/>
      <c r="G384" s="209"/>
      <c r="H384" s="209"/>
      <c r="I384" s="209"/>
      <c r="J384" s="209"/>
      <c r="N384" s="201"/>
    </row>
    <row r="385" spans="2:14" s="184" customFormat="1" x14ac:dyDescent="0.3">
      <c r="B385" s="212"/>
      <c r="F385" s="209"/>
      <c r="G385" s="209"/>
      <c r="H385" s="209"/>
      <c r="I385" s="209"/>
      <c r="J385" s="209"/>
      <c r="N385" s="201"/>
    </row>
    <row r="386" spans="2:14" s="184" customFormat="1" x14ac:dyDescent="0.3">
      <c r="B386" s="212"/>
      <c r="F386" s="209"/>
      <c r="G386" s="209"/>
      <c r="H386" s="209"/>
      <c r="I386" s="209"/>
      <c r="J386" s="209"/>
      <c r="N386" s="201"/>
    </row>
    <row r="387" spans="2:14" s="184" customFormat="1" x14ac:dyDescent="0.3">
      <c r="B387" s="212"/>
      <c r="F387" s="209"/>
      <c r="G387" s="209"/>
      <c r="H387" s="209"/>
      <c r="I387" s="209"/>
      <c r="J387" s="209"/>
      <c r="N387" s="201"/>
    </row>
    <row r="388" spans="2:14" s="184" customFormat="1" x14ac:dyDescent="0.3">
      <c r="B388" s="212"/>
      <c r="F388" s="209"/>
      <c r="G388" s="209"/>
      <c r="H388" s="209"/>
      <c r="I388" s="209"/>
      <c r="J388" s="209"/>
      <c r="N388" s="201"/>
    </row>
    <row r="389" spans="2:14" s="184" customFormat="1" x14ac:dyDescent="0.3">
      <c r="B389" s="212"/>
      <c r="F389" s="209"/>
      <c r="G389" s="209"/>
      <c r="H389" s="209"/>
      <c r="I389" s="209"/>
      <c r="J389" s="209"/>
      <c r="N389" s="201"/>
    </row>
    <row r="390" spans="2:14" s="184" customFormat="1" x14ac:dyDescent="0.3">
      <c r="B390" s="212"/>
      <c r="F390" s="209"/>
      <c r="G390" s="209"/>
      <c r="H390" s="209"/>
      <c r="I390" s="209"/>
      <c r="J390" s="209"/>
      <c r="N390" s="201"/>
    </row>
    <row r="391" spans="2:14" s="184" customFormat="1" x14ac:dyDescent="0.3">
      <c r="B391" s="212"/>
      <c r="F391" s="209"/>
      <c r="G391" s="209"/>
      <c r="H391" s="209"/>
      <c r="I391" s="209"/>
      <c r="J391" s="209"/>
      <c r="N391" s="201"/>
    </row>
    <row r="392" spans="2:14" s="184" customFormat="1" x14ac:dyDescent="0.3">
      <c r="B392" s="212"/>
      <c r="F392" s="209"/>
      <c r="G392" s="209"/>
      <c r="H392" s="209"/>
      <c r="I392" s="209"/>
      <c r="J392" s="209"/>
      <c r="N392" s="201"/>
    </row>
    <row r="393" spans="2:14" s="184" customFormat="1" x14ac:dyDescent="0.3">
      <c r="B393" s="212"/>
      <c r="F393" s="209"/>
      <c r="G393" s="209"/>
      <c r="H393" s="209"/>
      <c r="I393" s="209"/>
      <c r="J393" s="209"/>
      <c r="N393" s="201"/>
    </row>
    <row r="394" spans="2:14" s="184" customFormat="1" x14ac:dyDescent="0.3">
      <c r="B394" s="212"/>
      <c r="F394" s="209"/>
      <c r="G394" s="209"/>
      <c r="H394" s="209"/>
      <c r="I394" s="209"/>
      <c r="J394" s="209"/>
      <c r="N394" s="201"/>
    </row>
    <row r="395" spans="2:14" s="184" customFormat="1" x14ac:dyDescent="0.3">
      <c r="B395" s="212"/>
      <c r="F395" s="209"/>
      <c r="G395" s="209"/>
      <c r="H395" s="209"/>
      <c r="I395" s="209"/>
      <c r="J395" s="209"/>
      <c r="N395" s="201"/>
    </row>
    <row r="396" spans="2:14" s="184" customFormat="1" x14ac:dyDescent="0.3">
      <c r="B396" s="212"/>
      <c r="F396" s="209"/>
      <c r="G396" s="209"/>
      <c r="H396" s="209"/>
      <c r="I396" s="209"/>
      <c r="J396" s="209"/>
      <c r="N396" s="201"/>
    </row>
    <row r="397" spans="2:14" s="184" customFormat="1" x14ac:dyDescent="0.3">
      <c r="B397" s="212"/>
      <c r="F397" s="209"/>
      <c r="G397" s="209"/>
      <c r="H397" s="209"/>
      <c r="I397" s="209"/>
      <c r="J397" s="209"/>
      <c r="N397" s="201"/>
    </row>
    <row r="398" spans="2:14" s="184" customFormat="1" x14ac:dyDescent="0.3">
      <c r="B398" s="212"/>
      <c r="F398" s="209"/>
      <c r="G398" s="209"/>
      <c r="H398" s="209"/>
      <c r="I398" s="209"/>
      <c r="J398" s="209"/>
      <c r="N398" s="201"/>
    </row>
    <row r="399" spans="2:14" s="184" customFormat="1" x14ac:dyDescent="0.3">
      <c r="B399" s="212"/>
      <c r="F399" s="209"/>
      <c r="G399" s="209"/>
      <c r="H399" s="209"/>
      <c r="I399" s="209"/>
      <c r="J399" s="209"/>
      <c r="N399" s="201"/>
    </row>
    <row r="400" spans="2:14" s="184" customFormat="1" x14ac:dyDescent="0.3">
      <c r="B400" s="212"/>
      <c r="F400" s="209"/>
      <c r="G400" s="209"/>
      <c r="H400" s="209"/>
      <c r="I400" s="209"/>
      <c r="J400" s="209"/>
      <c r="N400" s="201"/>
    </row>
    <row r="401" spans="2:14" s="184" customFormat="1" x14ac:dyDescent="0.3">
      <c r="B401" s="212"/>
      <c r="F401" s="209"/>
      <c r="G401" s="209"/>
      <c r="H401" s="209"/>
      <c r="I401" s="209"/>
      <c r="J401" s="209"/>
      <c r="N401" s="201"/>
    </row>
    <row r="402" spans="2:14" s="184" customFormat="1" x14ac:dyDescent="0.3">
      <c r="B402" s="212"/>
      <c r="F402" s="209"/>
      <c r="G402" s="209"/>
      <c r="H402" s="209"/>
      <c r="I402" s="209"/>
      <c r="J402" s="209"/>
      <c r="N402" s="201"/>
    </row>
    <row r="403" spans="2:14" s="184" customFormat="1" x14ac:dyDescent="0.3">
      <c r="B403" s="212"/>
      <c r="F403" s="209"/>
      <c r="G403" s="209"/>
      <c r="H403" s="209"/>
      <c r="I403" s="209"/>
      <c r="J403" s="209"/>
      <c r="N403" s="201"/>
    </row>
    <row r="404" spans="2:14" s="184" customFormat="1" x14ac:dyDescent="0.3">
      <c r="B404" s="212"/>
      <c r="F404" s="209"/>
      <c r="G404" s="209"/>
      <c r="H404" s="209"/>
      <c r="I404" s="209"/>
      <c r="J404" s="209"/>
      <c r="N404" s="201"/>
    </row>
    <row r="405" spans="2:14" s="184" customFormat="1" x14ac:dyDescent="0.3">
      <c r="B405" s="212"/>
      <c r="F405" s="209"/>
      <c r="G405" s="209"/>
      <c r="H405" s="209"/>
      <c r="I405" s="209"/>
      <c r="J405" s="209"/>
      <c r="N405" s="201"/>
    </row>
    <row r="406" spans="2:14" s="184" customFormat="1" x14ac:dyDescent="0.3">
      <c r="B406" s="212"/>
      <c r="F406" s="209"/>
      <c r="G406" s="209"/>
      <c r="H406" s="209"/>
      <c r="I406" s="209"/>
      <c r="J406" s="209"/>
      <c r="N406" s="201"/>
    </row>
    <row r="407" spans="2:14" s="184" customFormat="1" x14ac:dyDescent="0.3">
      <c r="B407" s="212"/>
      <c r="F407" s="209"/>
      <c r="G407" s="209"/>
      <c r="H407" s="209"/>
      <c r="I407" s="209"/>
      <c r="J407" s="209"/>
      <c r="N407" s="201"/>
    </row>
    <row r="408" spans="2:14" s="184" customFormat="1" x14ac:dyDescent="0.3">
      <c r="B408" s="212"/>
      <c r="F408" s="209"/>
      <c r="G408" s="209"/>
      <c r="H408" s="209"/>
      <c r="I408" s="209"/>
      <c r="J408" s="209"/>
      <c r="N408" s="201"/>
    </row>
    <row r="409" spans="2:14" s="184" customFormat="1" x14ac:dyDescent="0.3">
      <c r="B409" s="212"/>
      <c r="F409" s="209"/>
      <c r="G409" s="209"/>
      <c r="H409" s="209"/>
      <c r="I409" s="209"/>
      <c r="J409" s="209"/>
      <c r="N409" s="201"/>
    </row>
    <row r="410" spans="2:14" s="184" customFormat="1" x14ac:dyDescent="0.3">
      <c r="B410" s="212"/>
      <c r="F410" s="209"/>
      <c r="G410" s="209"/>
      <c r="H410" s="209"/>
      <c r="I410" s="209"/>
      <c r="J410" s="209"/>
      <c r="N410" s="201"/>
    </row>
    <row r="411" spans="2:14" s="184" customFormat="1" x14ac:dyDescent="0.3">
      <c r="B411" s="212"/>
      <c r="F411" s="209"/>
      <c r="G411" s="209"/>
      <c r="H411" s="209"/>
      <c r="I411" s="209"/>
      <c r="J411" s="209"/>
      <c r="N411" s="201"/>
    </row>
    <row r="412" spans="2:14" s="184" customFormat="1" x14ac:dyDescent="0.3">
      <c r="B412" s="212"/>
      <c r="F412" s="209"/>
      <c r="G412" s="209"/>
      <c r="H412" s="209"/>
      <c r="I412" s="209"/>
      <c r="J412" s="209"/>
      <c r="N412" s="201"/>
    </row>
    <row r="413" spans="2:14" s="184" customFormat="1" x14ac:dyDescent="0.3">
      <c r="B413" s="212"/>
      <c r="F413" s="209"/>
      <c r="G413" s="209"/>
      <c r="H413" s="209"/>
      <c r="I413" s="209"/>
      <c r="J413" s="209"/>
      <c r="N413" s="201"/>
    </row>
    <row r="414" spans="2:14" s="184" customFormat="1" x14ac:dyDescent="0.3">
      <c r="B414" s="212"/>
      <c r="F414" s="209"/>
      <c r="G414" s="209"/>
      <c r="H414" s="209"/>
      <c r="I414" s="209"/>
      <c r="J414" s="209"/>
      <c r="N414" s="201"/>
    </row>
    <row r="415" spans="2:14" s="184" customFormat="1" x14ac:dyDescent="0.3">
      <c r="B415" s="212"/>
      <c r="F415" s="209"/>
      <c r="G415" s="209"/>
      <c r="H415" s="209"/>
      <c r="I415" s="209"/>
      <c r="J415" s="209"/>
      <c r="N415" s="201"/>
    </row>
    <row r="416" spans="2:14" s="184" customFormat="1" x14ac:dyDescent="0.3">
      <c r="B416" s="212"/>
      <c r="F416" s="209"/>
      <c r="G416" s="209"/>
      <c r="H416" s="209"/>
      <c r="I416" s="209"/>
      <c r="J416" s="209"/>
      <c r="N416" s="201"/>
    </row>
    <row r="417" spans="2:14" s="184" customFormat="1" x14ac:dyDescent="0.3">
      <c r="B417" s="212"/>
      <c r="F417" s="209"/>
      <c r="G417" s="209"/>
      <c r="H417" s="209"/>
      <c r="I417" s="209"/>
      <c r="J417" s="209"/>
      <c r="N417" s="201"/>
    </row>
    <row r="418" spans="2:14" s="184" customFormat="1" x14ac:dyDescent="0.3">
      <c r="B418" s="212"/>
      <c r="F418" s="209"/>
      <c r="G418" s="209"/>
      <c r="H418" s="209"/>
      <c r="I418" s="209"/>
      <c r="J418" s="209"/>
      <c r="N418" s="201"/>
    </row>
    <row r="419" spans="2:14" s="184" customFormat="1" x14ac:dyDescent="0.3">
      <c r="B419" s="212"/>
      <c r="F419" s="209"/>
      <c r="G419" s="209"/>
      <c r="H419" s="209"/>
      <c r="I419" s="209"/>
      <c r="J419" s="209"/>
      <c r="N419" s="201"/>
    </row>
    <row r="420" spans="2:14" s="184" customFormat="1" x14ac:dyDescent="0.3">
      <c r="B420" s="212"/>
      <c r="F420" s="209"/>
      <c r="G420" s="209"/>
      <c r="H420" s="209"/>
      <c r="I420" s="209"/>
      <c r="J420" s="209"/>
      <c r="N420" s="201"/>
    </row>
    <row r="421" spans="2:14" s="184" customFormat="1" x14ac:dyDescent="0.3">
      <c r="B421" s="212"/>
      <c r="F421" s="209"/>
      <c r="G421" s="209"/>
      <c r="H421" s="209"/>
      <c r="I421" s="209"/>
      <c r="J421" s="209"/>
      <c r="N421" s="201"/>
    </row>
    <row r="422" spans="2:14" s="184" customFormat="1" x14ac:dyDescent="0.3">
      <c r="B422" s="212"/>
      <c r="F422" s="209"/>
      <c r="G422" s="209"/>
      <c r="H422" s="209"/>
      <c r="I422" s="209"/>
      <c r="J422" s="209"/>
      <c r="N422" s="201"/>
    </row>
    <row r="423" spans="2:14" s="184" customFormat="1" x14ac:dyDescent="0.3">
      <c r="B423" s="212"/>
      <c r="F423" s="209"/>
      <c r="G423" s="209"/>
      <c r="H423" s="209"/>
      <c r="I423" s="209"/>
      <c r="J423" s="209"/>
      <c r="N423" s="201"/>
    </row>
    <row r="424" spans="2:14" s="184" customFormat="1" x14ac:dyDescent="0.3">
      <c r="B424" s="212"/>
      <c r="F424" s="209"/>
      <c r="G424" s="209"/>
      <c r="H424" s="209"/>
      <c r="I424" s="209"/>
      <c r="J424" s="209"/>
      <c r="N424" s="201"/>
    </row>
    <row r="425" spans="2:14" s="184" customFormat="1" x14ac:dyDescent="0.3">
      <c r="B425" s="212"/>
      <c r="F425" s="209"/>
      <c r="G425" s="209"/>
      <c r="H425" s="209"/>
      <c r="I425" s="209"/>
      <c r="J425" s="209"/>
      <c r="N425" s="201"/>
    </row>
    <row r="426" spans="2:14" s="184" customFormat="1" x14ac:dyDescent="0.3">
      <c r="B426" s="212"/>
      <c r="F426" s="209"/>
      <c r="G426" s="209"/>
      <c r="H426" s="209"/>
      <c r="I426" s="209"/>
      <c r="J426" s="209"/>
      <c r="N426" s="201"/>
    </row>
    <row r="427" spans="2:14" s="184" customFormat="1" x14ac:dyDescent="0.3">
      <c r="B427" s="212"/>
      <c r="F427" s="209"/>
      <c r="G427" s="209"/>
      <c r="H427" s="209"/>
      <c r="I427" s="209"/>
      <c r="J427" s="209"/>
      <c r="N427" s="201"/>
    </row>
    <row r="428" spans="2:14" s="184" customFormat="1" x14ac:dyDescent="0.3">
      <c r="B428" s="212"/>
      <c r="F428" s="209"/>
      <c r="G428" s="209"/>
      <c r="H428" s="209"/>
      <c r="I428" s="209"/>
      <c r="J428" s="209"/>
      <c r="N428" s="201"/>
    </row>
    <row r="429" spans="2:14" s="184" customFormat="1" x14ac:dyDescent="0.3">
      <c r="B429" s="212"/>
      <c r="F429" s="209"/>
      <c r="G429" s="209"/>
      <c r="H429" s="209"/>
      <c r="I429" s="209"/>
      <c r="J429" s="209"/>
      <c r="N429" s="201"/>
    </row>
    <row r="430" spans="2:14" s="184" customFormat="1" x14ac:dyDescent="0.3">
      <c r="B430" s="212"/>
      <c r="F430" s="209"/>
      <c r="G430" s="209"/>
      <c r="H430" s="209"/>
      <c r="I430" s="209"/>
      <c r="J430" s="209"/>
      <c r="N430" s="201"/>
    </row>
    <row r="431" spans="2:14" s="184" customFormat="1" x14ac:dyDescent="0.3">
      <c r="B431" s="212"/>
      <c r="F431" s="209"/>
      <c r="G431" s="209"/>
      <c r="H431" s="209"/>
      <c r="I431" s="209"/>
      <c r="J431" s="209"/>
      <c r="N431" s="201"/>
    </row>
    <row r="432" spans="2:14" s="184" customFormat="1" x14ac:dyDescent="0.3">
      <c r="B432" s="212"/>
      <c r="F432" s="209"/>
      <c r="G432" s="209"/>
      <c r="H432" s="209"/>
      <c r="I432" s="209"/>
      <c r="J432" s="209"/>
      <c r="N432" s="201"/>
    </row>
    <row r="433" spans="2:14" s="184" customFormat="1" x14ac:dyDescent="0.3">
      <c r="B433" s="212"/>
      <c r="F433" s="209"/>
      <c r="G433" s="209"/>
      <c r="H433" s="209"/>
      <c r="I433" s="209"/>
      <c r="J433" s="209"/>
      <c r="N433" s="201"/>
    </row>
    <row r="434" spans="2:14" s="184" customFormat="1" x14ac:dyDescent="0.3">
      <c r="B434" s="212"/>
      <c r="F434" s="209"/>
      <c r="G434" s="209"/>
      <c r="H434" s="209"/>
      <c r="I434" s="209"/>
      <c r="J434" s="209"/>
      <c r="N434" s="201"/>
    </row>
    <row r="435" spans="2:14" s="184" customFormat="1" x14ac:dyDescent="0.3">
      <c r="B435" s="212"/>
      <c r="F435" s="209"/>
      <c r="G435" s="209"/>
      <c r="H435" s="209"/>
      <c r="I435" s="209"/>
      <c r="J435" s="209"/>
      <c r="N435" s="201"/>
    </row>
    <row r="436" spans="2:14" s="184" customFormat="1" x14ac:dyDescent="0.3">
      <c r="B436" s="212"/>
      <c r="F436" s="209"/>
      <c r="G436" s="209"/>
      <c r="H436" s="209"/>
      <c r="I436" s="209"/>
      <c r="J436" s="209"/>
      <c r="N436" s="201"/>
    </row>
    <row r="437" spans="2:14" s="184" customFormat="1" x14ac:dyDescent="0.3">
      <c r="B437" s="212"/>
      <c r="F437" s="209"/>
      <c r="G437" s="209"/>
      <c r="H437" s="209"/>
      <c r="I437" s="209"/>
      <c r="J437" s="209"/>
      <c r="N437" s="201"/>
    </row>
    <row r="438" spans="2:14" s="184" customFormat="1" x14ac:dyDescent="0.3">
      <c r="B438" s="212"/>
      <c r="F438" s="209"/>
      <c r="G438" s="209"/>
      <c r="H438" s="209"/>
      <c r="I438" s="209"/>
      <c r="J438" s="209"/>
      <c r="N438" s="201"/>
    </row>
    <row r="439" spans="2:14" s="184" customFormat="1" x14ac:dyDescent="0.3">
      <c r="B439" s="212"/>
      <c r="F439" s="209"/>
      <c r="G439" s="209"/>
      <c r="H439" s="209"/>
      <c r="I439" s="209"/>
      <c r="J439" s="209"/>
      <c r="N439" s="201"/>
    </row>
    <row r="440" spans="2:14" s="184" customFormat="1" x14ac:dyDescent="0.3">
      <c r="B440" s="212"/>
      <c r="F440" s="209"/>
      <c r="G440" s="209"/>
      <c r="H440" s="209"/>
      <c r="I440" s="209"/>
      <c r="J440" s="209"/>
      <c r="N440" s="201"/>
    </row>
    <row r="441" spans="2:14" s="184" customFormat="1" x14ac:dyDescent="0.3">
      <c r="B441" s="212"/>
      <c r="F441" s="209"/>
      <c r="G441" s="209"/>
      <c r="H441" s="209"/>
      <c r="I441" s="209"/>
      <c r="J441" s="209"/>
      <c r="N441" s="201"/>
    </row>
    <row r="442" spans="2:14" s="184" customFormat="1" x14ac:dyDescent="0.3">
      <c r="B442" s="212"/>
      <c r="F442" s="209"/>
      <c r="G442" s="209"/>
      <c r="H442" s="209"/>
      <c r="I442" s="209"/>
      <c r="J442" s="209"/>
      <c r="N442" s="201"/>
    </row>
    <row r="443" spans="2:14" s="184" customFormat="1" x14ac:dyDescent="0.3">
      <c r="B443" s="212"/>
      <c r="F443" s="209"/>
      <c r="G443" s="209"/>
      <c r="H443" s="209"/>
      <c r="I443" s="209"/>
      <c r="J443" s="209"/>
      <c r="N443" s="201"/>
    </row>
    <row r="444" spans="2:14" s="184" customFormat="1" x14ac:dyDescent="0.3">
      <c r="B444" s="212"/>
      <c r="F444" s="209"/>
      <c r="G444" s="209"/>
      <c r="H444" s="209"/>
      <c r="I444" s="209"/>
      <c r="J444" s="209"/>
      <c r="N444" s="201"/>
    </row>
    <row r="445" spans="2:14" s="184" customFormat="1" x14ac:dyDescent="0.3">
      <c r="B445" s="212"/>
      <c r="F445" s="209"/>
      <c r="G445" s="209"/>
      <c r="H445" s="209"/>
      <c r="I445" s="209"/>
      <c r="J445" s="209"/>
      <c r="N445" s="201"/>
    </row>
    <row r="446" spans="2:14" s="184" customFormat="1" x14ac:dyDescent="0.3">
      <c r="B446" s="212"/>
      <c r="F446" s="209"/>
      <c r="G446" s="209"/>
      <c r="H446" s="209"/>
      <c r="I446" s="209"/>
      <c r="J446" s="209"/>
      <c r="N446" s="201"/>
    </row>
    <row r="447" spans="2:14" s="184" customFormat="1" x14ac:dyDescent="0.3">
      <c r="B447" s="212"/>
      <c r="F447" s="209"/>
      <c r="G447" s="209"/>
      <c r="H447" s="209"/>
      <c r="I447" s="209"/>
      <c r="J447" s="209"/>
      <c r="N447" s="201"/>
    </row>
    <row r="448" spans="2:14" s="184" customFormat="1" x14ac:dyDescent="0.3">
      <c r="B448" s="212"/>
      <c r="F448" s="209"/>
      <c r="G448" s="209"/>
      <c r="H448" s="209"/>
      <c r="I448" s="209"/>
      <c r="J448" s="209"/>
      <c r="N448" s="201"/>
    </row>
    <row r="449" spans="2:14" s="184" customFormat="1" x14ac:dyDescent="0.3">
      <c r="B449" s="212"/>
      <c r="F449" s="209"/>
      <c r="G449" s="209"/>
      <c r="H449" s="209"/>
      <c r="I449" s="209"/>
      <c r="J449" s="209"/>
      <c r="N449" s="201"/>
    </row>
    <row r="450" spans="2:14" s="184" customFormat="1" x14ac:dyDescent="0.3">
      <c r="B450" s="212"/>
      <c r="F450" s="209"/>
      <c r="G450" s="209"/>
      <c r="H450" s="209"/>
      <c r="I450" s="209"/>
      <c r="J450" s="209"/>
      <c r="N450" s="201"/>
    </row>
    <row r="451" spans="2:14" s="184" customFormat="1" x14ac:dyDescent="0.3">
      <c r="B451" s="212"/>
      <c r="F451" s="209"/>
      <c r="G451" s="209"/>
      <c r="H451" s="209"/>
      <c r="I451" s="209"/>
      <c r="J451" s="209"/>
      <c r="N451" s="201"/>
    </row>
    <row r="452" spans="2:14" s="184" customFormat="1" x14ac:dyDescent="0.3">
      <c r="B452" s="212"/>
      <c r="F452" s="209"/>
      <c r="G452" s="209"/>
      <c r="H452" s="209"/>
      <c r="I452" s="209"/>
      <c r="J452" s="209"/>
      <c r="N452" s="201"/>
    </row>
    <row r="453" spans="2:14" s="184" customFormat="1" x14ac:dyDescent="0.3">
      <c r="B453" s="212"/>
      <c r="F453" s="209"/>
      <c r="G453" s="209"/>
      <c r="H453" s="209"/>
      <c r="I453" s="209"/>
      <c r="J453" s="209"/>
      <c r="N453" s="201"/>
    </row>
    <row r="454" spans="2:14" s="184" customFormat="1" x14ac:dyDescent="0.3">
      <c r="B454" s="212"/>
      <c r="F454" s="209"/>
      <c r="G454" s="209"/>
      <c r="H454" s="209"/>
      <c r="I454" s="209"/>
      <c r="J454" s="209"/>
      <c r="N454" s="201"/>
    </row>
    <row r="455" spans="2:14" s="184" customFormat="1" x14ac:dyDescent="0.3">
      <c r="B455" s="212"/>
      <c r="F455" s="209"/>
      <c r="G455" s="209"/>
      <c r="H455" s="209"/>
      <c r="I455" s="209"/>
      <c r="J455" s="209"/>
      <c r="N455" s="201"/>
    </row>
    <row r="456" spans="2:14" s="184" customFormat="1" x14ac:dyDescent="0.3">
      <c r="B456" s="212"/>
      <c r="F456" s="209"/>
      <c r="G456" s="209"/>
      <c r="H456" s="209"/>
      <c r="I456" s="209"/>
      <c r="J456" s="209"/>
      <c r="N456" s="201"/>
    </row>
    <row r="457" spans="2:14" s="184" customFormat="1" x14ac:dyDescent="0.3">
      <c r="B457" s="212"/>
      <c r="F457" s="209"/>
      <c r="G457" s="209"/>
      <c r="H457" s="209"/>
      <c r="I457" s="209"/>
      <c r="J457" s="209"/>
      <c r="N457" s="201"/>
    </row>
    <row r="458" spans="2:14" s="184" customFormat="1" x14ac:dyDescent="0.3">
      <c r="B458" s="212"/>
      <c r="F458" s="209"/>
      <c r="G458" s="209"/>
      <c r="H458" s="209"/>
      <c r="I458" s="209"/>
      <c r="J458" s="209"/>
      <c r="N458" s="201"/>
    </row>
    <row r="459" spans="2:14" s="184" customFormat="1" x14ac:dyDescent="0.3">
      <c r="B459" s="212"/>
      <c r="F459" s="209"/>
      <c r="G459" s="209"/>
      <c r="H459" s="209"/>
      <c r="I459" s="209"/>
      <c r="J459" s="209"/>
      <c r="N459" s="201"/>
    </row>
    <row r="460" spans="2:14" s="184" customFormat="1" x14ac:dyDescent="0.3">
      <c r="B460" s="212"/>
      <c r="F460" s="209"/>
      <c r="G460" s="209"/>
      <c r="H460" s="209"/>
      <c r="I460" s="209"/>
      <c r="J460" s="209"/>
      <c r="N460" s="201"/>
    </row>
    <row r="461" spans="2:14" s="184" customFormat="1" x14ac:dyDescent="0.3">
      <c r="B461" s="212"/>
      <c r="F461" s="209"/>
      <c r="G461" s="209"/>
      <c r="H461" s="209"/>
      <c r="I461" s="209"/>
      <c r="J461" s="209"/>
      <c r="N461" s="201"/>
    </row>
    <row r="462" spans="2:14" s="184" customFormat="1" x14ac:dyDescent="0.3">
      <c r="B462" s="212"/>
      <c r="F462" s="209"/>
      <c r="G462" s="209"/>
      <c r="H462" s="209"/>
      <c r="I462" s="209"/>
      <c r="J462" s="209"/>
      <c r="N462" s="201"/>
    </row>
    <row r="463" spans="2:14" s="184" customFormat="1" x14ac:dyDescent="0.3">
      <c r="B463" s="212"/>
      <c r="F463" s="209"/>
      <c r="G463" s="209"/>
      <c r="H463" s="209"/>
      <c r="I463" s="209"/>
      <c r="J463" s="209"/>
      <c r="N463" s="201"/>
    </row>
    <row r="464" spans="2:14" s="184" customFormat="1" x14ac:dyDescent="0.3">
      <c r="B464" s="212"/>
      <c r="F464" s="209"/>
      <c r="G464" s="209"/>
      <c r="H464" s="209"/>
      <c r="I464" s="209"/>
      <c r="J464" s="209"/>
      <c r="N464" s="201"/>
    </row>
    <row r="465" spans="2:14" s="184" customFormat="1" x14ac:dyDescent="0.3">
      <c r="B465" s="212"/>
      <c r="F465" s="209"/>
      <c r="G465" s="209"/>
      <c r="H465" s="209"/>
      <c r="I465" s="209"/>
      <c r="J465" s="209"/>
      <c r="N465" s="201"/>
    </row>
    <row r="466" spans="2:14" s="184" customFormat="1" x14ac:dyDescent="0.3">
      <c r="B466" s="212"/>
      <c r="F466" s="209"/>
      <c r="G466" s="209"/>
      <c r="H466" s="209"/>
      <c r="I466" s="209"/>
      <c r="J466" s="209"/>
      <c r="N466" s="201"/>
    </row>
    <row r="467" spans="2:14" s="184" customFormat="1" x14ac:dyDescent="0.3">
      <c r="B467" s="212"/>
      <c r="F467" s="209"/>
      <c r="G467" s="209"/>
      <c r="H467" s="209"/>
      <c r="I467" s="209"/>
      <c r="J467" s="209"/>
      <c r="N467" s="201"/>
    </row>
    <row r="468" spans="2:14" s="184" customFormat="1" x14ac:dyDescent="0.3">
      <c r="B468" s="212"/>
      <c r="F468" s="209"/>
      <c r="G468" s="209"/>
      <c r="H468" s="209"/>
      <c r="I468" s="209"/>
      <c r="J468" s="209"/>
      <c r="N468" s="201"/>
    </row>
    <row r="469" spans="2:14" s="184" customFormat="1" x14ac:dyDescent="0.3">
      <c r="B469" s="212"/>
      <c r="F469" s="209"/>
      <c r="G469" s="209"/>
      <c r="H469" s="209"/>
      <c r="I469" s="209"/>
      <c r="J469" s="209"/>
      <c r="N469" s="201"/>
    </row>
    <row r="470" spans="2:14" s="184" customFormat="1" x14ac:dyDescent="0.3">
      <c r="B470" s="212"/>
      <c r="F470" s="209"/>
      <c r="G470" s="209"/>
      <c r="H470" s="209"/>
      <c r="I470" s="209"/>
      <c r="J470" s="209"/>
      <c r="N470" s="201"/>
    </row>
    <row r="471" spans="2:14" s="184" customFormat="1" x14ac:dyDescent="0.3">
      <c r="B471" s="212"/>
      <c r="F471" s="209"/>
      <c r="G471" s="209"/>
      <c r="H471" s="209"/>
      <c r="I471" s="209"/>
      <c r="J471" s="209"/>
      <c r="N471" s="201"/>
    </row>
    <row r="472" spans="2:14" s="184" customFormat="1" x14ac:dyDescent="0.3">
      <c r="B472" s="212"/>
      <c r="F472" s="209"/>
      <c r="G472" s="209"/>
      <c r="H472" s="209"/>
      <c r="I472" s="209"/>
      <c r="J472" s="209"/>
      <c r="N472" s="201"/>
    </row>
    <row r="473" spans="2:14" s="184" customFormat="1" x14ac:dyDescent="0.3">
      <c r="B473" s="212"/>
      <c r="F473" s="209"/>
      <c r="G473" s="209"/>
      <c r="H473" s="209"/>
      <c r="I473" s="209"/>
      <c r="J473" s="209"/>
      <c r="N473" s="201"/>
    </row>
    <row r="474" spans="2:14" s="184" customFormat="1" x14ac:dyDescent="0.3">
      <c r="B474" s="212"/>
      <c r="F474" s="209"/>
      <c r="G474" s="209"/>
      <c r="H474" s="209"/>
      <c r="I474" s="209"/>
      <c r="J474" s="209"/>
      <c r="N474" s="201"/>
    </row>
    <row r="475" spans="2:14" s="184" customFormat="1" x14ac:dyDescent="0.3">
      <c r="B475" s="212"/>
      <c r="F475" s="209"/>
      <c r="G475" s="209"/>
      <c r="H475" s="209"/>
      <c r="I475" s="209"/>
      <c r="J475" s="209"/>
      <c r="N475" s="201"/>
    </row>
    <row r="476" spans="2:14" s="184" customFormat="1" x14ac:dyDescent="0.3">
      <c r="B476" s="212"/>
      <c r="F476" s="209"/>
      <c r="G476" s="209"/>
      <c r="H476" s="209"/>
      <c r="I476" s="209"/>
      <c r="J476" s="209"/>
      <c r="N476" s="201"/>
    </row>
    <row r="477" spans="2:14" s="184" customFormat="1" x14ac:dyDescent="0.3">
      <c r="B477" s="212"/>
      <c r="F477" s="209"/>
      <c r="G477" s="209"/>
      <c r="H477" s="209"/>
      <c r="I477" s="209"/>
      <c r="J477" s="209"/>
      <c r="N477" s="201"/>
    </row>
    <row r="478" spans="2:14" s="184" customFormat="1" x14ac:dyDescent="0.3">
      <c r="B478" s="212"/>
      <c r="F478" s="209"/>
      <c r="G478" s="209"/>
      <c r="H478" s="209"/>
      <c r="I478" s="209"/>
      <c r="J478" s="209"/>
      <c r="N478" s="201"/>
    </row>
    <row r="479" spans="2:14" s="184" customFormat="1" x14ac:dyDescent="0.3">
      <c r="B479" s="212"/>
      <c r="F479" s="209"/>
      <c r="G479" s="209"/>
      <c r="H479" s="209"/>
      <c r="I479" s="209"/>
      <c r="J479" s="209"/>
      <c r="N479" s="201"/>
    </row>
    <row r="480" spans="2:14" s="184" customFormat="1" x14ac:dyDescent="0.3">
      <c r="B480" s="212"/>
      <c r="F480" s="209"/>
      <c r="G480" s="209"/>
      <c r="H480" s="209"/>
      <c r="I480" s="209"/>
      <c r="J480" s="209"/>
      <c r="N480" s="201"/>
    </row>
    <row r="481" spans="2:14" s="184" customFormat="1" x14ac:dyDescent="0.3">
      <c r="B481" s="212"/>
      <c r="F481" s="209"/>
      <c r="G481" s="209"/>
      <c r="H481" s="209"/>
      <c r="I481" s="209"/>
      <c r="J481" s="209"/>
      <c r="N481" s="201"/>
    </row>
    <row r="482" spans="2:14" s="184" customFormat="1" x14ac:dyDescent="0.3">
      <c r="B482" s="212"/>
      <c r="F482" s="209"/>
      <c r="G482" s="209"/>
      <c r="H482" s="209"/>
      <c r="I482" s="209"/>
      <c r="J482" s="209"/>
      <c r="N482" s="201"/>
    </row>
    <row r="483" spans="2:14" s="184" customFormat="1" x14ac:dyDescent="0.3">
      <c r="B483" s="212"/>
      <c r="F483" s="209"/>
      <c r="G483" s="209"/>
      <c r="H483" s="209"/>
      <c r="I483" s="209"/>
      <c r="J483" s="209"/>
      <c r="N483" s="201"/>
    </row>
    <row r="484" spans="2:14" s="184" customFormat="1" x14ac:dyDescent="0.3">
      <c r="B484" s="212"/>
      <c r="F484" s="209"/>
      <c r="G484" s="209"/>
      <c r="H484" s="209"/>
      <c r="I484" s="209"/>
      <c r="J484" s="209"/>
      <c r="N484" s="201"/>
    </row>
    <row r="485" spans="2:14" s="184" customFormat="1" x14ac:dyDescent="0.3">
      <c r="B485" s="212"/>
      <c r="F485" s="209"/>
      <c r="G485" s="209"/>
      <c r="H485" s="209"/>
      <c r="I485" s="209"/>
      <c r="J485" s="209"/>
      <c r="N485" s="201"/>
    </row>
    <row r="486" spans="2:14" s="184" customFormat="1" x14ac:dyDescent="0.3">
      <c r="B486" s="212"/>
      <c r="F486" s="209"/>
      <c r="G486" s="209"/>
      <c r="H486" s="209"/>
      <c r="I486" s="209"/>
      <c r="J486" s="209"/>
      <c r="N486" s="201"/>
    </row>
    <row r="487" spans="2:14" s="184" customFormat="1" x14ac:dyDescent="0.3">
      <c r="B487" s="212"/>
      <c r="F487" s="209"/>
      <c r="G487" s="209"/>
      <c r="H487" s="209"/>
      <c r="I487" s="209"/>
      <c r="J487" s="209"/>
      <c r="N487" s="201"/>
    </row>
    <row r="488" spans="2:14" s="184" customFormat="1" x14ac:dyDescent="0.3">
      <c r="B488" s="212"/>
      <c r="F488" s="209"/>
      <c r="G488" s="209"/>
      <c r="H488" s="209"/>
      <c r="I488" s="209"/>
      <c r="J488" s="209"/>
      <c r="N488" s="201"/>
    </row>
    <row r="489" spans="2:14" s="184" customFormat="1" x14ac:dyDescent="0.3">
      <c r="B489" s="212"/>
      <c r="F489" s="209"/>
      <c r="G489" s="209"/>
      <c r="H489" s="209"/>
      <c r="I489" s="209"/>
      <c r="J489" s="209"/>
      <c r="N489" s="201"/>
    </row>
    <row r="490" spans="2:14" s="184" customFormat="1" x14ac:dyDescent="0.3">
      <c r="B490" s="212"/>
      <c r="F490" s="209"/>
      <c r="G490" s="209"/>
      <c r="H490" s="209"/>
      <c r="I490" s="209"/>
      <c r="J490" s="209"/>
      <c r="N490" s="201"/>
    </row>
    <row r="491" spans="2:14" s="184" customFormat="1" x14ac:dyDescent="0.3">
      <c r="B491" s="212"/>
      <c r="F491" s="209"/>
      <c r="G491" s="209"/>
      <c r="H491" s="209"/>
      <c r="I491" s="209"/>
      <c r="J491" s="209"/>
      <c r="N491" s="201"/>
    </row>
    <row r="492" spans="2:14" s="184" customFormat="1" x14ac:dyDescent="0.3">
      <c r="B492" s="212"/>
      <c r="F492" s="209"/>
      <c r="G492" s="209"/>
      <c r="H492" s="209"/>
      <c r="I492" s="209"/>
      <c r="J492" s="209"/>
      <c r="N492" s="201"/>
    </row>
    <row r="493" spans="2:14" s="184" customFormat="1" x14ac:dyDescent="0.3">
      <c r="B493" s="212"/>
      <c r="F493" s="209"/>
      <c r="G493" s="209"/>
      <c r="H493" s="209"/>
      <c r="I493" s="209"/>
      <c r="J493" s="209"/>
      <c r="N493" s="201"/>
    </row>
    <row r="494" spans="2:14" s="184" customFormat="1" x14ac:dyDescent="0.3">
      <c r="B494" s="212"/>
      <c r="F494" s="209"/>
      <c r="G494" s="209"/>
      <c r="H494" s="209"/>
      <c r="I494" s="209"/>
      <c r="J494" s="209"/>
      <c r="N494" s="201"/>
    </row>
    <row r="495" spans="2:14" s="184" customFormat="1" x14ac:dyDescent="0.3">
      <c r="B495" s="212"/>
      <c r="F495" s="209"/>
      <c r="G495" s="209"/>
      <c r="H495" s="209"/>
      <c r="I495" s="209"/>
      <c r="J495" s="209"/>
      <c r="N495" s="201"/>
    </row>
    <row r="496" spans="2:14" s="184" customFormat="1" x14ac:dyDescent="0.3">
      <c r="B496" s="212"/>
      <c r="F496" s="209"/>
      <c r="G496" s="209"/>
      <c r="H496" s="209"/>
      <c r="I496" s="209"/>
      <c r="J496" s="209"/>
      <c r="N496" s="201"/>
    </row>
    <row r="497" spans="2:14" s="184" customFormat="1" x14ac:dyDescent="0.3">
      <c r="B497" s="212"/>
      <c r="F497" s="209"/>
      <c r="G497" s="209"/>
      <c r="H497" s="209"/>
      <c r="I497" s="209"/>
      <c r="J497" s="209"/>
      <c r="N497" s="201"/>
    </row>
    <row r="498" spans="2:14" s="184" customFormat="1" x14ac:dyDescent="0.3">
      <c r="B498" s="212"/>
      <c r="F498" s="209"/>
      <c r="G498" s="209"/>
      <c r="H498" s="209"/>
      <c r="I498" s="209"/>
      <c r="J498" s="209"/>
      <c r="N498" s="201"/>
    </row>
    <row r="499" spans="2:14" s="184" customFormat="1" x14ac:dyDescent="0.3">
      <c r="B499" s="212"/>
      <c r="F499" s="209"/>
      <c r="G499" s="209"/>
      <c r="H499" s="209"/>
      <c r="I499" s="209"/>
      <c r="J499" s="209"/>
      <c r="N499" s="201"/>
    </row>
    <row r="500" spans="2:14" s="184" customFormat="1" x14ac:dyDescent="0.3">
      <c r="B500" s="212"/>
      <c r="F500" s="209"/>
      <c r="G500" s="209"/>
      <c r="H500" s="209"/>
      <c r="I500" s="209"/>
      <c r="J500" s="209"/>
      <c r="N500" s="201"/>
    </row>
    <row r="501" spans="2:14" s="184" customFormat="1" x14ac:dyDescent="0.3">
      <c r="B501" s="212"/>
      <c r="F501" s="209"/>
      <c r="G501" s="209"/>
      <c r="H501" s="209"/>
      <c r="I501" s="209"/>
      <c r="J501" s="209"/>
      <c r="N501" s="201"/>
    </row>
    <row r="502" spans="2:14" s="184" customFormat="1" x14ac:dyDescent="0.3">
      <c r="B502" s="212"/>
      <c r="F502" s="209"/>
      <c r="G502" s="209"/>
      <c r="H502" s="209"/>
      <c r="I502" s="209"/>
      <c r="J502" s="209"/>
      <c r="N502" s="201"/>
    </row>
    <row r="503" spans="2:14" s="184" customFormat="1" x14ac:dyDescent="0.3">
      <c r="B503" s="212"/>
      <c r="F503" s="209"/>
      <c r="G503" s="209"/>
      <c r="H503" s="209"/>
      <c r="I503" s="209"/>
      <c r="J503" s="209"/>
      <c r="N503" s="201"/>
    </row>
    <row r="504" spans="2:14" s="184" customFormat="1" x14ac:dyDescent="0.3">
      <c r="B504" s="212"/>
      <c r="F504" s="209"/>
      <c r="G504" s="209"/>
      <c r="H504" s="209"/>
      <c r="I504" s="209"/>
      <c r="J504" s="209"/>
      <c r="N504" s="201"/>
    </row>
    <row r="505" spans="2:14" s="184" customFormat="1" x14ac:dyDescent="0.3">
      <c r="B505" s="212"/>
      <c r="F505" s="209"/>
      <c r="G505" s="209"/>
      <c r="H505" s="209"/>
      <c r="I505" s="209"/>
      <c r="J505" s="209"/>
      <c r="N505" s="201"/>
    </row>
    <row r="506" spans="2:14" s="184" customFormat="1" x14ac:dyDescent="0.3">
      <c r="B506" s="212"/>
      <c r="F506" s="209"/>
      <c r="G506" s="209"/>
      <c r="H506" s="209"/>
      <c r="I506" s="209"/>
      <c r="J506" s="209"/>
      <c r="N506" s="201"/>
    </row>
    <row r="507" spans="2:14" s="184" customFormat="1" x14ac:dyDescent="0.3">
      <c r="B507" s="212"/>
      <c r="F507" s="209"/>
      <c r="G507" s="209"/>
      <c r="H507" s="209"/>
      <c r="I507" s="209"/>
      <c r="J507" s="209"/>
      <c r="N507" s="201"/>
    </row>
    <row r="508" spans="2:14" s="184" customFormat="1" x14ac:dyDescent="0.3">
      <c r="B508" s="212"/>
      <c r="F508" s="209"/>
      <c r="G508" s="209"/>
      <c r="H508" s="209"/>
      <c r="I508" s="209"/>
      <c r="J508" s="209"/>
      <c r="N508" s="201"/>
    </row>
    <row r="509" spans="2:14" s="184" customFormat="1" x14ac:dyDescent="0.3">
      <c r="B509" s="212"/>
      <c r="F509" s="209"/>
      <c r="G509" s="209"/>
      <c r="H509" s="209"/>
      <c r="I509" s="209"/>
      <c r="J509" s="209"/>
      <c r="N509" s="201"/>
    </row>
    <row r="510" spans="2:14" s="184" customFormat="1" x14ac:dyDescent="0.3">
      <c r="B510" s="212"/>
      <c r="F510" s="209"/>
      <c r="G510" s="209"/>
      <c r="H510" s="209"/>
      <c r="I510" s="209"/>
      <c r="J510" s="209"/>
      <c r="N510" s="201"/>
    </row>
    <row r="511" spans="2:14" s="184" customFormat="1" x14ac:dyDescent="0.3">
      <c r="B511" s="212"/>
      <c r="F511" s="209"/>
      <c r="G511" s="209"/>
      <c r="H511" s="209"/>
      <c r="I511" s="209"/>
      <c r="J511" s="209"/>
      <c r="N511" s="201"/>
    </row>
    <row r="512" spans="2:14" s="184" customFormat="1" x14ac:dyDescent="0.3">
      <c r="B512" s="212"/>
      <c r="F512" s="209"/>
      <c r="G512" s="209"/>
      <c r="H512" s="209"/>
      <c r="I512" s="209"/>
      <c r="J512" s="209"/>
      <c r="N512" s="201"/>
    </row>
    <row r="513" spans="2:14" s="184" customFormat="1" x14ac:dyDescent="0.3">
      <c r="B513" s="212"/>
      <c r="F513" s="209"/>
      <c r="G513" s="209"/>
      <c r="H513" s="209"/>
      <c r="I513" s="209"/>
      <c r="J513" s="209"/>
      <c r="N513" s="201"/>
    </row>
    <row r="514" spans="2:14" s="184" customFormat="1" x14ac:dyDescent="0.3">
      <c r="B514" s="212"/>
      <c r="F514" s="209"/>
      <c r="G514" s="209"/>
      <c r="H514" s="209"/>
      <c r="I514" s="209"/>
      <c r="J514" s="209"/>
      <c r="N514" s="201"/>
    </row>
    <row r="515" spans="2:14" s="184" customFormat="1" x14ac:dyDescent="0.3">
      <c r="B515" s="212"/>
      <c r="F515" s="209"/>
      <c r="G515" s="209"/>
      <c r="H515" s="209"/>
      <c r="I515" s="209"/>
      <c r="J515" s="209"/>
      <c r="N515" s="201"/>
    </row>
    <row r="516" spans="2:14" s="184" customFormat="1" x14ac:dyDescent="0.3">
      <c r="B516" s="212"/>
      <c r="F516" s="209"/>
      <c r="G516" s="209"/>
      <c r="H516" s="209"/>
      <c r="I516" s="209"/>
      <c r="J516" s="209"/>
      <c r="N516" s="201"/>
    </row>
    <row r="517" spans="2:14" s="184" customFormat="1" x14ac:dyDescent="0.3">
      <c r="B517" s="212"/>
      <c r="F517" s="209"/>
      <c r="G517" s="209"/>
      <c r="H517" s="209"/>
      <c r="I517" s="209"/>
      <c r="J517" s="209"/>
      <c r="N517" s="201"/>
    </row>
    <row r="518" spans="2:14" s="184" customFormat="1" x14ac:dyDescent="0.3">
      <c r="B518" s="212"/>
      <c r="F518" s="209"/>
      <c r="G518" s="209"/>
      <c r="H518" s="209"/>
      <c r="I518" s="209"/>
      <c r="J518" s="209"/>
      <c r="N518" s="201"/>
    </row>
    <row r="519" spans="2:14" s="184" customFormat="1" x14ac:dyDescent="0.3">
      <c r="B519" s="212"/>
      <c r="F519" s="209"/>
      <c r="G519" s="209"/>
      <c r="H519" s="209"/>
      <c r="I519" s="209"/>
      <c r="J519" s="209"/>
      <c r="N519" s="201"/>
    </row>
    <row r="520" spans="2:14" s="184" customFormat="1" x14ac:dyDescent="0.3">
      <c r="B520" s="212"/>
      <c r="F520" s="209"/>
      <c r="G520" s="209"/>
      <c r="H520" s="209"/>
      <c r="I520" s="209"/>
      <c r="J520" s="209"/>
      <c r="N520" s="201"/>
    </row>
    <row r="521" spans="2:14" s="184" customFormat="1" x14ac:dyDescent="0.3">
      <c r="B521" s="212"/>
      <c r="F521" s="209"/>
      <c r="G521" s="209"/>
      <c r="H521" s="209"/>
      <c r="I521" s="209"/>
      <c r="J521" s="209"/>
      <c r="N521" s="201"/>
    </row>
    <row r="522" spans="2:14" s="184" customFormat="1" x14ac:dyDescent="0.3">
      <c r="B522" s="212"/>
      <c r="F522" s="209"/>
      <c r="G522" s="209"/>
      <c r="H522" s="209"/>
      <c r="I522" s="209"/>
      <c r="J522" s="209"/>
      <c r="N522" s="201"/>
    </row>
    <row r="523" spans="2:14" s="184" customFormat="1" x14ac:dyDescent="0.3">
      <c r="B523" s="212"/>
      <c r="F523" s="209"/>
      <c r="G523" s="209"/>
      <c r="H523" s="209"/>
      <c r="I523" s="209"/>
      <c r="J523" s="209"/>
      <c r="N523" s="201"/>
    </row>
    <row r="524" spans="2:14" s="184" customFormat="1" x14ac:dyDescent="0.3">
      <c r="B524" s="212"/>
      <c r="F524" s="209"/>
      <c r="G524" s="209"/>
      <c r="H524" s="209"/>
      <c r="I524" s="209"/>
      <c r="J524" s="209"/>
      <c r="N524" s="201"/>
    </row>
    <row r="525" spans="2:14" s="184" customFormat="1" x14ac:dyDescent="0.3">
      <c r="B525" s="212"/>
      <c r="F525" s="209"/>
      <c r="G525" s="209"/>
      <c r="H525" s="209"/>
      <c r="I525" s="209"/>
      <c r="J525" s="209"/>
      <c r="N525" s="201"/>
    </row>
    <row r="526" spans="2:14" s="184" customFormat="1" x14ac:dyDescent="0.3">
      <c r="B526" s="212"/>
      <c r="F526" s="209"/>
      <c r="G526" s="209"/>
      <c r="H526" s="209"/>
      <c r="I526" s="209"/>
      <c r="J526" s="209"/>
      <c r="N526" s="201"/>
    </row>
    <row r="527" spans="2:14" s="184" customFormat="1" x14ac:dyDescent="0.3">
      <c r="B527" s="212"/>
      <c r="F527" s="209"/>
      <c r="G527" s="209"/>
      <c r="H527" s="209"/>
      <c r="I527" s="209"/>
      <c r="J527" s="209"/>
      <c r="N527" s="201"/>
    </row>
    <row r="528" spans="2:14" s="184" customFormat="1" x14ac:dyDescent="0.3">
      <c r="B528" s="212"/>
      <c r="F528" s="209"/>
      <c r="G528" s="209"/>
      <c r="H528" s="209"/>
      <c r="I528" s="209"/>
      <c r="J528" s="209"/>
      <c r="N528" s="201"/>
    </row>
    <row r="529" spans="2:14" s="184" customFormat="1" x14ac:dyDescent="0.3">
      <c r="B529" s="212"/>
      <c r="F529" s="209"/>
      <c r="G529" s="209"/>
      <c r="H529" s="209"/>
      <c r="I529" s="209"/>
      <c r="J529" s="209"/>
      <c r="N529" s="201"/>
    </row>
    <row r="530" spans="2:14" s="184" customFormat="1" x14ac:dyDescent="0.3">
      <c r="B530" s="212"/>
      <c r="F530" s="209"/>
      <c r="G530" s="209"/>
      <c r="H530" s="209"/>
      <c r="I530" s="209"/>
      <c r="J530" s="209"/>
      <c r="N530" s="201"/>
    </row>
    <row r="531" spans="2:14" s="184" customFormat="1" x14ac:dyDescent="0.3">
      <c r="B531" s="212"/>
      <c r="F531" s="209"/>
      <c r="G531" s="209"/>
      <c r="H531" s="209"/>
      <c r="I531" s="209"/>
      <c r="J531" s="209"/>
      <c r="N531" s="201"/>
    </row>
    <row r="532" spans="2:14" s="184" customFormat="1" x14ac:dyDescent="0.3">
      <c r="B532" s="212"/>
      <c r="F532" s="209"/>
      <c r="G532" s="209"/>
      <c r="H532" s="209"/>
      <c r="I532" s="209"/>
      <c r="J532" s="209"/>
      <c r="N532" s="201"/>
    </row>
    <row r="533" spans="2:14" s="184" customFormat="1" x14ac:dyDescent="0.3">
      <c r="B533" s="212"/>
      <c r="F533" s="209"/>
      <c r="G533" s="209"/>
      <c r="H533" s="209"/>
      <c r="I533" s="209"/>
      <c r="J533" s="209"/>
      <c r="N533" s="201"/>
    </row>
    <row r="534" spans="2:14" s="184" customFormat="1" x14ac:dyDescent="0.3">
      <c r="B534" s="212"/>
      <c r="F534" s="209"/>
      <c r="G534" s="209"/>
      <c r="H534" s="209"/>
      <c r="I534" s="209"/>
      <c r="J534" s="209"/>
      <c r="N534" s="201"/>
    </row>
    <row r="535" spans="2:14" s="184" customFormat="1" x14ac:dyDescent="0.3">
      <c r="B535" s="212"/>
      <c r="F535" s="209"/>
      <c r="G535" s="209"/>
      <c r="H535" s="209"/>
      <c r="I535" s="209"/>
      <c r="J535" s="209"/>
      <c r="N535" s="201"/>
    </row>
    <row r="536" spans="2:14" s="184" customFormat="1" x14ac:dyDescent="0.3">
      <c r="B536" s="212"/>
      <c r="F536" s="209"/>
      <c r="G536" s="209"/>
      <c r="H536" s="209"/>
      <c r="I536" s="209"/>
      <c r="J536" s="209"/>
      <c r="N536" s="201"/>
    </row>
    <row r="537" spans="2:14" s="184" customFormat="1" x14ac:dyDescent="0.3">
      <c r="B537" s="212"/>
      <c r="F537" s="209"/>
      <c r="G537" s="209"/>
      <c r="H537" s="209"/>
      <c r="I537" s="209"/>
      <c r="J537" s="209"/>
      <c r="N537" s="201"/>
    </row>
    <row r="538" spans="2:14" s="184" customFormat="1" x14ac:dyDescent="0.3">
      <c r="B538" s="212"/>
      <c r="F538" s="209"/>
      <c r="G538" s="209"/>
      <c r="H538" s="209"/>
      <c r="I538" s="209"/>
      <c r="J538" s="209"/>
      <c r="N538" s="201"/>
    </row>
    <row r="539" spans="2:14" s="184" customFormat="1" x14ac:dyDescent="0.3">
      <c r="B539" s="212"/>
      <c r="F539" s="209"/>
      <c r="G539" s="209"/>
      <c r="H539" s="209"/>
      <c r="I539" s="209"/>
      <c r="J539" s="209"/>
      <c r="N539" s="201"/>
    </row>
    <row r="540" spans="2:14" s="184" customFormat="1" x14ac:dyDescent="0.3">
      <c r="B540" s="212"/>
      <c r="F540" s="209"/>
      <c r="G540" s="209"/>
      <c r="H540" s="209"/>
      <c r="I540" s="209"/>
      <c r="J540" s="209"/>
      <c r="N540" s="201"/>
    </row>
    <row r="541" spans="2:14" s="184" customFormat="1" x14ac:dyDescent="0.3">
      <c r="B541" s="212"/>
      <c r="F541" s="209"/>
      <c r="G541" s="209"/>
      <c r="H541" s="209"/>
      <c r="I541" s="209"/>
      <c r="J541" s="209"/>
      <c r="N541" s="201"/>
    </row>
    <row r="542" spans="2:14" s="184" customFormat="1" x14ac:dyDescent="0.3">
      <c r="B542" s="212"/>
      <c r="F542" s="209"/>
      <c r="G542" s="209"/>
      <c r="H542" s="209"/>
      <c r="I542" s="209"/>
      <c r="J542" s="209"/>
      <c r="N542" s="201"/>
    </row>
    <row r="543" spans="2:14" s="184" customFormat="1" x14ac:dyDescent="0.3">
      <c r="B543" s="212"/>
      <c r="F543" s="209"/>
      <c r="G543" s="209"/>
      <c r="H543" s="209"/>
      <c r="I543" s="209"/>
      <c r="J543" s="209"/>
      <c r="N543" s="201"/>
    </row>
    <row r="544" spans="2:14" s="184" customFormat="1" x14ac:dyDescent="0.3">
      <c r="B544" s="212"/>
      <c r="F544" s="209"/>
      <c r="G544" s="209"/>
      <c r="H544" s="209"/>
      <c r="I544" s="209"/>
      <c r="J544" s="209"/>
      <c r="N544" s="201"/>
    </row>
    <row r="545" spans="2:14" s="184" customFormat="1" x14ac:dyDescent="0.3">
      <c r="B545" s="212"/>
      <c r="F545" s="209"/>
      <c r="G545" s="209"/>
      <c r="H545" s="209"/>
      <c r="I545" s="209"/>
      <c r="J545" s="209"/>
      <c r="N545" s="201"/>
    </row>
    <row r="546" spans="2:14" s="184" customFormat="1" x14ac:dyDescent="0.3">
      <c r="B546" s="212"/>
      <c r="F546" s="209"/>
      <c r="G546" s="209"/>
      <c r="H546" s="209"/>
      <c r="I546" s="209"/>
      <c r="J546" s="209"/>
      <c r="N546" s="201"/>
    </row>
    <row r="547" spans="2:14" s="184" customFormat="1" x14ac:dyDescent="0.3">
      <c r="B547" s="212"/>
      <c r="F547" s="209"/>
      <c r="G547" s="209"/>
      <c r="H547" s="209"/>
      <c r="I547" s="209"/>
      <c r="J547" s="209"/>
      <c r="N547" s="201"/>
    </row>
    <row r="548" spans="2:14" s="184" customFormat="1" x14ac:dyDescent="0.3">
      <c r="B548" s="212"/>
      <c r="F548" s="209"/>
      <c r="G548" s="209"/>
      <c r="H548" s="209"/>
      <c r="I548" s="209"/>
      <c r="J548" s="209"/>
      <c r="N548" s="201"/>
    </row>
    <row r="549" spans="2:14" s="184" customFormat="1" x14ac:dyDescent="0.3">
      <c r="B549" s="212"/>
      <c r="F549" s="209"/>
      <c r="G549" s="209"/>
      <c r="H549" s="209"/>
      <c r="I549" s="209"/>
      <c r="J549" s="209"/>
      <c r="N549" s="201"/>
    </row>
    <row r="550" spans="2:14" s="184" customFormat="1" x14ac:dyDescent="0.3">
      <c r="B550" s="212"/>
      <c r="F550" s="209"/>
      <c r="G550" s="209"/>
      <c r="H550" s="209"/>
      <c r="I550" s="209"/>
      <c r="J550" s="209"/>
      <c r="N550" s="201"/>
    </row>
    <row r="551" spans="2:14" s="184" customFormat="1" x14ac:dyDescent="0.3">
      <c r="B551" s="212"/>
      <c r="F551" s="209"/>
      <c r="G551" s="209"/>
      <c r="H551" s="209"/>
      <c r="I551" s="209"/>
      <c r="J551" s="209"/>
      <c r="N551" s="201"/>
    </row>
    <row r="552" spans="2:14" s="184" customFormat="1" x14ac:dyDescent="0.3">
      <c r="B552" s="212"/>
      <c r="F552" s="209"/>
      <c r="G552" s="209"/>
      <c r="H552" s="209"/>
      <c r="I552" s="209"/>
      <c r="J552" s="209"/>
      <c r="N552" s="201"/>
    </row>
    <row r="553" spans="2:14" s="184" customFormat="1" x14ac:dyDescent="0.3">
      <c r="B553" s="212"/>
      <c r="F553" s="209"/>
      <c r="G553" s="209"/>
      <c r="H553" s="209"/>
      <c r="I553" s="209"/>
      <c r="J553" s="209"/>
      <c r="N553" s="201"/>
    </row>
    <row r="554" spans="2:14" s="184" customFormat="1" x14ac:dyDescent="0.3">
      <c r="B554" s="212"/>
      <c r="F554" s="209"/>
      <c r="G554" s="209"/>
      <c r="H554" s="209"/>
      <c r="I554" s="209"/>
      <c r="J554" s="209"/>
      <c r="N554" s="201"/>
    </row>
    <row r="555" spans="2:14" s="184" customFormat="1" x14ac:dyDescent="0.3">
      <c r="B555" s="212"/>
      <c r="F555" s="209"/>
      <c r="G555" s="209"/>
      <c r="H555" s="209"/>
      <c r="I555" s="209"/>
      <c r="J555" s="209"/>
      <c r="N555" s="201"/>
    </row>
    <row r="556" spans="2:14" s="184" customFormat="1" x14ac:dyDescent="0.3">
      <c r="B556" s="212"/>
      <c r="F556" s="209"/>
      <c r="G556" s="209"/>
      <c r="H556" s="209"/>
      <c r="I556" s="209"/>
      <c r="J556" s="209"/>
      <c r="N556" s="201"/>
    </row>
    <row r="557" spans="2:14" s="184" customFormat="1" x14ac:dyDescent="0.3">
      <c r="B557" s="212"/>
      <c r="F557" s="209"/>
      <c r="G557" s="209"/>
      <c r="H557" s="209"/>
      <c r="I557" s="209"/>
      <c r="J557" s="209"/>
      <c r="N557" s="201"/>
    </row>
    <row r="558" spans="2:14" s="184" customFormat="1" x14ac:dyDescent="0.3">
      <c r="B558" s="212"/>
      <c r="F558" s="209"/>
      <c r="G558" s="209"/>
      <c r="H558" s="209"/>
      <c r="I558" s="209"/>
      <c r="J558" s="209"/>
      <c r="N558" s="201"/>
    </row>
    <row r="559" spans="2:14" s="184" customFormat="1" x14ac:dyDescent="0.3">
      <c r="B559" s="212"/>
      <c r="F559" s="209"/>
      <c r="G559" s="209"/>
      <c r="H559" s="209"/>
      <c r="I559" s="209"/>
      <c r="J559" s="209"/>
      <c r="N559" s="201"/>
    </row>
    <row r="560" spans="2:14" s="184" customFormat="1" x14ac:dyDescent="0.3">
      <c r="B560" s="212"/>
      <c r="F560" s="209"/>
      <c r="G560" s="209"/>
      <c r="H560" s="209"/>
      <c r="I560" s="209"/>
      <c r="J560" s="209"/>
      <c r="N560" s="201"/>
    </row>
    <row r="561" spans="2:14" s="184" customFormat="1" x14ac:dyDescent="0.3">
      <c r="B561" s="212"/>
      <c r="F561" s="209"/>
      <c r="G561" s="209"/>
      <c r="H561" s="209"/>
      <c r="I561" s="209"/>
      <c r="J561" s="209"/>
      <c r="N561" s="201"/>
    </row>
    <row r="562" spans="2:14" s="184" customFormat="1" x14ac:dyDescent="0.3">
      <c r="B562" s="212"/>
      <c r="F562" s="209"/>
      <c r="G562" s="209"/>
      <c r="H562" s="209"/>
      <c r="I562" s="209"/>
      <c r="J562" s="209"/>
      <c r="N562" s="201"/>
    </row>
    <row r="563" spans="2:14" s="184" customFormat="1" x14ac:dyDescent="0.3">
      <c r="B563" s="212"/>
      <c r="F563" s="209"/>
      <c r="G563" s="209"/>
      <c r="H563" s="209"/>
      <c r="I563" s="209"/>
      <c r="J563" s="209"/>
      <c r="N563" s="201"/>
    </row>
    <row r="564" spans="2:14" s="184" customFormat="1" x14ac:dyDescent="0.3">
      <c r="B564" s="212"/>
      <c r="F564" s="209"/>
      <c r="G564" s="209"/>
      <c r="H564" s="209"/>
      <c r="I564" s="209"/>
      <c r="J564" s="209"/>
      <c r="N564" s="201"/>
    </row>
    <row r="565" spans="2:14" s="184" customFormat="1" x14ac:dyDescent="0.3">
      <c r="B565" s="212"/>
      <c r="F565" s="209"/>
      <c r="G565" s="209"/>
      <c r="H565" s="209"/>
      <c r="I565" s="209"/>
      <c r="J565" s="209"/>
      <c r="N565" s="201"/>
    </row>
    <row r="566" spans="2:14" s="184" customFormat="1" x14ac:dyDescent="0.3">
      <c r="B566" s="212"/>
      <c r="F566" s="209"/>
      <c r="G566" s="209"/>
      <c r="H566" s="209"/>
      <c r="I566" s="209"/>
      <c r="J566" s="209"/>
      <c r="N566" s="201"/>
    </row>
    <row r="567" spans="2:14" s="184" customFormat="1" x14ac:dyDescent="0.3">
      <c r="B567" s="212"/>
      <c r="F567" s="209"/>
      <c r="G567" s="209"/>
      <c r="H567" s="209"/>
      <c r="I567" s="209"/>
      <c r="J567" s="209"/>
      <c r="N567" s="201"/>
    </row>
    <row r="568" spans="2:14" s="184" customFormat="1" x14ac:dyDescent="0.3">
      <c r="B568" s="212"/>
      <c r="F568" s="209"/>
      <c r="G568" s="209"/>
      <c r="H568" s="209"/>
      <c r="I568" s="209"/>
      <c r="J568" s="209"/>
      <c r="N568" s="201"/>
    </row>
    <row r="569" spans="2:14" s="184" customFormat="1" x14ac:dyDescent="0.3">
      <c r="B569" s="212"/>
      <c r="F569" s="209"/>
      <c r="G569" s="209"/>
      <c r="H569" s="209"/>
      <c r="I569" s="209"/>
      <c r="J569" s="209"/>
      <c r="N569" s="201"/>
    </row>
    <row r="570" spans="2:14" s="184" customFormat="1" x14ac:dyDescent="0.3">
      <c r="B570" s="212"/>
      <c r="F570" s="209"/>
      <c r="G570" s="209"/>
      <c r="H570" s="209"/>
      <c r="I570" s="209"/>
      <c r="J570" s="209"/>
      <c r="N570" s="201"/>
    </row>
    <row r="571" spans="2:14" s="184" customFormat="1" x14ac:dyDescent="0.3">
      <c r="B571" s="212"/>
      <c r="F571" s="209"/>
      <c r="G571" s="209"/>
      <c r="H571" s="209"/>
      <c r="I571" s="209"/>
      <c r="J571" s="209"/>
      <c r="N571" s="201"/>
    </row>
    <row r="572" spans="2:14" s="184" customFormat="1" x14ac:dyDescent="0.3">
      <c r="B572" s="212"/>
      <c r="F572" s="209"/>
      <c r="G572" s="209"/>
      <c r="H572" s="209"/>
      <c r="I572" s="209"/>
      <c r="J572" s="209"/>
      <c r="N572" s="201"/>
    </row>
    <row r="573" spans="2:14" s="184" customFormat="1" x14ac:dyDescent="0.3">
      <c r="B573" s="212"/>
      <c r="F573" s="209"/>
      <c r="G573" s="209"/>
      <c r="H573" s="209"/>
      <c r="I573" s="209"/>
      <c r="J573" s="209"/>
      <c r="N573" s="201"/>
    </row>
    <row r="574" spans="2:14" s="184" customFormat="1" x14ac:dyDescent="0.3">
      <c r="B574" s="212"/>
      <c r="F574" s="209"/>
      <c r="G574" s="209"/>
      <c r="H574" s="209"/>
      <c r="I574" s="209"/>
      <c r="J574" s="209"/>
      <c r="N574" s="201"/>
    </row>
    <row r="575" spans="2:14" s="184" customFormat="1" x14ac:dyDescent="0.3">
      <c r="B575" s="212"/>
      <c r="F575" s="209"/>
      <c r="G575" s="209"/>
      <c r="H575" s="209"/>
      <c r="I575" s="209"/>
      <c r="J575" s="209"/>
      <c r="N575" s="201"/>
    </row>
    <row r="576" spans="2:14" s="184" customFormat="1" x14ac:dyDescent="0.3">
      <c r="B576" s="212"/>
      <c r="F576" s="209"/>
      <c r="G576" s="209"/>
      <c r="H576" s="209"/>
      <c r="I576" s="209"/>
      <c r="J576" s="209"/>
      <c r="N576" s="201"/>
    </row>
    <row r="577" spans="2:14" s="184" customFormat="1" x14ac:dyDescent="0.3">
      <c r="B577" s="212"/>
      <c r="F577" s="209"/>
      <c r="G577" s="209"/>
      <c r="H577" s="209"/>
      <c r="I577" s="209"/>
      <c r="J577" s="209"/>
      <c r="N577" s="201"/>
    </row>
    <row r="578" spans="2:14" s="184" customFormat="1" x14ac:dyDescent="0.3">
      <c r="B578" s="212"/>
      <c r="F578" s="209"/>
      <c r="G578" s="209"/>
      <c r="H578" s="209"/>
      <c r="I578" s="209"/>
      <c r="J578" s="209"/>
      <c r="N578" s="201"/>
    </row>
    <row r="579" spans="2:14" s="184" customFormat="1" x14ac:dyDescent="0.3">
      <c r="B579" s="212"/>
      <c r="F579" s="209"/>
      <c r="G579" s="209"/>
      <c r="H579" s="209"/>
      <c r="I579" s="209"/>
      <c r="J579" s="209"/>
      <c r="N579" s="201"/>
    </row>
    <row r="580" spans="2:14" s="184" customFormat="1" x14ac:dyDescent="0.3">
      <c r="B580" s="212"/>
      <c r="F580" s="209"/>
      <c r="G580" s="209"/>
      <c r="H580" s="209"/>
      <c r="I580" s="209"/>
      <c r="J580" s="209"/>
      <c r="N580" s="201"/>
    </row>
    <row r="581" spans="2:14" s="184" customFormat="1" x14ac:dyDescent="0.3">
      <c r="B581" s="212"/>
      <c r="F581" s="209"/>
      <c r="G581" s="209"/>
      <c r="H581" s="209"/>
      <c r="I581" s="209"/>
      <c r="J581" s="209"/>
      <c r="N581" s="201"/>
    </row>
    <row r="582" spans="2:14" s="184" customFormat="1" x14ac:dyDescent="0.3">
      <c r="B582" s="212"/>
      <c r="F582" s="209"/>
      <c r="G582" s="209"/>
      <c r="H582" s="209"/>
      <c r="I582" s="209"/>
      <c r="J582" s="209"/>
      <c r="N582" s="201"/>
    </row>
    <row r="583" spans="2:14" s="184" customFormat="1" x14ac:dyDescent="0.3">
      <c r="B583" s="212"/>
      <c r="F583" s="209"/>
      <c r="G583" s="209"/>
      <c r="H583" s="209"/>
      <c r="I583" s="209"/>
      <c r="J583" s="209"/>
      <c r="N583" s="201"/>
    </row>
    <row r="584" spans="2:14" s="184" customFormat="1" x14ac:dyDescent="0.3">
      <c r="B584" s="212"/>
      <c r="F584" s="209"/>
      <c r="G584" s="209"/>
      <c r="H584" s="209"/>
      <c r="I584" s="209"/>
      <c r="J584" s="209"/>
      <c r="N584" s="201"/>
    </row>
    <row r="585" spans="2:14" s="184" customFormat="1" x14ac:dyDescent="0.3">
      <c r="B585" s="212"/>
      <c r="F585" s="209"/>
      <c r="G585" s="209"/>
      <c r="H585" s="209"/>
      <c r="I585" s="209"/>
      <c r="J585" s="209"/>
      <c r="N585" s="201"/>
    </row>
    <row r="586" spans="2:14" s="184" customFormat="1" x14ac:dyDescent="0.3">
      <c r="B586" s="212"/>
      <c r="F586" s="209"/>
      <c r="G586" s="209"/>
      <c r="H586" s="209"/>
      <c r="I586" s="209"/>
      <c r="J586" s="209"/>
      <c r="N586" s="201"/>
    </row>
    <row r="587" spans="2:14" s="184" customFormat="1" x14ac:dyDescent="0.3">
      <c r="B587" s="212"/>
      <c r="F587" s="209"/>
      <c r="G587" s="209"/>
      <c r="H587" s="209"/>
      <c r="I587" s="209"/>
      <c r="J587" s="209"/>
      <c r="N587" s="201"/>
    </row>
    <row r="588" spans="2:14" s="184" customFormat="1" x14ac:dyDescent="0.3">
      <c r="B588" s="212"/>
      <c r="F588" s="209"/>
      <c r="G588" s="209"/>
      <c r="H588" s="209"/>
      <c r="I588" s="209"/>
      <c r="J588" s="209"/>
      <c r="N588" s="201"/>
    </row>
    <row r="589" spans="2:14" s="184" customFormat="1" x14ac:dyDescent="0.3">
      <c r="B589" s="212"/>
      <c r="F589" s="209"/>
      <c r="G589" s="209"/>
      <c r="H589" s="209"/>
      <c r="I589" s="209"/>
      <c r="J589" s="209"/>
      <c r="N589" s="201"/>
    </row>
    <row r="590" spans="2:14" s="184" customFormat="1" x14ac:dyDescent="0.3">
      <c r="B590" s="212"/>
      <c r="F590" s="209"/>
      <c r="G590" s="209"/>
      <c r="H590" s="209"/>
      <c r="I590" s="209"/>
      <c r="J590" s="209"/>
      <c r="N590" s="201"/>
    </row>
    <row r="591" spans="2:14" s="184" customFormat="1" x14ac:dyDescent="0.3">
      <c r="B591" s="212"/>
      <c r="F591" s="209"/>
      <c r="G591" s="209"/>
      <c r="H591" s="209"/>
      <c r="I591" s="209"/>
      <c r="J591" s="209"/>
      <c r="N591" s="201"/>
    </row>
    <row r="592" spans="2:14" s="184" customFormat="1" x14ac:dyDescent="0.3">
      <c r="B592" s="212"/>
      <c r="F592" s="209"/>
      <c r="G592" s="209"/>
      <c r="H592" s="209"/>
      <c r="I592" s="209"/>
      <c r="J592" s="209"/>
      <c r="N592" s="201"/>
    </row>
    <row r="593" spans="2:14" s="184" customFormat="1" x14ac:dyDescent="0.3">
      <c r="B593" s="212"/>
      <c r="F593" s="209"/>
      <c r="G593" s="209"/>
      <c r="H593" s="209"/>
      <c r="I593" s="209"/>
      <c r="J593" s="209"/>
      <c r="N593" s="201"/>
    </row>
    <row r="594" spans="2:14" s="184" customFormat="1" x14ac:dyDescent="0.3">
      <c r="B594" s="212"/>
      <c r="F594" s="209"/>
      <c r="G594" s="209"/>
      <c r="H594" s="209"/>
      <c r="I594" s="209"/>
      <c r="J594" s="209"/>
      <c r="N594" s="201"/>
    </row>
    <row r="595" spans="2:14" s="184" customFormat="1" x14ac:dyDescent="0.3">
      <c r="B595" s="212"/>
      <c r="F595" s="209"/>
      <c r="G595" s="209"/>
      <c r="H595" s="209"/>
      <c r="I595" s="209"/>
      <c r="J595" s="209"/>
      <c r="N595" s="201"/>
    </row>
    <row r="596" spans="2:14" s="184" customFormat="1" x14ac:dyDescent="0.3">
      <c r="B596" s="212"/>
      <c r="F596" s="209"/>
      <c r="G596" s="209"/>
      <c r="H596" s="209"/>
      <c r="I596" s="209"/>
      <c r="J596" s="209"/>
      <c r="N596" s="201"/>
    </row>
    <row r="597" spans="2:14" s="184" customFormat="1" x14ac:dyDescent="0.3">
      <c r="B597" s="212"/>
      <c r="F597" s="209"/>
      <c r="G597" s="209"/>
      <c r="H597" s="209"/>
      <c r="I597" s="209"/>
      <c r="J597" s="209"/>
      <c r="N597" s="201"/>
    </row>
    <row r="598" spans="2:14" s="184" customFormat="1" x14ac:dyDescent="0.3">
      <c r="B598" s="212"/>
      <c r="F598" s="209"/>
      <c r="G598" s="209"/>
      <c r="H598" s="209"/>
      <c r="I598" s="209"/>
      <c r="J598" s="209"/>
      <c r="N598" s="201"/>
    </row>
    <row r="599" spans="2:14" s="184" customFormat="1" x14ac:dyDescent="0.3">
      <c r="B599" s="212"/>
      <c r="F599" s="209"/>
      <c r="G599" s="209"/>
      <c r="H599" s="209"/>
      <c r="I599" s="209"/>
      <c r="J599" s="209"/>
      <c r="N599" s="201"/>
    </row>
    <row r="600" spans="2:14" s="184" customFormat="1" x14ac:dyDescent="0.3">
      <c r="B600" s="212"/>
      <c r="F600" s="209"/>
      <c r="G600" s="209"/>
      <c r="H600" s="209"/>
      <c r="I600" s="209"/>
      <c r="J600" s="209"/>
      <c r="N600" s="201"/>
    </row>
    <row r="601" spans="2:14" s="184" customFormat="1" x14ac:dyDescent="0.3">
      <c r="B601" s="212"/>
      <c r="F601" s="209"/>
      <c r="G601" s="209"/>
      <c r="H601" s="209"/>
      <c r="I601" s="209"/>
      <c r="J601" s="209"/>
      <c r="N601" s="201"/>
    </row>
    <row r="602" spans="2:14" s="184" customFormat="1" x14ac:dyDescent="0.3">
      <c r="B602" s="212"/>
      <c r="F602" s="209"/>
      <c r="G602" s="209"/>
      <c r="H602" s="209"/>
      <c r="I602" s="209"/>
      <c r="J602" s="209"/>
      <c r="N602" s="201"/>
    </row>
    <row r="603" spans="2:14" s="184" customFormat="1" x14ac:dyDescent="0.3">
      <c r="B603" s="212"/>
      <c r="F603" s="209"/>
      <c r="G603" s="209"/>
      <c r="H603" s="209"/>
      <c r="I603" s="209"/>
      <c r="J603" s="209"/>
      <c r="N603" s="201"/>
    </row>
    <row r="604" spans="2:14" s="184" customFormat="1" x14ac:dyDescent="0.3">
      <c r="B604" s="212"/>
      <c r="F604" s="209"/>
      <c r="G604" s="209"/>
      <c r="H604" s="209"/>
      <c r="I604" s="209"/>
      <c r="J604" s="209"/>
      <c r="N604" s="201"/>
    </row>
    <row r="605" spans="2:14" s="184" customFormat="1" x14ac:dyDescent="0.3">
      <c r="B605" s="212"/>
      <c r="F605" s="209"/>
      <c r="G605" s="209"/>
      <c r="H605" s="209"/>
      <c r="I605" s="209"/>
      <c r="J605" s="209"/>
      <c r="N605" s="201"/>
    </row>
    <row r="606" spans="2:14" s="184" customFormat="1" x14ac:dyDescent="0.3">
      <c r="B606" s="212"/>
      <c r="F606" s="209"/>
      <c r="G606" s="209"/>
      <c r="H606" s="209"/>
      <c r="I606" s="209"/>
      <c r="J606" s="209"/>
      <c r="N606" s="201"/>
    </row>
    <row r="607" spans="2:14" s="184" customFormat="1" x14ac:dyDescent="0.3">
      <c r="B607" s="212"/>
      <c r="F607" s="209"/>
      <c r="G607" s="209"/>
      <c r="H607" s="209"/>
      <c r="I607" s="209"/>
      <c r="J607" s="209"/>
      <c r="N607" s="201"/>
    </row>
    <row r="608" spans="2:14" s="184" customFormat="1" x14ac:dyDescent="0.3">
      <c r="B608" s="212"/>
      <c r="F608" s="209"/>
      <c r="G608" s="209"/>
      <c r="H608" s="209"/>
      <c r="I608" s="209"/>
      <c r="J608" s="209"/>
      <c r="N608" s="201"/>
    </row>
    <row r="609" spans="2:14" s="184" customFormat="1" x14ac:dyDescent="0.3">
      <c r="B609" s="212"/>
      <c r="F609" s="209"/>
      <c r="G609" s="209"/>
      <c r="H609" s="209"/>
      <c r="I609" s="209"/>
      <c r="J609" s="209"/>
      <c r="N609" s="201"/>
    </row>
    <row r="610" spans="2:14" s="184" customFormat="1" x14ac:dyDescent="0.3">
      <c r="B610" s="212"/>
      <c r="F610" s="209"/>
      <c r="G610" s="209"/>
      <c r="H610" s="209"/>
      <c r="I610" s="209"/>
      <c r="J610" s="209"/>
      <c r="N610" s="201"/>
    </row>
    <row r="611" spans="2:14" s="184" customFormat="1" x14ac:dyDescent="0.3">
      <c r="B611" s="212"/>
      <c r="F611" s="209"/>
      <c r="G611" s="209"/>
      <c r="H611" s="209"/>
      <c r="I611" s="209"/>
      <c r="J611" s="209"/>
      <c r="N611" s="201"/>
    </row>
    <row r="612" spans="2:14" s="184" customFormat="1" x14ac:dyDescent="0.3">
      <c r="B612" s="212"/>
      <c r="F612" s="209"/>
      <c r="G612" s="209"/>
      <c r="H612" s="209"/>
      <c r="I612" s="209"/>
      <c r="J612" s="209"/>
      <c r="N612" s="201"/>
    </row>
    <row r="613" spans="2:14" s="184" customFormat="1" x14ac:dyDescent="0.3">
      <c r="B613" s="212"/>
      <c r="F613" s="209"/>
      <c r="G613" s="209"/>
      <c r="H613" s="209"/>
      <c r="I613" s="209"/>
      <c r="J613" s="209"/>
      <c r="N613" s="201"/>
    </row>
    <row r="614" spans="2:14" s="184" customFormat="1" x14ac:dyDescent="0.3">
      <c r="B614" s="212"/>
      <c r="F614" s="209"/>
      <c r="G614" s="209"/>
      <c r="H614" s="209"/>
      <c r="I614" s="209"/>
      <c r="J614" s="209"/>
      <c r="N614" s="201"/>
    </row>
    <row r="615" spans="2:14" s="184" customFormat="1" x14ac:dyDescent="0.3">
      <c r="B615" s="212"/>
      <c r="F615" s="209"/>
      <c r="G615" s="209"/>
      <c r="H615" s="209"/>
      <c r="I615" s="209"/>
      <c r="J615" s="209"/>
      <c r="N615" s="201"/>
    </row>
    <row r="616" spans="2:14" s="184" customFormat="1" x14ac:dyDescent="0.3">
      <c r="B616" s="212"/>
      <c r="F616" s="209"/>
      <c r="G616" s="209"/>
      <c r="H616" s="209"/>
      <c r="I616" s="209"/>
      <c r="J616" s="209"/>
      <c r="N616" s="201"/>
    </row>
    <row r="617" spans="2:14" s="184" customFormat="1" x14ac:dyDescent="0.3">
      <c r="B617" s="212"/>
      <c r="F617" s="209"/>
      <c r="G617" s="209"/>
      <c r="H617" s="209"/>
      <c r="I617" s="209"/>
      <c r="J617" s="209"/>
      <c r="N617" s="201"/>
    </row>
    <row r="618" spans="2:14" s="184" customFormat="1" x14ac:dyDescent="0.3">
      <c r="B618" s="212"/>
      <c r="F618" s="209"/>
      <c r="G618" s="209"/>
      <c r="H618" s="209"/>
      <c r="I618" s="209"/>
      <c r="J618" s="209"/>
      <c r="N618" s="201"/>
    </row>
    <row r="619" spans="2:14" s="184" customFormat="1" x14ac:dyDescent="0.3">
      <c r="B619" s="212"/>
      <c r="F619" s="209"/>
      <c r="G619" s="209"/>
      <c r="H619" s="209"/>
      <c r="I619" s="209"/>
      <c r="J619" s="209"/>
      <c r="N619" s="201"/>
    </row>
    <row r="620" spans="2:14" s="184" customFormat="1" x14ac:dyDescent="0.3">
      <c r="B620" s="212"/>
      <c r="F620" s="209"/>
      <c r="G620" s="209"/>
      <c r="H620" s="209"/>
      <c r="I620" s="209"/>
      <c r="J620" s="209"/>
      <c r="N620" s="201"/>
    </row>
    <row r="621" spans="2:14" s="184" customFormat="1" x14ac:dyDescent="0.3">
      <c r="B621" s="212"/>
      <c r="F621" s="209"/>
      <c r="G621" s="209"/>
      <c r="H621" s="209"/>
      <c r="I621" s="209"/>
      <c r="J621" s="209"/>
      <c r="N621" s="201"/>
    </row>
    <row r="622" spans="2:14" s="184" customFormat="1" x14ac:dyDescent="0.3">
      <c r="B622" s="212"/>
      <c r="F622" s="209"/>
      <c r="G622" s="209"/>
      <c r="H622" s="209"/>
      <c r="I622" s="209"/>
      <c r="J622" s="209"/>
      <c r="N622" s="201"/>
    </row>
    <row r="623" spans="2:14" s="184" customFormat="1" x14ac:dyDescent="0.3">
      <c r="B623" s="212"/>
      <c r="F623" s="209"/>
      <c r="G623" s="209"/>
      <c r="H623" s="209"/>
      <c r="I623" s="209"/>
      <c r="J623" s="209"/>
      <c r="N623" s="201"/>
    </row>
    <row r="624" spans="2:14" s="184" customFormat="1" x14ac:dyDescent="0.3">
      <c r="B624" s="212"/>
      <c r="F624" s="209"/>
      <c r="G624" s="209"/>
      <c r="H624" s="209"/>
      <c r="I624" s="209"/>
      <c r="J624" s="209"/>
      <c r="N624" s="201"/>
    </row>
    <row r="625" spans="2:14" s="184" customFormat="1" x14ac:dyDescent="0.3">
      <c r="B625" s="212"/>
      <c r="F625" s="209"/>
      <c r="G625" s="209"/>
      <c r="H625" s="209"/>
      <c r="I625" s="209"/>
      <c r="J625" s="209"/>
      <c r="N625" s="201"/>
    </row>
    <row r="626" spans="2:14" s="184" customFormat="1" x14ac:dyDescent="0.3">
      <c r="B626" s="212"/>
      <c r="F626" s="209"/>
      <c r="G626" s="209"/>
      <c r="H626" s="209"/>
      <c r="I626" s="209"/>
      <c r="J626" s="209"/>
      <c r="N626" s="201"/>
    </row>
    <row r="627" spans="2:14" s="184" customFormat="1" x14ac:dyDescent="0.3">
      <c r="B627" s="212"/>
      <c r="F627" s="209"/>
      <c r="G627" s="209"/>
      <c r="H627" s="209"/>
      <c r="I627" s="209"/>
      <c r="J627" s="209"/>
      <c r="N627" s="201"/>
    </row>
    <row r="628" spans="2:14" s="184" customFormat="1" x14ac:dyDescent="0.3">
      <c r="B628" s="212"/>
      <c r="F628" s="209"/>
      <c r="G628" s="209"/>
      <c r="H628" s="209"/>
      <c r="I628" s="209"/>
      <c r="J628" s="209"/>
      <c r="N628" s="201"/>
    </row>
    <row r="629" spans="2:14" s="184" customFormat="1" x14ac:dyDescent="0.3">
      <c r="B629" s="212"/>
      <c r="F629" s="209"/>
      <c r="G629" s="209"/>
      <c r="H629" s="209"/>
      <c r="I629" s="209"/>
      <c r="J629" s="209"/>
      <c r="N629" s="201"/>
    </row>
    <row r="630" spans="2:14" s="184" customFormat="1" x14ac:dyDescent="0.3">
      <c r="B630" s="212"/>
      <c r="F630" s="209"/>
      <c r="G630" s="209"/>
      <c r="H630" s="209"/>
      <c r="I630" s="209"/>
      <c r="J630" s="209"/>
      <c r="N630" s="201"/>
    </row>
    <row r="631" spans="2:14" s="184" customFormat="1" x14ac:dyDescent="0.3">
      <c r="B631" s="212"/>
      <c r="F631" s="209"/>
      <c r="G631" s="209"/>
      <c r="H631" s="209"/>
      <c r="I631" s="209"/>
      <c r="J631" s="209"/>
      <c r="N631" s="201"/>
    </row>
    <row r="632" spans="2:14" s="184" customFormat="1" x14ac:dyDescent="0.3">
      <c r="B632" s="212"/>
      <c r="F632" s="209"/>
      <c r="G632" s="209"/>
      <c r="H632" s="209"/>
      <c r="I632" s="209"/>
      <c r="J632" s="209"/>
      <c r="N632" s="201"/>
    </row>
    <row r="633" spans="2:14" s="184" customFormat="1" x14ac:dyDescent="0.3">
      <c r="B633" s="212"/>
      <c r="F633" s="209"/>
      <c r="G633" s="209"/>
      <c r="H633" s="209"/>
      <c r="I633" s="209"/>
      <c r="J633" s="209"/>
      <c r="N633" s="201"/>
    </row>
    <row r="634" spans="2:14" s="184" customFormat="1" x14ac:dyDescent="0.3">
      <c r="B634" s="212"/>
      <c r="F634" s="209"/>
      <c r="G634" s="209"/>
      <c r="H634" s="209"/>
      <c r="I634" s="209"/>
      <c r="J634" s="209"/>
      <c r="N634" s="201"/>
    </row>
    <row r="635" spans="2:14" s="184" customFormat="1" x14ac:dyDescent="0.3">
      <c r="B635" s="212"/>
      <c r="F635" s="209"/>
      <c r="G635" s="209"/>
      <c r="H635" s="209"/>
      <c r="I635" s="209"/>
      <c r="J635" s="209"/>
      <c r="N635" s="201"/>
    </row>
    <row r="636" spans="2:14" s="184" customFormat="1" x14ac:dyDescent="0.3">
      <c r="B636" s="212"/>
      <c r="F636" s="209"/>
      <c r="G636" s="209"/>
      <c r="H636" s="209"/>
      <c r="I636" s="209"/>
      <c r="J636" s="209"/>
      <c r="N636" s="201"/>
    </row>
    <row r="637" spans="2:14" s="184" customFormat="1" x14ac:dyDescent="0.3">
      <c r="B637" s="212"/>
      <c r="F637" s="209"/>
      <c r="G637" s="209"/>
      <c r="H637" s="209"/>
      <c r="I637" s="209"/>
      <c r="J637" s="209"/>
      <c r="N637" s="201"/>
    </row>
    <row r="638" spans="2:14" s="184" customFormat="1" x14ac:dyDescent="0.3">
      <c r="B638" s="212"/>
      <c r="F638" s="209"/>
      <c r="G638" s="209"/>
      <c r="H638" s="209"/>
      <c r="I638" s="209"/>
      <c r="J638" s="209"/>
      <c r="N638" s="201"/>
    </row>
    <row r="639" spans="2:14" s="184" customFormat="1" x14ac:dyDescent="0.3">
      <c r="B639" s="212"/>
      <c r="F639" s="209"/>
      <c r="G639" s="209"/>
      <c r="H639" s="209"/>
      <c r="I639" s="209"/>
      <c r="J639" s="209"/>
      <c r="N639" s="201"/>
    </row>
    <row r="640" spans="2:14" s="184" customFormat="1" x14ac:dyDescent="0.3">
      <c r="B640" s="212"/>
      <c r="F640" s="209"/>
      <c r="G640" s="209"/>
      <c r="H640" s="209"/>
      <c r="I640" s="209"/>
      <c r="J640" s="209"/>
      <c r="N640" s="201"/>
    </row>
    <row r="641" spans="2:14" s="184" customFormat="1" x14ac:dyDescent="0.3">
      <c r="B641" s="212"/>
      <c r="F641" s="209"/>
      <c r="G641" s="209"/>
      <c r="H641" s="209"/>
      <c r="I641" s="209"/>
      <c r="J641" s="209"/>
      <c r="N641" s="201"/>
    </row>
    <row r="642" spans="2:14" s="184" customFormat="1" x14ac:dyDescent="0.3">
      <c r="B642" s="212"/>
      <c r="F642" s="209"/>
      <c r="G642" s="209"/>
      <c r="H642" s="209"/>
      <c r="I642" s="209"/>
      <c r="J642" s="209"/>
      <c r="N642" s="201"/>
    </row>
    <row r="643" spans="2:14" s="184" customFormat="1" x14ac:dyDescent="0.3">
      <c r="B643" s="212"/>
      <c r="F643" s="209"/>
      <c r="G643" s="209"/>
      <c r="H643" s="209"/>
      <c r="I643" s="209"/>
      <c r="J643" s="209"/>
      <c r="N643" s="201"/>
    </row>
    <row r="644" spans="2:14" s="184" customFormat="1" x14ac:dyDescent="0.3">
      <c r="B644" s="212"/>
      <c r="F644" s="209"/>
      <c r="G644" s="209"/>
      <c r="H644" s="209"/>
      <c r="I644" s="209"/>
      <c r="J644" s="209"/>
      <c r="N644" s="201"/>
    </row>
    <row r="645" spans="2:14" s="184" customFormat="1" x14ac:dyDescent="0.3">
      <c r="B645" s="212"/>
      <c r="F645" s="209"/>
      <c r="G645" s="209"/>
      <c r="H645" s="209"/>
      <c r="I645" s="209"/>
      <c r="J645" s="209"/>
      <c r="N645" s="201"/>
    </row>
    <row r="646" spans="2:14" s="184" customFormat="1" x14ac:dyDescent="0.3">
      <c r="B646" s="212"/>
      <c r="F646" s="209"/>
      <c r="G646" s="209"/>
      <c r="H646" s="209"/>
      <c r="I646" s="209"/>
      <c r="J646" s="209"/>
      <c r="N646" s="201"/>
    </row>
    <row r="647" spans="2:14" s="184" customFormat="1" x14ac:dyDescent="0.3">
      <c r="B647" s="212"/>
      <c r="F647" s="209"/>
      <c r="G647" s="209"/>
      <c r="H647" s="209"/>
      <c r="I647" s="209"/>
      <c r="J647" s="209"/>
      <c r="N647" s="201"/>
    </row>
    <row r="648" spans="2:14" s="184" customFormat="1" x14ac:dyDescent="0.3">
      <c r="B648" s="212"/>
      <c r="F648" s="209"/>
      <c r="G648" s="209"/>
      <c r="H648" s="209"/>
      <c r="I648" s="209"/>
      <c r="J648" s="209"/>
      <c r="N648" s="201"/>
    </row>
    <row r="649" spans="2:14" s="184" customFormat="1" x14ac:dyDescent="0.3">
      <c r="B649" s="212"/>
      <c r="F649" s="209"/>
      <c r="G649" s="209"/>
      <c r="H649" s="209"/>
      <c r="I649" s="209"/>
      <c r="J649" s="209"/>
      <c r="N649" s="201"/>
    </row>
    <row r="650" spans="2:14" s="184" customFormat="1" x14ac:dyDescent="0.3">
      <c r="B650" s="212"/>
      <c r="F650" s="209"/>
      <c r="G650" s="209"/>
      <c r="H650" s="209"/>
      <c r="I650" s="209"/>
      <c r="J650" s="209"/>
      <c r="N650" s="201"/>
    </row>
    <row r="651" spans="2:14" s="184" customFormat="1" x14ac:dyDescent="0.3">
      <c r="B651" s="212"/>
      <c r="F651" s="209"/>
      <c r="G651" s="209"/>
      <c r="H651" s="209"/>
      <c r="I651" s="209"/>
      <c r="J651" s="209"/>
      <c r="N651" s="201"/>
    </row>
    <row r="652" spans="2:14" s="184" customFormat="1" x14ac:dyDescent="0.3">
      <c r="B652" s="212"/>
      <c r="F652" s="209"/>
      <c r="G652" s="209"/>
      <c r="H652" s="209"/>
      <c r="I652" s="209"/>
      <c r="J652" s="209"/>
      <c r="N652" s="201"/>
    </row>
    <row r="653" spans="2:14" s="184" customFormat="1" x14ac:dyDescent="0.3">
      <c r="B653" s="212"/>
      <c r="F653" s="209"/>
      <c r="G653" s="209"/>
      <c r="H653" s="209"/>
      <c r="I653" s="209"/>
      <c r="J653" s="209"/>
      <c r="N653" s="201"/>
    </row>
    <row r="654" spans="2:14" s="184" customFormat="1" x14ac:dyDescent="0.3">
      <c r="B654" s="212"/>
      <c r="F654" s="209"/>
      <c r="G654" s="209"/>
      <c r="H654" s="209"/>
      <c r="I654" s="209"/>
      <c r="J654" s="209"/>
      <c r="N654" s="201"/>
    </row>
    <row r="655" spans="2:14" s="184" customFormat="1" x14ac:dyDescent="0.3">
      <c r="B655" s="212"/>
      <c r="F655" s="209"/>
      <c r="G655" s="209"/>
      <c r="H655" s="209"/>
      <c r="I655" s="209"/>
      <c r="J655" s="209"/>
      <c r="N655" s="201"/>
    </row>
    <row r="656" spans="2:14" s="184" customFormat="1" x14ac:dyDescent="0.3">
      <c r="B656" s="212"/>
      <c r="F656" s="209"/>
      <c r="G656" s="209"/>
      <c r="H656" s="209"/>
      <c r="I656" s="209"/>
      <c r="J656" s="209"/>
      <c r="N656" s="201"/>
    </row>
    <row r="657" spans="2:14" s="184" customFormat="1" x14ac:dyDescent="0.3">
      <c r="B657" s="212"/>
      <c r="F657" s="209"/>
      <c r="G657" s="209"/>
      <c r="H657" s="209"/>
      <c r="I657" s="209"/>
      <c r="J657" s="209"/>
      <c r="N657" s="201"/>
    </row>
    <row r="658" spans="2:14" s="184" customFormat="1" x14ac:dyDescent="0.3">
      <c r="B658" s="212"/>
      <c r="F658" s="209"/>
      <c r="G658" s="209"/>
      <c r="H658" s="209"/>
      <c r="I658" s="209"/>
      <c r="J658" s="209"/>
      <c r="N658" s="201"/>
    </row>
    <row r="659" spans="2:14" s="184" customFormat="1" x14ac:dyDescent="0.3">
      <c r="B659" s="212"/>
      <c r="F659" s="209"/>
      <c r="G659" s="209"/>
      <c r="H659" s="209"/>
      <c r="I659" s="209"/>
      <c r="J659" s="209"/>
      <c r="N659" s="201"/>
    </row>
    <row r="660" spans="2:14" s="184" customFormat="1" x14ac:dyDescent="0.3">
      <c r="B660" s="212"/>
      <c r="F660" s="209"/>
      <c r="G660" s="209"/>
      <c r="H660" s="209"/>
      <c r="I660" s="209"/>
      <c r="J660" s="209"/>
      <c r="N660" s="201"/>
    </row>
    <row r="661" spans="2:14" s="184" customFormat="1" x14ac:dyDescent="0.3">
      <c r="B661" s="212"/>
      <c r="F661" s="209"/>
      <c r="G661" s="209"/>
      <c r="H661" s="209"/>
      <c r="I661" s="209"/>
      <c r="J661" s="209"/>
      <c r="N661" s="201"/>
    </row>
    <row r="662" spans="2:14" s="184" customFormat="1" x14ac:dyDescent="0.3">
      <c r="B662" s="212"/>
      <c r="F662" s="209"/>
      <c r="G662" s="209"/>
      <c r="H662" s="209"/>
      <c r="I662" s="209"/>
      <c r="J662" s="209"/>
      <c r="N662" s="201"/>
    </row>
    <row r="663" spans="2:14" s="184" customFormat="1" x14ac:dyDescent="0.3">
      <c r="B663" s="212"/>
      <c r="F663" s="209"/>
      <c r="G663" s="209"/>
      <c r="H663" s="209"/>
      <c r="I663" s="209"/>
      <c r="J663" s="209"/>
      <c r="N663" s="201"/>
    </row>
    <row r="664" spans="2:14" s="184" customFormat="1" x14ac:dyDescent="0.3">
      <c r="B664" s="212"/>
      <c r="F664" s="209"/>
      <c r="G664" s="209"/>
      <c r="H664" s="209"/>
      <c r="I664" s="209"/>
      <c r="J664" s="209"/>
      <c r="N664" s="201"/>
    </row>
    <row r="665" spans="2:14" s="184" customFormat="1" x14ac:dyDescent="0.3">
      <c r="B665" s="212"/>
      <c r="F665" s="209"/>
      <c r="G665" s="209"/>
      <c r="H665" s="209"/>
      <c r="I665" s="209"/>
      <c r="J665" s="209"/>
      <c r="N665" s="201"/>
    </row>
    <row r="666" spans="2:14" s="184" customFormat="1" x14ac:dyDescent="0.3">
      <c r="B666" s="212"/>
      <c r="F666" s="209"/>
      <c r="G666" s="209"/>
      <c r="H666" s="209"/>
      <c r="I666" s="209"/>
      <c r="J666" s="209"/>
      <c r="N666" s="201"/>
    </row>
    <row r="667" spans="2:14" s="184" customFormat="1" x14ac:dyDescent="0.3">
      <c r="B667" s="212"/>
      <c r="F667" s="209"/>
      <c r="G667" s="209"/>
      <c r="H667" s="209"/>
      <c r="I667" s="209"/>
      <c r="J667" s="209"/>
      <c r="N667" s="201"/>
    </row>
    <row r="668" spans="2:14" s="184" customFormat="1" x14ac:dyDescent="0.3">
      <c r="B668" s="212"/>
      <c r="F668" s="209"/>
      <c r="G668" s="209"/>
      <c r="H668" s="209"/>
      <c r="I668" s="209"/>
      <c r="J668" s="209"/>
      <c r="N668" s="201"/>
    </row>
    <row r="669" spans="2:14" s="184" customFormat="1" x14ac:dyDescent="0.3">
      <c r="B669" s="212"/>
      <c r="F669" s="209"/>
      <c r="G669" s="209"/>
      <c r="H669" s="209"/>
      <c r="I669" s="209"/>
      <c r="J669" s="209"/>
      <c r="N669" s="201"/>
    </row>
    <row r="670" spans="2:14" s="184" customFormat="1" x14ac:dyDescent="0.3">
      <c r="B670" s="212"/>
      <c r="F670" s="209"/>
      <c r="G670" s="209"/>
      <c r="H670" s="209"/>
      <c r="I670" s="209"/>
      <c r="J670" s="209"/>
      <c r="N670" s="201"/>
    </row>
    <row r="671" spans="2:14" s="184" customFormat="1" x14ac:dyDescent="0.3">
      <c r="B671" s="212"/>
      <c r="F671" s="209"/>
      <c r="G671" s="209"/>
      <c r="H671" s="209"/>
      <c r="I671" s="209"/>
      <c r="J671" s="209"/>
      <c r="N671" s="201"/>
    </row>
    <row r="672" spans="2:14" s="184" customFormat="1" x14ac:dyDescent="0.3">
      <c r="B672" s="212"/>
      <c r="F672" s="209"/>
      <c r="G672" s="209"/>
      <c r="H672" s="209"/>
      <c r="I672" s="209"/>
      <c r="J672" s="209"/>
      <c r="N672" s="201"/>
    </row>
    <row r="673" spans="2:14" s="184" customFormat="1" x14ac:dyDescent="0.3">
      <c r="B673" s="212"/>
      <c r="F673" s="209"/>
      <c r="G673" s="209"/>
      <c r="H673" s="209"/>
      <c r="I673" s="209"/>
      <c r="J673" s="209"/>
      <c r="N673" s="201"/>
    </row>
    <row r="674" spans="2:14" s="184" customFormat="1" x14ac:dyDescent="0.3">
      <c r="B674" s="212"/>
      <c r="F674" s="209"/>
      <c r="G674" s="209"/>
      <c r="H674" s="209"/>
      <c r="I674" s="209"/>
      <c r="J674" s="209"/>
      <c r="N674" s="201"/>
    </row>
    <row r="675" spans="2:14" s="184" customFormat="1" x14ac:dyDescent="0.3">
      <c r="B675" s="212"/>
      <c r="F675" s="209"/>
      <c r="G675" s="209"/>
      <c r="H675" s="209"/>
      <c r="I675" s="209"/>
      <c r="J675" s="209"/>
      <c r="N675" s="201"/>
    </row>
    <row r="676" spans="2:14" s="184" customFormat="1" x14ac:dyDescent="0.3">
      <c r="B676" s="212"/>
      <c r="F676" s="209"/>
      <c r="G676" s="209"/>
      <c r="H676" s="209"/>
      <c r="I676" s="209"/>
      <c r="J676" s="209"/>
      <c r="N676" s="201"/>
    </row>
    <row r="677" spans="2:14" s="184" customFormat="1" x14ac:dyDescent="0.3">
      <c r="B677" s="212"/>
      <c r="F677" s="209"/>
      <c r="G677" s="209"/>
      <c r="H677" s="209"/>
      <c r="I677" s="209"/>
      <c r="J677" s="209"/>
      <c r="N677" s="201"/>
    </row>
    <row r="678" spans="2:14" s="184" customFormat="1" x14ac:dyDescent="0.3">
      <c r="B678" s="212"/>
      <c r="F678" s="209"/>
      <c r="G678" s="209"/>
      <c r="H678" s="209"/>
      <c r="I678" s="209"/>
      <c r="J678" s="209"/>
      <c r="N678" s="201"/>
    </row>
    <row r="679" spans="2:14" s="184" customFormat="1" x14ac:dyDescent="0.3">
      <c r="B679" s="212"/>
      <c r="F679" s="209"/>
      <c r="G679" s="209"/>
      <c r="H679" s="209"/>
      <c r="I679" s="209"/>
      <c r="J679" s="209"/>
      <c r="N679" s="201"/>
    </row>
    <row r="680" spans="2:14" s="184" customFormat="1" x14ac:dyDescent="0.3">
      <c r="B680" s="212"/>
      <c r="F680" s="209"/>
      <c r="G680" s="209"/>
      <c r="H680" s="209"/>
      <c r="I680" s="209"/>
      <c r="J680" s="209"/>
      <c r="N680" s="201"/>
    </row>
    <row r="681" spans="2:14" s="184" customFormat="1" x14ac:dyDescent="0.3">
      <c r="B681" s="212"/>
      <c r="F681" s="209"/>
      <c r="G681" s="209"/>
      <c r="H681" s="209"/>
      <c r="I681" s="209"/>
      <c r="J681" s="209"/>
      <c r="N681" s="201"/>
    </row>
    <row r="682" spans="2:14" s="184" customFormat="1" x14ac:dyDescent="0.3">
      <c r="B682" s="212"/>
      <c r="F682" s="209"/>
      <c r="G682" s="209"/>
      <c r="H682" s="209"/>
      <c r="I682" s="209"/>
      <c r="J682" s="209"/>
      <c r="N682" s="201"/>
    </row>
    <row r="683" spans="2:14" s="184" customFormat="1" x14ac:dyDescent="0.3">
      <c r="B683" s="212"/>
      <c r="F683" s="209"/>
      <c r="G683" s="209"/>
      <c r="H683" s="209"/>
      <c r="I683" s="209"/>
      <c r="J683" s="209"/>
      <c r="N683" s="201"/>
    </row>
    <row r="684" spans="2:14" s="184" customFormat="1" x14ac:dyDescent="0.3">
      <c r="B684" s="212"/>
      <c r="F684" s="209"/>
      <c r="G684" s="209"/>
      <c r="H684" s="209"/>
      <c r="I684" s="209"/>
      <c r="J684" s="209"/>
      <c r="N684" s="201"/>
    </row>
    <row r="685" spans="2:14" s="184" customFormat="1" x14ac:dyDescent="0.3">
      <c r="B685" s="212"/>
      <c r="F685" s="209"/>
      <c r="G685" s="209"/>
      <c r="H685" s="209"/>
      <c r="I685" s="209"/>
      <c r="J685" s="209"/>
      <c r="N685" s="201"/>
    </row>
    <row r="686" spans="2:14" s="184" customFormat="1" x14ac:dyDescent="0.3">
      <c r="B686" s="212"/>
      <c r="F686" s="209"/>
      <c r="G686" s="209"/>
      <c r="H686" s="209"/>
      <c r="I686" s="209"/>
      <c r="J686" s="209"/>
      <c r="N686" s="201"/>
    </row>
    <row r="687" spans="2:14" s="184" customFormat="1" x14ac:dyDescent="0.3">
      <c r="B687" s="212"/>
      <c r="F687" s="209"/>
      <c r="G687" s="209"/>
      <c r="H687" s="209"/>
      <c r="I687" s="209"/>
      <c r="J687" s="209"/>
      <c r="N687" s="201"/>
    </row>
    <row r="688" spans="2:14" s="184" customFormat="1" x14ac:dyDescent="0.3">
      <c r="B688" s="212"/>
      <c r="F688" s="209"/>
      <c r="G688" s="209"/>
      <c r="H688" s="209"/>
      <c r="I688" s="209"/>
      <c r="J688" s="209"/>
      <c r="N688" s="201"/>
    </row>
    <row r="689" spans="2:14" s="184" customFormat="1" x14ac:dyDescent="0.3">
      <c r="B689" s="212"/>
      <c r="F689" s="209"/>
      <c r="G689" s="209"/>
      <c r="H689" s="209"/>
      <c r="I689" s="209"/>
      <c r="J689" s="209"/>
      <c r="N689" s="201"/>
    </row>
    <row r="690" spans="2:14" s="184" customFormat="1" x14ac:dyDescent="0.3">
      <c r="B690" s="212"/>
      <c r="F690" s="209"/>
      <c r="G690" s="209"/>
      <c r="H690" s="209"/>
      <c r="I690" s="209"/>
      <c r="J690" s="209"/>
      <c r="N690" s="201"/>
    </row>
    <row r="691" spans="2:14" s="184" customFormat="1" x14ac:dyDescent="0.3">
      <c r="B691" s="212"/>
      <c r="F691" s="209"/>
      <c r="G691" s="209"/>
      <c r="H691" s="209"/>
      <c r="I691" s="209"/>
      <c r="J691" s="209"/>
      <c r="N691" s="201"/>
    </row>
    <row r="692" spans="2:14" s="184" customFormat="1" x14ac:dyDescent="0.3">
      <c r="B692" s="212"/>
      <c r="F692" s="209"/>
      <c r="G692" s="209"/>
      <c r="H692" s="209"/>
      <c r="I692" s="209"/>
      <c r="J692" s="209"/>
      <c r="N692" s="201"/>
    </row>
    <row r="693" spans="2:14" s="184" customFormat="1" x14ac:dyDescent="0.3">
      <c r="B693" s="212"/>
      <c r="F693" s="209"/>
      <c r="G693" s="209"/>
      <c r="H693" s="209"/>
      <c r="I693" s="209"/>
      <c r="J693" s="209"/>
      <c r="N693" s="201"/>
    </row>
    <row r="694" spans="2:14" s="184" customFormat="1" x14ac:dyDescent="0.3">
      <c r="B694" s="212"/>
      <c r="F694" s="209"/>
      <c r="G694" s="209"/>
      <c r="H694" s="209"/>
      <c r="I694" s="209"/>
      <c r="J694" s="209"/>
      <c r="N694" s="201"/>
    </row>
    <row r="695" spans="2:14" s="184" customFormat="1" x14ac:dyDescent="0.3">
      <c r="B695" s="212"/>
      <c r="F695" s="209"/>
      <c r="G695" s="209"/>
      <c r="H695" s="209"/>
      <c r="I695" s="209"/>
      <c r="J695" s="209"/>
      <c r="N695" s="201"/>
    </row>
    <row r="696" spans="2:14" s="184" customFormat="1" x14ac:dyDescent="0.3">
      <c r="B696" s="212"/>
      <c r="F696" s="209"/>
      <c r="G696" s="209"/>
      <c r="H696" s="209"/>
      <c r="I696" s="209"/>
      <c r="J696" s="209"/>
      <c r="N696" s="201"/>
    </row>
    <row r="697" spans="2:14" s="184" customFormat="1" x14ac:dyDescent="0.3">
      <c r="B697" s="212"/>
      <c r="F697" s="209"/>
      <c r="G697" s="209"/>
      <c r="H697" s="209"/>
      <c r="I697" s="209"/>
      <c r="J697" s="209"/>
      <c r="N697" s="201"/>
    </row>
    <row r="698" spans="2:14" s="184" customFormat="1" x14ac:dyDescent="0.3">
      <c r="B698" s="212"/>
      <c r="F698" s="209"/>
      <c r="G698" s="209"/>
      <c r="H698" s="209"/>
      <c r="I698" s="209"/>
      <c r="J698" s="209"/>
      <c r="N698" s="201"/>
    </row>
    <row r="699" spans="2:14" s="184" customFormat="1" x14ac:dyDescent="0.3">
      <c r="B699" s="212"/>
      <c r="F699" s="209"/>
      <c r="G699" s="209"/>
      <c r="H699" s="209"/>
      <c r="I699" s="209"/>
      <c r="J699" s="209"/>
      <c r="N699" s="201"/>
    </row>
    <row r="700" spans="2:14" s="184" customFormat="1" x14ac:dyDescent="0.3">
      <c r="B700" s="212"/>
      <c r="F700" s="209"/>
      <c r="G700" s="209"/>
      <c r="H700" s="209"/>
      <c r="I700" s="209"/>
      <c r="J700" s="209"/>
      <c r="N700" s="201"/>
    </row>
    <row r="701" spans="2:14" s="184" customFormat="1" x14ac:dyDescent="0.3">
      <c r="B701" s="212"/>
      <c r="F701" s="209"/>
      <c r="G701" s="209"/>
      <c r="H701" s="209"/>
      <c r="I701" s="209"/>
      <c r="J701" s="209"/>
      <c r="N701" s="201"/>
    </row>
    <row r="702" spans="2:14" s="184" customFormat="1" x14ac:dyDescent="0.3">
      <c r="B702" s="212"/>
      <c r="F702" s="209"/>
      <c r="G702" s="209"/>
      <c r="H702" s="209"/>
      <c r="I702" s="209"/>
      <c r="J702" s="209"/>
      <c r="N702" s="201"/>
    </row>
    <row r="703" spans="2:14" s="184" customFormat="1" x14ac:dyDescent="0.3">
      <c r="B703" s="212"/>
      <c r="F703" s="209"/>
      <c r="G703" s="209"/>
      <c r="H703" s="209"/>
      <c r="I703" s="209"/>
      <c r="J703" s="209"/>
      <c r="N703" s="201"/>
    </row>
    <row r="704" spans="2:14" s="184" customFormat="1" x14ac:dyDescent="0.3">
      <c r="B704" s="212"/>
      <c r="F704" s="209"/>
      <c r="G704" s="209"/>
      <c r="H704" s="209"/>
      <c r="I704" s="209"/>
      <c r="J704" s="209"/>
      <c r="N704" s="201"/>
    </row>
    <row r="705" spans="2:14" s="184" customFormat="1" x14ac:dyDescent="0.3">
      <c r="B705" s="212"/>
      <c r="F705" s="209"/>
      <c r="G705" s="209"/>
      <c r="H705" s="209"/>
      <c r="I705" s="209"/>
      <c r="J705" s="209"/>
      <c r="N705" s="201"/>
    </row>
    <row r="706" spans="2:14" s="184" customFormat="1" x14ac:dyDescent="0.3">
      <c r="B706" s="212"/>
      <c r="F706" s="209"/>
      <c r="G706" s="209"/>
      <c r="H706" s="209"/>
      <c r="I706" s="209"/>
      <c r="J706" s="209"/>
      <c r="N706" s="201"/>
    </row>
    <row r="707" spans="2:14" s="184" customFormat="1" x14ac:dyDescent="0.3">
      <c r="B707" s="212"/>
      <c r="F707" s="209"/>
      <c r="G707" s="209"/>
      <c r="H707" s="209"/>
      <c r="I707" s="209"/>
      <c r="J707" s="209"/>
      <c r="N707" s="201"/>
    </row>
    <row r="708" spans="2:14" s="184" customFormat="1" x14ac:dyDescent="0.3">
      <c r="B708" s="212"/>
      <c r="F708" s="209"/>
      <c r="G708" s="209"/>
      <c r="H708" s="209"/>
      <c r="I708" s="209"/>
      <c r="J708" s="209"/>
      <c r="N708" s="201"/>
    </row>
    <row r="709" spans="2:14" s="184" customFormat="1" x14ac:dyDescent="0.3">
      <c r="B709" s="212"/>
      <c r="F709" s="209"/>
      <c r="G709" s="209"/>
      <c r="H709" s="209"/>
      <c r="I709" s="209"/>
      <c r="J709" s="209"/>
      <c r="N709" s="201"/>
    </row>
    <row r="710" spans="2:14" s="184" customFormat="1" x14ac:dyDescent="0.3">
      <c r="B710" s="212"/>
      <c r="F710" s="209"/>
      <c r="G710" s="209"/>
      <c r="H710" s="209"/>
      <c r="I710" s="209"/>
      <c r="J710" s="209"/>
      <c r="N710" s="201"/>
    </row>
    <row r="711" spans="2:14" s="184" customFormat="1" x14ac:dyDescent="0.3">
      <c r="B711" s="212"/>
      <c r="F711" s="209"/>
      <c r="G711" s="209"/>
      <c r="H711" s="209"/>
      <c r="I711" s="209"/>
      <c r="J711" s="209"/>
      <c r="N711" s="201"/>
    </row>
    <row r="712" spans="2:14" s="184" customFormat="1" x14ac:dyDescent="0.3">
      <c r="B712" s="212"/>
      <c r="F712" s="209"/>
      <c r="G712" s="209"/>
      <c r="H712" s="209"/>
      <c r="I712" s="209"/>
      <c r="J712" s="209"/>
      <c r="N712" s="201"/>
    </row>
    <row r="713" spans="2:14" s="184" customFormat="1" x14ac:dyDescent="0.3">
      <c r="B713" s="212"/>
      <c r="F713" s="209"/>
      <c r="G713" s="209"/>
      <c r="H713" s="209"/>
      <c r="I713" s="209"/>
      <c r="J713" s="209"/>
      <c r="N713" s="201"/>
    </row>
    <row r="714" spans="2:14" s="184" customFormat="1" x14ac:dyDescent="0.3">
      <c r="B714" s="212"/>
      <c r="F714" s="209"/>
      <c r="G714" s="209"/>
      <c r="H714" s="209"/>
      <c r="I714" s="209"/>
      <c r="J714" s="209"/>
      <c r="N714" s="201"/>
    </row>
    <row r="715" spans="2:14" s="184" customFormat="1" x14ac:dyDescent="0.3">
      <c r="B715" s="212"/>
      <c r="F715" s="209"/>
      <c r="G715" s="209"/>
      <c r="H715" s="209"/>
      <c r="I715" s="209"/>
      <c r="J715" s="209"/>
      <c r="N715" s="201"/>
    </row>
    <row r="716" spans="2:14" s="184" customFormat="1" x14ac:dyDescent="0.3">
      <c r="B716" s="212"/>
      <c r="F716" s="209"/>
      <c r="G716" s="209"/>
      <c r="H716" s="209"/>
      <c r="I716" s="209"/>
      <c r="J716" s="209"/>
      <c r="N716" s="201"/>
    </row>
    <row r="717" spans="2:14" s="184" customFormat="1" x14ac:dyDescent="0.3">
      <c r="B717" s="212"/>
      <c r="F717" s="209"/>
      <c r="G717" s="209"/>
      <c r="H717" s="209"/>
      <c r="I717" s="209"/>
      <c r="J717" s="209"/>
      <c r="N717" s="201"/>
    </row>
    <row r="718" spans="2:14" s="184" customFormat="1" x14ac:dyDescent="0.3">
      <c r="B718" s="212"/>
      <c r="F718" s="209"/>
      <c r="G718" s="209"/>
      <c r="H718" s="209"/>
      <c r="I718" s="209"/>
      <c r="J718" s="209"/>
      <c r="N718" s="201"/>
    </row>
    <row r="719" spans="2:14" s="184" customFormat="1" x14ac:dyDescent="0.3">
      <c r="B719" s="212"/>
      <c r="F719" s="209"/>
      <c r="G719" s="209"/>
      <c r="H719" s="209"/>
      <c r="I719" s="209"/>
      <c r="J719" s="209"/>
      <c r="N719" s="201"/>
    </row>
    <row r="720" spans="2:14" s="184" customFormat="1" x14ac:dyDescent="0.3">
      <c r="B720" s="212"/>
      <c r="F720" s="209"/>
      <c r="G720" s="209"/>
      <c r="H720" s="209"/>
      <c r="I720" s="209"/>
      <c r="J720" s="209"/>
      <c r="N720" s="201"/>
    </row>
    <row r="721" spans="2:14" s="184" customFormat="1" x14ac:dyDescent="0.3">
      <c r="B721" s="212"/>
      <c r="F721" s="209"/>
      <c r="G721" s="209"/>
      <c r="H721" s="209"/>
      <c r="I721" s="209"/>
      <c r="J721" s="209"/>
      <c r="N721" s="201"/>
    </row>
    <row r="722" spans="2:14" s="184" customFormat="1" x14ac:dyDescent="0.3">
      <c r="B722" s="212"/>
      <c r="F722" s="209"/>
      <c r="G722" s="209"/>
      <c r="H722" s="209"/>
      <c r="I722" s="209"/>
      <c r="J722" s="209"/>
      <c r="N722" s="201"/>
    </row>
    <row r="723" spans="2:14" s="184" customFormat="1" x14ac:dyDescent="0.3">
      <c r="B723" s="212"/>
      <c r="F723" s="209"/>
      <c r="G723" s="209"/>
      <c r="H723" s="209"/>
      <c r="I723" s="209"/>
      <c r="J723" s="209"/>
      <c r="N723" s="201"/>
    </row>
    <row r="724" spans="2:14" s="184" customFormat="1" x14ac:dyDescent="0.3">
      <c r="B724" s="212"/>
      <c r="F724" s="209"/>
      <c r="G724" s="209"/>
      <c r="H724" s="209"/>
      <c r="I724" s="209"/>
      <c r="J724" s="209"/>
      <c r="N724" s="201"/>
    </row>
    <row r="725" spans="2:14" s="184" customFormat="1" x14ac:dyDescent="0.3">
      <c r="B725" s="212"/>
      <c r="F725" s="209"/>
      <c r="G725" s="209"/>
      <c r="H725" s="209"/>
      <c r="I725" s="209"/>
      <c r="J725" s="209"/>
      <c r="N725" s="201"/>
    </row>
    <row r="726" spans="2:14" s="184" customFormat="1" x14ac:dyDescent="0.3">
      <c r="B726" s="212"/>
      <c r="F726" s="209"/>
      <c r="G726" s="209"/>
      <c r="H726" s="209"/>
      <c r="I726" s="209"/>
      <c r="J726" s="209"/>
      <c r="N726" s="201"/>
    </row>
    <row r="727" spans="2:14" s="184" customFormat="1" x14ac:dyDescent="0.3">
      <c r="B727" s="212"/>
      <c r="F727" s="209"/>
      <c r="G727" s="209"/>
      <c r="H727" s="209"/>
      <c r="I727" s="209"/>
      <c r="J727" s="209"/>
      <c r="N727" s="201"/>
    </row>
    <row r="728" spans="2:14" s="184" customFormat="1" x14ac:dyDescent="0.3">
      <c r="B728" s="212"/>
      <c r="F728" s="209"/>
      <c r="G728" s="209"/>
      <c r="H728" s="209"/>
      <c r="I728" s="209"/>
      <c r="J728" s="209"/>
      <c r="N728" s="201"/>
    </row>
    <row r="729" spans="2:14" s="184" customFormat="1" x14ac:dyDescent="0.3">
      <c r="B729" s="212"/>
      <c r="F729" s="209"/>
      <c r="G729" s="209"/>
      <c r="H729" s="209"/>
      <c r="I729" s="209"/>
      <c r="J729" s="209"/>
      <c r="N729" s="201"/>
    </row>
    <row r="730" spans="2:14" s="184" customFormat="1" x14ac:dyDescent="0.3">
      <c r="B730" s="212"/>
      <c r="F730" s="209"/>
      <c r="G730" s="209"/>
      <c r="H730" s="209"/>
      <c r="I730" s="209"/>
      <c r="J730" s="209"/>
      <c r="N730" s="201"/>
    </row>
    <row r="731" spans="2:14" s="184" customFormat="1" x14ac:dyDescent="0.3">
      <c r="B731" s="212"/>
      <c r="F731" s="209"/>
      <c r="G731" s="209"/>
      <c r="H731" s="209"/>
      <c r="I731" s="209"/>
      <c r="J731" s="209"/>
      <c r="N731" s="201"/>
    </row>
    <row r="732" spans="2:14" s="184" customFormat="1" x14ac:dyDescent="0.3">
      <c r="B732" s="212"/>
      <c r="F732" s="209"/>
      <c r="G732" s="209"/>
      <c r="H732" s="209"/>
      <c r="I732" s="209"/>
      <c r="J732" s="209"/>
      <c r="N732" s="201"/>
    </row>
    <row r="733" spans="2:14" s="184" customFormat="1" x14ac:dyDescent="0.3">
      <c r="B733" s="212"/>
      <c r="F733" s="209"/>
      <c r="G733" s="209"/>
      <c r="H733" s="209"/>
      <c r="I733" s="209"/>
      <c r="J733" s="209"/>
      <c r="N733" s="201"/>
    </row>
    <row r="734" spans="2:14" s="184" customFormat="1" x14ac:dyDescent="0.3">
      <c r="B734" s="212"/>
      <c r="F734" s="209"/>
      <c r="G734" s="209"/>
      <c r="H734" s="209"/>
      <c r="I734" s="209"/>
      <c r="J734" s="209"/>
      <c r="N734" s="201"/>
    </row>
    <row r="735" spans="2:14" s="184" customFormat="1" x14ac:dyDescent="0.3">
      <c r="B735" s="212"/>
      <c r="F735" s="209"/>
      <c r="G735" s="209"/>
      <c r="H735" s="209"/>
      <c r="I735" s="209"/>
      <c r="J735" s="209"/>
      <c r="N735" s="201"/>
    </row>
    <row r="736" spans="2:14" s="184" customFormat="1" x14ac:dyDescent="0.3">
      <c r="B736" s="212"/>
      <c r="F736" s="209"/>
      <c r="G736" s="209"/>
      <c r="H736" s="209"/>
      <c r="I736" s="209"/>
      <c r="J736" s="209"/>
      <c r="N736" s="201"/>
    </row>
    <row r="737" spans="2:14" s="184" customFormat="1" x14ac:dyDescent="0.3">
      <c r="B737" s="212"/>
      <c r="F737" s="209"/>
      <c r="G737" s="209"/>
      <c r="H737" s="209"/>
      <c r="I737" s="209"/>
      <c r="J737" s="209"/>
      <c r="N737" s="201"/>
    </row>
    <row r="738" spans="2:14" s="184" customFormat="1" x14ac:dyDescent="0.3">
      <c r="B738" s="212"/>
      <c r="F738" s="209"/>
      <c r="G738" s="209"/>
      <c r="H738" s="209"/>
      <c r="I738" s="209"/>
      <c r="J738" s="209"/>
      <c r="N738" s="201"/>
    </row>
    <row r="739" spans="2:14" s="184" customFormat="1" x14ac:dyDescent="0.3">
      <c r="B739" s="212"/>
      <c r="F739" s="209"/>
      <c r="G739" s="209"/>
      <c r="H739" s="209"/>
      <c r="I739" s="209"/>
      <c r="J739" s="209"/>
      <c r="N739" s="201"/>
    </row>
    <row r="740" spans="2:14" s="184" customFormat="1" x14ac:dyDescent="0.3">
      <c r="B740" s="212"/>
      <c r="F740" s="209"/>
      <c r="G740" s="209"/>
      <c r="H740" s="209"/>
      <c r="I740" s="209"/>
      <c r="J740" s="209"/>
      <c r="N740" s="201"/>
    </row>
    <row r="741" spans="2:14" s="184" customFormat="1" x14ac:dyDescent="0.3">
      <c r="B741" s="212"/>
      <c r="F741" s="209"/>
      <c r="G741" s="209"/>
      <c r="H741" s="209"/>
      <c r="I741" s="209"/>
      <c r="J741" s="209"/>
      <c r="N741" s="201"/>
    </row>
    <row r="742" spans="2:14" s="184" customFormat="1" x14ac:dyDescent="0.3">
      <c r="B742" s="212"/>
      <c r="F742" s="209"/>
      <c r="G742" s="209"/>
      <c r="H742" s="209"/>
      <c r="I742" s="209"/>
      <c r="J742" s="209"/>
      <c r="N742" s="201"/>
    </row>
    <row r="743" spans="2:14" s="184" customFormat="1" x14ac:dyDescent="0.3">
      <c r="B743" s="212"/>
      <c r="F743" s="209"/>
      <c r="G743" s="209"/>
      <c r="H743" s="209"/>
      <c r="I743" s="209"/>
      <c r="J743" s="209"/>
      <c r="N743" s="201"/>
    </row>
    <row r="744" spans="2:14" s="184" customFormat="1" x14ac:dyDescent="0.3">
      <c r="B744" s="212"/>
      <c r="F744" s="209"/>
      <c r="G744" s="209"/>
      <c r="H744" s="209"/>
      <c r="I744" s="209"/>
      <c r="J744" s="209"/>
      <c r="N744" s="201"/>
    </row>
    <row r="745" spans="2:14" s="184" customFormat="1" x14ac:dyDescent="0.3">
      <c r="B745" s="212"/>
      <c r="F745" s="209"/>
      <c r="G745" s="209"/>
      <c r="H745" s="209"/>
      <c r="I745" s="209"/>
      <c r="J745" s="209"/>
      <c r="N745" s="201"/>
    </row>
    <row r="746" spans="2:14" s="184" customFormat="1" x14ac:dyDescent="0.3">
      <c r="B746" s="212"/>
      <c r="F746" s="209"/>
      <c r="G746" s="209"/>
      <c r="H746" s="209"/>
      <c r="I746" s="209"/>
      <c r="J746" s="209"/>
      <c r="N746" s="201"/>
    </row>
    <row r="747" spans="2:14" s="184" customFormat="1" x14ac:dyDescent="0.3">
      <c r="B747" s="212"/>
      <c r="F747" s="209"/>
      <c r="G747" s="209"/>
      <c r="H747" s="209"/>
      <c r="I747" s="209"/>
      <c r="J747" s="209"/>
      <c r="N747" s="201"/>
    </row>
    <row r="748" spans="2:14" s="184" customFormat="1" x14ac:dyDescent="0.3">
      <c r="B748" s="212"/>
      <c r="F748" s="209"/>
      <c r="G748" s="209"/>
      <c r="H748" s="209"/>
      <c r="I748" s="209"/>
      <c r="J748" s="209"/>
      <c r="N748" s="201"/>
    </row>
    <row r="749" spans="2:14" s="184" customFormat="1" x14ac:dyDescent="0.3">
      <c r="B749" s="212"/>
      <c r="F749" s="209"/>
      <c r="G749" s="209"/>
      <c r="H749" s="209"/>
      <c r="I749" s="209"/>
      <c r="J749" s="209"/>
      <c r="N749" s="201"/>
    </row>
    <row r="750" spans="2:14" s="184" customFormat="1" x14ac:dyDescent="0.3">
      <c r="B750" s="212"/>
      <c r="F750" s="209"/>
      <c r="G750" s="209"/>
      <c r="H750" s="209"/>
      <c r="I750" s="209"/>
      <c r="J750" s="209"/>
      <c r="N750" s="201"/>
    </row>
    <row r="751" spans="2:14" s="184" customFormat="1" x14ac:dyDescent="0.3">
      <c r="B751" s="212"/>
      <c r="F751" s="209"/>
      <c r="G751" s="209"/>
      <c r="H751" s="209"/>
      <c r="I751" s="209"/>
      <c r="J751" s="209"/>
      <c r="N751" s="201"/>
    </row>
    <row r="752" spans="2:14" s="184" customFormat="1" x14ac:dyDescent="0.3">
      <c r="B752" s="212"/>
      <c r="F752" s="209"/>
      <c r="G752" s="209"/>
      <c r="H752" s="209"/>
      <c r="I752" s="209"/>
      <c r="J752" s="209"/>
      <c r="N752" s="201"/>
    </row>
    <row r="753" spans="2:14" s="184" customFormat="1" x14ac:dyDescent="0.3">
      <c r="B753" s="212"/>
      <c r="F753" s="209"/>
      <c r="G753" s="209"/>
      <c r="H753" s="209"/>
      <c r="I753" s="209"/>
      <c r="J753" s="209"/>
      <c r="N753" s="201"/>
    </row>
    <row r="754" spans="2:14" s="184" customFormat="1" x14ac:dyDescent="0.3">
      <c r="B754" s="212"/>
      <c r="F754" s="209"/>
      <c r="G754" s="209"/>
      <c r="H754" s="209"/>
      <c r="I754" s="209"/>
      <c r="J754" s="209"/>
      <c r="N754" s="201"/>
    </row>
    <row r="755" spans="2:14" s="184" customFormat="1" x14ac:dyDescent="0.3">
      <c r="B755" s="212"/>
      <c r="F755" s="209"/>
      <c r="G755" s="209"/>
      <c r="H755" s="209"/>
      <c r="I755" s="209"/>
      <c r="J755" s="209"/>
      <c r="N755" s="201"/>
    </row>
    <row r="756" spans="2:14" s="184" customFormat="1" x14ac:dyDescent="0.3">
      <c r="B756" s="212"/>
      <c r="F756" s="209"/>
      <c r="G756" s="209"/>
      <c r="H756" s="209"/>
      <c r="I756" s="209"/>
      <c r="J756" s="209"/>
      <c r="N756" s="201"/>
    </row>
    <row r="757" spans="2:14" s="184" customFormat="1" x14ac:dyDescent="0.3">
      <c r="B757" s="212"/>
      <c r="F757" s="209"/>
      <c r="G757" s="209"/>
      <c r="H757" s="209"/>
      <c r="I757" s="209"/>
      <c r="J757" s="209"/>
      <c r="N757" s="201"/>
    </row>
    <row r="758" spans="2:14" s="184" customFormat="1" x14ac:dyDescent="0.3">
      <c r="B758" s="212"/>
      <c r="F758" s="209"/>
      <c r="G758" s="209"/>
      <c r="H758" s="209"/>
      <c r="I758" s="209"/>
      <c r="J758" s="209"/>
      <c r="N758" s="201"/>
    </row>
    <row r="759" spans="2:14" s="184" customFormat="1" x14ac:dyDescent="0.3">
      <c r="B759" s="212"/>
      <c r="F759" s="209"/>
      <c r="G759" s="209"/>
      <c r="H759" s="209"/>
      <c r="I759" s="209"/>
      <c r="J759" s="209"/>
      <c r="N759" s="201"/>
    </row>
    <row r="760" spans="2:14" s="184" customFormat="1" x14ac:dyDescent="0.3">
      <c r="B760" s="212"/>
      <c r="F760" s="209"/>
      <c r="G760" s="209"/>
      <c r="H760" s="209"/>
      <c r="I760" s="209"/>
      <c r="J760" s="209"/>
      <c r="N760" s="201"/>
    </row>
    <row r="761" spans="2:14" s="184" customFormat="1" x14ac:dyDescent="0.3">
      <c r="B761" s="212"/>
      <c r="F761" s="209"/>
      <c r="G761" s="209"/>
      <c r="H761" s="209"/>
      <c r="I761" s="209"/>
      <c r="J761" s="209"/>
      <c r="N761" s="201"/>
    </row>
    <row r="762" spans="2:14" s="184" customFormat="1" x14ac:dyDescent="0.3">
      <c r="B762" s="212"/>
      <c r="F762" s="209"/>
      <c r="G762" s="209"/>
      <c r="H762" s="209"/>
      <c r="I762" s="209"/>
      <c r="J762" s="209"/>
      <c r="N762" s="201"/>
    </row>
    <row r="763" spans="2:14" s="184" customFormat="1" x14ac:dyDescent="0.3">
      <c r="B763" s="212"/>
      <c r="F763" s="209"/>
      <c r="G763" s="209"/>
      <c r="H763" s="209"/>
      <c r="I763" s="209"/>
      <c r="J763" s="209"/>
      <c r="N763" s="201"/>
    </row>
    <row r="764" spans="2:14" s="184" customFormat="1" x14ac:dyDescent="0.3">
      <c r="B764" s="212"/>
      <c r="F764" s="209"/>
      <c r="G764" s="209"/>
      <c r="H764" s="209"/>
      <c r="I764" s="209"/>
      <c r="J764" s="209"/>
      <c r="N764" s="201"/>
    </row>
    <row r="765" spans="2:14" s="184" customFormat="1" x14ac:dyDescent="0.3">
      <c r="B765" s="212"/>
      <c r="F765" s="209"/>
      <c r="G765" s="209"/>
      <c r="H765" s="209"/>
      <c r="I765" s="209"/>
      <c r="J765" s="209"/>
      <c r="N765" s="201"/>
    </row>
    <row r="766" spans="2:14" s="184" customFormat="1" x14ac:dyDescent="0.3">
      <c r="B766" s="212"/>
      <c r="F766" s="209"/>
      <c r="G766" s="209"/>
      <c r="H766" s="209"/>
      <c r="I766" s="209"/>
      <c r="J766" s="209"/>
      <c r="N766" s="201"/>
    </row>
    <row r="767" spans="2:14" s="184" customFormat="1" x14ac:dyDescent="0.3">
      <c r="B767" s="212"/>
      <c r="F767" s="209"/>
      <c r="G767" s="209"/>
      <c r="H767" s="209"/>
      <c r="I767" s="209"/>
      <c r="J767" s="209"/>
      <c r="N767" s="201"/>
    </row>
    <row r="768" spans="2:14" s="184" customFormat="1" x14ac:dyDescent="0.3">
      <c r="B768" s="212"/>
      <c r="F768" s="209"/>
      <c r="G768" s="209"/>
      <c r="H768" s="209"/>
      <c r="I768" s="209"/>
      <c r="J768" s="209"/>
      <c r="N768" s="201"/>
    </row>
    <row r="769" spans="2:14" s="184" customFormat="1" x14ac:dyDescent="0.3">
      <c r="B769" s="212"/>
      <c r="F769" s="209"/>
      <c r="G769" s="209"/>
      <c r="H769" s="209"/>
      <c r="I769" s="209"/>
      <c r="J769" s="209"/>
      <c r="N769" s="201"/>
    </row>
    <row r="770" spans="2:14" s="184" customFormat="1" x14ac:dyDescent="0.3">
      <c r="B770" s="212"/>
      <c r="F770" s="209"/>
      <c r="G770" s="209"/>
      <c r="H770" s="209"/>
      <c r="I770" s="209"/>
      <c r="J770" s="209"/>
      <c r="N770" s="201"/>
    </row>
    <row r="771" spans="2:14" s="184" customFormat="1" x14ac:dyDescent="0.3">
      <c r="B771" s="212"/>
      <c r="F771" s="209"/>
      <c r="G771" s="209"/>
      <c r="H771" s="209"/>
      <c r="I771" s="209"/>
      <c r="J771" s="209"/>
      <c r="N771" s="201"/>
    </row>
    <row r="772" spans="2:14" s="184" customFormat="1" x14ac:dyDescent="0.3">
      <c r="B772" s="212"/>
      <c r="F772" s="209"/>
      <c r="G772" s="209"/>
      <c r="H772" s="209"/>
      <c r="I772" s="209"/>
      <c r="J772" s="209"/>
      <c r="N772" s="201"/>
    </row>
    <row r="773" spans="2:14" s="184" customFormat="1" x14ac:dyDescent="0.3">
      <c r="B773" s="212"/>
      <c r="F773" s="209"/>
      <c r="G773" s="209"/>
      <c r="H773" s="209"/>
      <c r="I773" s="209"/>
      <c r="J773" s="209"/>
      <c r="N773" s="201"/>
    </row>
    <row r="774" spans="2:14" s="184" customFormat="1" x14ac:dyDescent="0.3">
      <c r="B774" s="212"/>
      <c r="F774" s="209"/>
      <c r="G774" s="209"/>
      <c r="H774" s="209"/>
      <c r="I774" s="209"/>
      <c r="J774" s="209"/>
      <c r="N774" s="201"/>
    </row>
    <row r="775" spans="2:14" s="184" customFormat="1" x14ac:dyDescent="0.3">
      <c r="B775" s="212"/>
      <c r="F775" s="209"/>
      <c r="G775" s="209"/>
      <c r="H775" s="209"/>
      <c r="I775" s="209"/>
      <c r="J775" s="209"/>
      <c r="N775" s="201"/>
    </row>
    <row r="776" spans="2:14" s="184" customFormat="1" x14ac:dyDescent="0.3">
      <c r="B776" s="212"/>
      <c r="F776" s="209"/>
      <c r="G776" s="209"/>
      <c r="H776" s="209"/>
      <c r="I776" s="209"/>
      <c r="J776" s="209"/>
      <c r="N776" s="201"/>
    </row>
    <row r="777" spans="2:14" s="184" customFormat="1" x14ac:dyDescent="0.3">
      <c r="B777" s="212"/>
      <c r="F777" s="209"/>
      <c r="G777" s="209"/>
      <c r="H777" s="209"/>
      <c r="I777" s="209"/>
      <c r="J777" s="209"/>
      <c r="N777" s="201"/>
    </row>
    <row r="778" spans="2:14" s="184" customFormat="1" x14ac:dyDescent="0.3">
      <c r="B778" s="212"/>
      <c r="F778" s="209"/>
      <c r="G778" s="209"/>
      <c r="H778" s="209"/>
      <c r="I778" s="209"/>
      <c r="J778" s="209"/>
      <c r="N778" s="201"/>
    </row>
    <row r="779" spans="2:14" s="184" customFormat="1" x14ac:dyDescent="0.3">
      <c r="B779" s="212"/>
      <c r="F779" s="209"/>
      <c r="G779" s="209"/>
      <c r="H779" s="209"/>
      <c r="I779" s="209"/>
      <c r="J779" s="209"/>
      <c r="N779" s="201"/>
    </row>
    <row r="780" spans="2:14" s="184" customFormat="1" x14ac:dyDescent="0.3">
      <c r="B780" s="212"/>
      <c r="F780" s="209"/>
      <c r="G780" s="209"/>
      <c r="H780" s="209"/>
      <c r="I780" s="209"/>
      <c r="J780" s="209"/>
      <c r="N780" s="201"/>
    </row>
    <row r="781" spans="2:14" s="184" customFormat="1" x14ac:dyDescent="0.3">
      <c r="B781" s="212"/>
      <c r="F781" s="209"/>
      <c r="G781" s="209"/>
      <c r="H781" s="209"/>
      <c r="I781" s="209"/>
      <c r="J781" s="209"/>
      <c r="N781" s="201"/>
    </row>
    <row r="782" spans="2:14" s="184" customFormat="1" x14ac:dyDescent="0.3">
      <c r="B782" s="212"/>
      <c r="F782" s="209"/>
      <c r="G782" s="209"/>
      <c r="H782" s="209"/>
      <c r="I782" s="209"/>
      <c r="J782" s="209"/>
      <c r="N782" s="201"/>
    </row>
    <row r="783" spans="2:14" s="184" customFormat="1" x14ac:dyDescent="0.3">
      <c r="B783" s="212"/>
      <c r="F783" s="209"/>
      <c r="G783" s="209"/>
      <c r="H783" s="209"/>
      <c r="I783" s="209"/>
      <c r="J783" s="209"/>
      <c r="N783" s="201"/>
    </row>
    <row r="784" spans="2:14" s="184" customFormat="1" x14ac:dyDescent="0.3">
      <c r="B784" s="212"/>
      <c r="F784" s="209"/>
      <c r="G784" s="209"/>
      <c r="H784" s="209"/>
      <c r="I784" s="209"/>
      <c r="J784" s="209"/>
      <c r="N784" s="201"/>
    </row>
    <row r="785" spans="2:14" s="184" customFormat="1" x14ac:dyDescent="0.3">
      <c r="B785" s="212"/>
      <c r="F785" s="209"/>
      <c r="G785" s="209"/>
      <c r="H785" s="209"/>
      <c r="I785" s="209"/>
      <c r="J785" s="209"/>
      <c r="N785" s="201"/>
    </row>
    <row r="786" spans="2:14" s="184" customFormat="1" x14ac:dyDescent="0.3">
      <c r="B786" s="212"/>
      <c r="F786" s="209"/>
      <c r="G786" s="209"/>
      <c r="H786" s="209"/>
      <c r="I786" s="209"/>
      <c r="J786" s="209"/>
      <c r="N786" s="201"/>
    </row>
    <row r="787" spans="2:14" s="184" customFormat="1" x14ac:dyDescent="0.3">
      <c r="B787" s="212"/>
      <c r="F787" s="209"/>
      <c r="G787" s="209"/>
      <c r="H787" s="209"/>
      <c r="I787" s="209"/>
      <c r="J787" s="209"/>
      <c r="N787" s="201"/>
    </row>
    <row r="788" spans="2:14" s="184" customFormat="1" x14ac:dyDescent="0.3">
      <c r="B788" s="212"/>
      <c r="F788" s="209"/>
      <c r="G788" s="209"/>
      <c r="H788" s="209"/>
      <c r="I788" s="209"/>
      <c r="J788" s="209"/>
      <c r="N788" s="201"/>
    </row>
    <row r="789" spans="2:14" s="184" customFormat="1" x14ac:dyDescent="0.3">
      <c r="B789" s="212"/>
      <c r="F789" s="209"/>
      <c r="G789" s="209"/>
      <c r="H789" s="209"/>
      <c r="I789" s="209"/>
      <c r="J789" s="209"/>
      <c r="N789" s="201"/>
    </row>
    <row r="790" spans="2:14" s="184" customFormat="1" x14ac:dyDescent="0.3">
      <c r="B790" s="212"/>
      <c r="F790" s="209"/>
      <c r="G790" s="209"/>
      <c r="H790" s="209"/>
      <c r="I790" s="209"/>
      <c r="J790" s="209"/>
      <c r="N790" s="201"/>
    </row>
    <row r="791" spans="2:14" s="184" customFormat="1" x14ac:dyDescent="0.3">
      <c r="B791" s="212"/>
      <c r="F791" s="209"/>
      <c r="G791" s="209"/>
      <c r="H791" s="209"/>
      <c r="I791" s="209"/>
      <c r="J791" s="209"/>
      <c r="N791" s="201"/>
    </row>
    <row r="792" spans="2:14" s="184" customFormat="1" x14ac:dyDescent="0.3">
      <c r="B792" s="212"/>
      <c r="F792" s="209"/>
      <c r="G792" s="209"/>
      <c r="H792" s="209"/>
      <c r="I792" s="209"/>
      <c r="J792" s="209"/>
      <c r="N792" s="201"/>
    </row>
    <row r="793" spans="2:14" s="184" customFormat="1" x14ac:dyDescent="0.3">
      <c r="B793" s="212"/>
      <c r="F793" s="209"/>
      <c r="G793" s="209"/>
      <c r="H793" s="209"/>
      <c r="I793" s="209"/>
      <c r="J793" s="209"/>
      <c r="N793" s="201"/>
    </row>
    <row r="794" spans="2:14" s="184" customFormat="1" x14ac:dyDescent="0.3">
      <c r="B794" s="212"/>
      <c r="F794" s="209"/>
      <c r="G794" s="209"/>
      <c r="H794" s="209"/>
      <c r="I794" s="209"/>
      <c r="J794" s="209"/>
      <c r="N794" s="201"/>
    </row>
    <row r="795" spans="2:14" s="184" customFormat="1" x14ac:dyDescent="0.3">
      <c r="B795" s="212"/>
      <c r="F795" s="209"/>
      <c r="G795" s="209"/>
      <c r="H795" s="209"/>
      <c r="I795" s="209"/>
      <c r="J795" s="209"/>
      <c r="N795" s="201"/>
    </row>
    <row r="796" spans="2:14" s="184" customFormat="1" x14ac:dyDescent="0.3">
      <c r="B796" s="212"/>
      <c r="F796" s="209"/>
      <c r="G796" s="209"/>
      <c r="H796" s="209"/>
      <c r="I796" s="209"/>
      <c r="J796" s="209"/>
      <c r="N796" s="201"/>
    </row>
    <row r="797" spans="2:14" s="184" customFormat="1" x14ac:dyDescent="0.3">
      <c r="B797" s="212"/>
      <c r="F797" s="209"/>
      <c r="G797" s="209"/>
      <c r="H797" s="209"/>
      <c r="I797" s="209"/>
      <c r="J797" s="209"/>
      <c r="N797" s="201"/>
    </row>
    <row r="798" spans="2:14" s="184" customFormat="1" x14ac:dyDescent="0.3">
      <c r="B798" s="212"/>
      <c r="F798" s="209"/>
      <c r="G798" s="209"/>
      <c r="H798" s="209"/>
      <c r="I798" s="209"/>
      <c r="J798" s="209"/>
      <c r="N798" s="201"/>
    </row>
    <row r="799" spans="2:14" s="184" customFormat="1" x14ac:dyDescent="0.3">
      <c r="B799" s="212"/>
      <c r="F799" s="209"/>
      <c r="G799" s="209"/>
      <c r="H799" s="209"/>
      <c r="I799" s="209"/>
      <c r="J799" s="209"/>
      <c r="N799" s="201"/>
    </row>
    <row r="800" spans="2:14" s="184" customFormat="1" x14ac:dyDescent="0.3">
      <c r="B800" s="212"/>
      <c r="F800" s="209"/>
      <c r="G800" s="209"/>
      <c r="H800" s="209"/>
      <c r="I800" s="209"/>
      <c r="J800" s="209"/>
      <c r="N800" s="201"/>
    </row>
    <row r="801" spans="2:14" s="184" customFormat="1" x14ac:dyDescent="0.3">
      <c r="B801" s="212"/>
      <c r="F801" s="209"/>
      <c r="G801" s="209"/>
      <c r="H801" s="209"/>
      <c r="I801" s="209"/>
      <c r="J801" s="209"/>
      <c r="N801" s="201"/>
    </row>
    <row r="802" spans="2:14" s="184" customFormat="1" x14ac:dyDescent="0.3">
      <c r="B802" s="212"/>
      <c r="F802" s="209"/>
      <c r="G802" s="209"/>
      <c r="H802" s="209"/>
      <c r="I802" s="209"/>
      <c r="J802" s="209"/>
      <c r="N802" s="201"/>
    </row>
    <row r="803" spans="2:14" s="184" customFormat="1" x14ac:dyDescent="0.3">
      <c r="B803" s="212"/>
      <c r="F803" s="209"/>
      <c r="G803" s="209"/>
      <c r="H803" s="209"/>
      <c r="I803" s="209"/>
      <c r="J803" s="209"/>
      <c r="N803" s="201"/>
    </row>
    <row r="804" spans="2:14" s="184" customFormat="1" x14ac:dyDescent="0.3">
      <c r="B804" s="212"/>
      <c r="F804" s="209"/>
      <c r="G804" s="209"/>
      <c r="H804" s="209"/>
      <c r="I804" s="209"/>
      <c r="J804" s="209"/>
      <c r="N804" s="201"/>
    </row>
    <row r="805" spans="2:14" s="184" customFormat="1" x14ac:dyDescent="0.3">
      <c r="B805" s="212"/>
      <c r="F805" s="209"/>
      <c r="G805" s="209"/>
      <c r="H805" s="209"/>
      <c r="I805" s="209"/>
      <c r="J805" s="209"/>
      <c r="N805" s="201"/>
    </row>
    <row r="806" spans="2:14" s="184" customFormat="1" x14ac:dyDescent="0.3">
      <c r="B806" s="212"/>
      <c r="F806" s="209"/>
      <c r="G806" s="209"/>
      <c r="H806" s="209"/>
      <c r="I806" s="209"/>
      <c r="J806" s="209"/>
      <c r="N806" s="201"/>
    </row>
    <row r="807" spans="2:14" s="184" customFormat="1" x14ac:dyDescent="0.3">
      <c r="B807" s="212"/>
      <c r="F807" s="209"/>
      <c r="G807" s="209"/>
      <c r="H807" s="209"/>
      <c r="I807" s="209"/>
      <c r="J807" s="209"/>
      <c r="N807" s="201"/>
    </row>
    <row r="808" spans="2:14" s="184" customFormat="1" x14ac:dyDescent="0.3">
      <c r="B808" s="212"/>
      <c r="F808" s="209"/>
      <c r="G808" s="209"/>
      <c r="H808" s="209"/>
      <c r="I808" s="209"/>
      <c r="J808" s="209"/>
      <c r="N808" s="201"/>
    </row>
    <row r="809" spans="2:14" s="184" customFormat="1" x14ac:dyDescent="0.3">
      <c r="B809" s="212"/>
      <c r="F809" s="209"/>
      <c r="G809" s="209"/>
      <c r="H809" s="209"/>
      <c r="I809" s="209"/>
      <c r="J809" s="209"/>
      <c r="N809" s="201"/>
    </row>
    <row r="810" spans="2:14" s="184" customFormat="1" x14ac:dyDescent="0.3">
      <c r="B810" s="212"/>
      <c r="F810" s="209"/>
      <c r="G810" s="209"/>
      <c r="H810" s="209"/>
      <c r="I810" s="209"/>
      <c r="J810" s="209"/>
      <c r="N810" s="201"/>
    </row>
    <row r="811" spans="2:14" s="184" customFormat="1" x14ac:dyDescent="0.3">
      <c r="B811" s="212"/>
      <c r="F811" s="209"/>
      <c r="G811" s="209"/>
      <c r="H811" s="209"/>
      <c r="I811" s="209"/>
      <c r="J811" s="209"/>
      <c r="N811" s="201"/>
    </row>
    <row r="812" spans="2:14" s="184" customFormat="1" x14ac:dyDescent="0.3">
      <c r="B812" s="212"/>
      <c r="F812" s="209"/>
      <c r="G812" s="209"/>
      <c r="H812" s="209"/>
      <c r="I812" s="209"/>
      <c r="J812" s="209"/>
      <c r="N812" s="201"/>
    </row>
    <row r="813" spans="2:14" s="184" customFormat="1" x14ac:dyDescent="0.3">
      <c r="B813" s="212"/>
      <c r="F813" s="209"/>
      <c r="G813" s="209"/>
      <c r="H813" s="209"/>
      <c r="I813" s="209"/>
      <c r="J813" s="209"/>
      <c r="N813" s="201"/>
    </row>
    <row r="814" spans="2:14" s="184" customFormat="1" x14ac:dyDescent="0.3">
      <c r="B814" s="212"/>
      <c r="F814" s="209"/>
      <c r="G814" s="209"/>
      <c r="H814" s="209"/>
      <c r="I814" s="209"/>
      <c r="J814" s="209"/>
      <c r="N814" s="201"/>
    </row>
    <row r="815" spans="2:14" s="184" customFormat="1" x14ac:dyDescent="0.3">
      <c r="B815" s="212"/>
      <c r="F815" s="209"/>
      <c r="G815" s="209"/>
      <c r="H815" s="209"/>
      <c r="I815" s="209"/>
      <c r="J815" s="209"/>
      <c r="N815" s="201"/>
    </row>
    <row r="816" spans="2:14" s="184" customFormat="1" x14ac:dyDescent="0.3">
      <c r="B816" s="212"/>
      <c r="F816" s="209"/>
      <c r="G816" s="209"/>
      <c r="H816" s="209"/>
      <c r="I816" s="209"/>
      <c r="J816" s="209"/>
      <c r="N816" s="201"/>
    </row>
    <row r="817" spans="2:14" s="184" customFormat="1" x14ac:dyDescent="0.3">
      <c r="B817" s="212"/>
      <c r="F817" s="209"/>
      <c r="G817" s="209"/>
      <c r="H817" s="209"/>
      <c r="I817" s="209"/>
      <c r="J817" s="209"/>
      <c r="N817" s="201"/>
    </row>
    <row r="818" spans="2:14" s="184" customFormat="1" x14ac:dyDescent="0.3">
      <c r="B818" s="212"/>
      <c r="F818" s="209"/>
      <c r="G818" s="209"/>
      <c r="H818" s="209"/>
      <c r="I818" s="209"/>
      <c r="J818" s="209"/>
      <c r="N818" s="201"/>
    </row>
    <row r="819" spans="2:14" s="184" customFormat="1" x14ac:dyDescent="0.3">
      <c r="B819" s="212"/>
      <c r="F819" s="209"/>
      <c r="G819" s="209"/>
      <c r="H819" s="209"/>
      <c r="I819" s="209"/>
      <c r="J819" s="209"/>
      <c r="N819" s="201"/>
    </row>
    <row r="820" spans="2:14" s="184" customFormat="1" x14ac:dyDescent="0.3">
      <c r="B820" s="212"/>
      <c r="F820" s="209"/>
      <c r="G820" s="209"/>
      <c r="H820" s="209"/>
      <c r="I820" s="209"/>
      <c r="J820" s="209"/>
      <c r="N820" s="201"/>
    </row>
    <row r="821" spans="2:14" s="184" customFormat="1" x14ac:dyDescent="0.3">
      <c r="B821" s="212"/>
      <c r="F821" s="209"/>
      <c r="G821" s="209"/>
      <c r="H821" s="209"/>
      <c r="I821" s="209"/>
      <c r="J821" s="209"/>
      <c r="N821" s="201"/>
    </row>
    <row r="822" spans="2:14" s="184" customFormat="1" x14ac:dyDescent="0.3">
      <c r="B822" s="212"/>
      <c r="F822" s="209"/>
      <c r="G822" s="209"/>
      <c r="H822" s="209"/>
      <c r="I822" s="209"/>
      <c r="J822" s="209"/>
      <c r="N822" s="201"/>
    </row>
    <row r="823" spans="2:14" s="184" customFormat="1" x14ac:dyDescent="0.3">
      <c r="B823" s="212"/>
      <c r="F823" s="209"/>
      <c r="G823" s="209"/>
      <c r="H823" s="209"/>
      <c r="I823" s="209"/>
      <c r="J823" s="209"/>
      <c r="N823" s="201"/>
    </row>
    <row r="824" spans="2:14" s="184" customFormat="1" x14ac:dyDescent="0.3">
      <c r="B824" s="212"/>
      <c r="F824" s="209"/>
      <c r="G824" s="209"/>
      <c r="H824" s="209"/>
      <c r="I824" s="209"/>
      <c r="J824" s="209"/>
      <c r="N824" s="201"/>
    </row>
    <row r="825" spans="2:14" s="184" customFormat="1" x14ac:dyDescent="0.3">
      <c r="B825" s="212"/>
      <c r="F825" s="209"/>
      <c r="G825" s="209"/>
      <c r="H825" s="209"/>
      <c r="I825" s="209"/>
      <c r="J825" s="209"/>
      <c r="N825" s="201"/>
    </row>
    <row r="826" spans="2:14" s="184" customFormat="1" x14ac:dyDescent="0.3">
      <c r="B826" s="212"/>
      <c r="F826" s="209"/>
      <c r="G826" s="209"/>
      <c r="H826" s="209"/>
      <c r="I826" s="209"/>
      <c r="J826" s="209"/>
      <c r="N826" s="201"/>
    </row>
    <row r="827" spans="2:14" s="184" customFormat="1" x14ac:dyDescent="0.3">
      <c r="B827" s="212"/>
      <c r="F827" s="209"/>
      <c r="G827" s="209"/>
      <c r="H827" s="209"/>
      <c r="I827" s="209"/>
      <c r="J827" s="209"/>
      <c r="N827" s="201"/>
    </row>
    <row r="828" spans="2:14" s="184" customFormat="1" x14ac:dyDescent="0.3">
      <c r="B828" s="212"/>
      <c r="F828" s="209"/>
      <c r="G828" s="209"/>
      <c r="H828" s="209"/>
      <c r="I828" s="209"/>
      <c r="J828" s="209"/>
      <c r="N828" s="201"/>
    </row>
    <row r="829" spans="2:14" s="184" customFormat="1" x14ac:dyDescent="0.3">
      <c r="B829" s="212"/>
      <c r="F829" s="209"/>
      <c r="G829" s="209"/>
      <c r="H829" s="209"/>
      <c r="I829" s="209"/>
      <c r="J829" s="209"/>
      <c r="N829" s="201"/>
    </row>
    <row r="830" spans="2:14" s="184" customFormat="1" x14ac:dyDescent="0.3">
      <c r="B830" s="212"/>
      <c r="F830" s="209"/>
      <c r="G830" s="209"/>
      <c r="H830" s="209"/>
      <c r="I830" s="209"/>
      <c r="J830" s="209"/>
      <c r="N830" s="201"/>
    </row>
    <row r="831" spans="2:14" s="184" customFormat="1" x14ac:dyDescent="0.3">
      <c r="B831" s="212"/>
      <c r="F831" s="209"/>
      <c r="G831" s="209"/>
      <c r="H831" s="209"/>
      <c r="I831" s="209"/>
      <c r="J831" s="209"/>
      <c r="N831" s="201"/>
    </row>
    <row r="832" spans="2:14" s="184" customFormat="1" x14ac:dyDescent="0.3">
      <c r="B832" s="212"/>
      <c r="F832" s="209"/>
      <c r="G832" s="209"/>
      <c r="H832" s="209"/>
      <c r="I832" s="209"/>
      <c r="J832" s="209"/>
      <c r="N832" s="201"/>
    </row>
    <row r="833" spans="2:14" s="184" customFormat="1" x14ac:dyDescent="0.3">
      <c r="B833" s="212"/>
      <c r="F833" s="209"/>
      <c r="G833" s="209"/>
      <c r="H833" s="209"/>
      <c r="I833" s="209"/>
      <c r="J833" s="209"/>
      <c r="N833" s="201"/>
    </row>
    <row r="834" spans="2:14" s="184" customFormat="1" x14ac:dyDescent="0.3">
      <c r="B834" s="212"/>
      <c r="F834" s="209"/>
      <c r="G834" s="209"/>
      <c r="H834" s="209"/>
      <c r="I834" s="209"/>
      <c r="J834" s="209"/>
      <c r="N834" s="201"/>
    </row>
    <row r="835" spans="2:14" s="184" customFormat="1" x14ac:dyDescent="0.3">
      <c r="B835" s="212"/>
      <c r="F835" s="209"/>
      <c r="G835" s="209"/>
      <c r="H835" s="209"/>
      <c r="I835" s="209"/>
      <c r="J835" s="209"/>
      <c r="N835" s="201"/>
    </row>
    <row r="836" spans="2:14" s="184" customFormat="1" x14ac:dyDescent="0.3">
      <c r="B836" s="212"/>
      <c r="F836" s="209"/>
      <c r="G836" s="209"/>
      <c r="H836" s="209"/>
      <c r="I836" s="209"/>
      <c r="J836" s="209"/>
      <c r="N836" s="201"/>
    </row>
    <row r="837" spans="2:14" s="184" customFormat="1" x14ac:dyDescent="0.3">
      <c r="B837" s="212"/>
      <c r="F837" s="209"/>
      <c r="G837" s="209"/>
      <c r="H837" s="209"/>
      <c r="I837" s="209"/>
      <c r="J837" s="209"/>
      <c r="N837" s="201"/>
    </row>
    <row r="838" spans="2:14" s="184" customFormat="1" x14ac:dyDescent="0.3">
      <c r="B838" s="212"/>
      <c r="F838" s="209"/>
      <c r="G838" s="209"/>
      <c r="H838" s="209"/>
      <c r="I838" s="209"/>
      <c r="J838" s="209"/>
      <c r="N838" s="201"/>
    </row>
    <row r="839" spans="2:14" s="184" customFormat="1" x14ac:dyDescent="0.3">
      <c r="B839" s="212"/>
      <c r="F839" s="209"/>
      <c r="G839" s="209"/>
      <c r="H839" s="209"/>
      <c r="I839" s="209"/>
      <c r="J839" s="209"/>
      <c r="N839" s="201"/>
    </row>
    <row r="840" spans="2:14" s="184" customFormat="1" x14ac:dyDescent="0.3">
      <c r="B840" s="212"/>
      <c r="F840" s="209"/>
      <c r="G840" s="209"/>
      <c r="H840" s="209"/>
      <c r="I840" s="209"/>
      <c r="J840" s="209"/>
      <c r="N840" s="201"/>
    </row>
    <row r="841" spans="2:14" s="184" customFormat="1" x14ac:dyDescent="0.3">
      <c r="B841" s="212"/>
      <c r="F841" s="209"/>
      <c r="G841" s="209"/>
      <c r="H841" s="209"/>
      <c r="I841" s="209"/>
      <c r="J841" s="209"/>
      <c r="N841" s="201"/>
    </row>
    <row r="842" spans="2:14" s="184" customFormat="1" x14ac:dyDescent="0.3">
      <c r="B842" s="212"/>
      <c r="F842" s="209"/>
      <c r="G842" s="209"/>
      <c r="H842" s="209"/>
      <c r="I842" s="209"/>
      <c r="J842" s="209"/>
      <c r="N842" s="201"/>
    </row>
    <row r="843" spans="2:14" s="184" customFormat="1" x14ac:dyDescent="0.3">
      <c r="B843" s="212"/>
      <c r="F843" s="209"/>
      <c r="G843" s="209"/>
      <c r="H843" s="209"/>
      <c r="I843" s="209"/>
      <c r="J843" s="209"/>
      <c r="N843" s="201"/>
    </row>
    <row r="844" spans="2:14" s="184" customFormat="1" x14ac:dyDescent="0.3">
      <c r="B844" s="212"/>
      <c r="F844" s="209"/>
      <c r="G844" s="209"/>
      <c r="H844" s="209"/>
      <c r="I844" s="209"/>
      <c r="J844" s="209"/>
      <c r="N844" s="201"/>
    </row>
    <row r="845" spans="2:14" s="184" customFormat="1" x14ac:dyDescent="0.3">
      <c r="B845" s="212"/>
      <c r="F845" s="209"/>
      <c r="G845" s="209"/>
      <c r="H845" s="209"/>
      <c r="I845" s="209"/>
      <c r="J845" s="209"/>
      <c r="N845" s="201"/>
    </row>
    <row r="846" spans="2:14" s="184" customFormat="1" x14ac:dyDescent="0.3">
      <c r="B846" s="212"/>
      <c r="F846" s="209"/>
      <c r="G846" s="209"/>
      <c r="H846" s="209"/>
      <c r="I846" s="209"/>
      <c r="J846" s="209"/>
      <c r="N846" s="201"/>
    </row>
    <row r="847" spans="2:14" s="184" customFormat="1" x14ac:dyDescent="0.3">
      <c r="B847" s="212"/>
      <c r="F847" s="209"/>
      <c r="G847" s="209"/>
      <c r="H847" s="209"/>
      <c r="I847" s="209"/>
      <c r="J847" s="209"/>
      <c r="N847" s="201"/>
    </row>
    <row r="848" spans="2:14" s="184" customFormat="1" x14ac:dyDescent="0.3">
      <c r="B848" s="212"/>
      <c r="F848" s="209"/>
      <c r="G848" s="209"/>
      <c r="H848" s="209"/>
      <c r="I848" s="209"/>
      <c r="J848" s="209"/>
      <c r="N848" s="201"/>
    </row>
    <row r="849" spans="2:14" s="184" customFormat="1" x14ac:dyDescent="0.3">
      <c r="B849" s="212"/>
      <c r="F849" s="209"/>
      <c r="G849" s="209"/>
      <c r="H849" s="209"/>
      <c r="I849" s="209"/>
      <c r="J849" s="209"/>
      <c r="N849" s="201"/>
    </row>
    <row r="850" spans="2:14" s="184" customFormat="1" x14ac:dyDescent="0.3">
      <c r="B850" s="212"/>
      <c r="F850" s="209"/>
      <c r="G850" s="209"/>
      <c r="H850" s="209"/>
      <c r="I850" s="209"/>
      <c r="J850" s="209"/>
      <c r="N850" s="201"/>
    </row>
    <row r="851" spans="2:14" s="184" customFormat="1" x14ac:dyDescent="0.3">
      <c r="B851" s="212"/>
      <c r="F851" s="209"/>
      <c r="G851" s="209"/>
      <c r="H851" s="209"/>
      <c r="I851" s="209"/>
      <c r="J851" s="209"/>
      <c r="N851" s="201"/>
    </row>
    <row r="852" spans="2:14" s="184" customFormat="1" x14ac:dyDescent="0.3">
      <c r="B852" s="212"/>
      <c r="F852" s="209"/>
      <c r="G852" s="209"/>
      <c r="H852" s="209"/>
      <c r="I852" s="209"/>
      <c r="J852" s="209"/>
      <c r="N852" s="201"/>
    </row>
    <row r="853" spans="2:14" s="184" customFormat="1" x14ac:dyDescent="0.3">
      <c r="B853" s="212"/>
      <c r="F853" s="209"/>
      <c r="G853" s="209"/>
      <c r="H853" s="209"/>
      <c r="I853" s="209"/>
      <c r="J853" s="209"/>
      <c r="N853" s="201"/>
    </row>
    <row r="854" spans="2:14" s="184" customFormat="1" x14ac:dyDescent="0.3">
      <c r="B854" s="212"/>
      <c r="F854" s="209"/>
      <c r="G854" s="209"/>
      <c r="H854" s="209"/>
      <c r="I854" s="209"/>
      <c r="J854" s="209"/>
      <c r="N854" s="201"/>
    </row>
    <row r="855" spans="2:14" s="184" customFormat="1" x14ac:dyDescent="0.3">
      <c r="B855" s="212"/>
      <c r="F855" s="209"/>
      <c r="G855" s="209"/>
      <c r="H855" s="209"/>
      <c r="I855" s="209"/>
      <c r="J855" s="209"/>
      <c r="N855" s="201"/>
    </row>
    <row r="856" spans="2:14" s="184" customFormat="1" x14ac:dyDescent="0.3">
      <c r="B856" s="212"/>
      <c r="F856" s="209"/>
      <c r="G856" s="209"/>
      <c r="H856" s="209"/>
      <c r="I856" s="209"/>
      <c r="J856" s="209"/>
      <c r="N856" s="201"/>
    </row>
    <row r="857" spans="2:14" s="184" customFormat="1" x14ac:dyDescent="0.3">
      <c r="B857" s="212"/>
      <c r="F857" s="209"/>
      <c r="G857" s="209"/>
      <c r="H857" s="209"/>
      <c r="I857" s="209"/>
      <c r="J857" s="209"/>
      <c r="N857" s="201"/>
    </row>
    <row r="858" spans="2:14" s="184" customFormat="1" x14ac:dyDescent="0.3">
      <c r="B858" s="212"/>
      <c r="F858" s="209"/>
      <c r="G858" s="209"/>
      <c r="H858" s="209"/>
      <c r="I858" s="209"/>
      <c r="J858" s="209"/>
      <c r="N858" s="201"/>
    </row>
    <row r="859" spans="2:14" s="184" customFormat="1" x14ac:dyDescent="0.3">
      <c r="B859" s="212"/>
      <c r="F859" s="209"/>
      <c r="G859" s="209"/>
      <c r="H859" s="209"/>
      <c r="I859" s="209"/>
      <c r="J859" s="209"/>
      <c r="N859" s="201"/>
    </row>
    <row r="860" spans="2:14" s="184" customFormat="1" x14ac:dyDescent="0.3">
      <c r="B860" s="212"/>
      <c r="F860" s="209"/>
      <c r="G860" s="209"/>
      <c r="H860" s="209"/>
      <c r="I860" s="209"/>
      <c r="J860" s="209"/>
      <c r="N860" s="201"/>
    </row>
    <row r="861" spans="2:14" s="184" customFormat="1" x14ac:dyDescent="0.3">
      <c r="B861" s="212"/>
      <c r="F861" s="209"/>
      <c r="G861" s="209"/>
      <c r="H861" s="209"/>
      <c r="I861" s="209"/>
      <c r="J861" s="209"/>
      <c r="N861" s="201"/>
    </row>
    <row r="862" spans="2:14" s="184" customFormat="1" x14ac:dyDescent="0.3">
      <c r="B862" s="212"/>
      <c r="F862" s="209"/>
      <c r="G862" s="209"/>
      <c r="H862" s="209"/>
      <c r="I862" s="209"/>
      <c r="J862" s="209"/>
      <c r="N862" s="201"/>
    </row>
    <row r="863" spans="2:14" s="184" customFormat="1" x14ac:dyDescent="0.3">
      <c r="B863" s="212"/>
      <c r="F863" s="209"/>
      <c r="G863" s="209"/>
      <c r="H863" s="209"/>
      <c r="I863" s="209"/>
      <c r="J863" s="209"/>
      <c r="N863" s="201"/>
    </row>
    <row r="864" spans="2:14" s="184" customFormat="1" x14ac:dyDescent="0.3">
      <c r="B864" s="212"/>
      <c r="F864" s="209"/>
      <c r="G864" s="209"/>
      <c r="H864" s="209"/>
      <c r="I864" s="209"/>
      <c r="J864" s="209"/>
      <c r="N864" s="201"/>
    </row>
    <row r="865" spans="2:14" s="184" customFormat="1" x14ac:dyDescent="0.3">
      <c r="B865" s="212"/>
      <c r="F865" s="209"/>
      <c r="G865" s="209"/>
      <c r="H865" s="209"/>
      <c r="I865" s="209"/>
      <c r="J865" s="209"/>
      <c r="N865" s="201"/>
    </row>
    <row r="866" spans="2:14" s="184" customFormat="1" x14ac:dyDescent="0.3">
      <c r="B866" s="212"/>
      <c r="F866" s="209"/>
      <c r="G866" s="209"/>
      <c r="H866" s="209"/>
      <c r="I866" s="209"/>
      <c r="J866" s="209"/>
      <c r="N866" s="201"/>
    </row>
    <row r="867" spans="2:14" s="184" customFormat="1" x14ac:dyDescent="0.3">
      <c r="B867" s="212"/>
      <c r="F867" s="209"/>
      <c r="G867" s="209"/>
      <c r="H867" s="209"/>
      <c r="I867" s="209"/>
      <c r="J867" s="209"/>
      <c r="N867" s="201"/>
    </row>
    <row r="868" spans="2:14" s="184" customFormat="1" x14ac:dyDescent="0.3">
      <c r="B868" s="212"/>
      <c r="F868" s="209"/>
      <c r="G868" s="209"/>
      <c r="H868" s="209"/>
      <c r="I868" s="209"/>
      <c r="J868" s="209"/>
      <c r="N868" s="201"/>
    </row>
    <row r="869" spans="2:14" s="184" customFormat="1" x14ac:dyDescent="0.3">
      <c r="B869" s="212"/>
      <c r="F869" s="209"/>
      <c r="G869" s="209"/>
      <c r="H869" s="209"/>
      <c r="I869" s="209"/>
      <c r="J869" s="209"/>
      <c r="N869" s="201"/>
    </row>
    <row r="870" spans="2:14" s="184" customFormat="1" x14ac:dyDescent="0.3">
      <c r="B870" s="212"/>
      <c r="F870" s="209"/>
      <c r="G870" s="209"/>
      <c r="H870" s="209"/>
      <c r="I870" s="209"/>
      <c r="J870" s="209"/>
      <c r="N870" s="201"/>
    </row>
    <row r="871" spans="2:14" s="184" customFormat="1" x14ac:dyDescent="0.3">
      <c r="B871" s="212"/>
      <c r="F871" s="209"/>
      <c r="G871" s="209"/>
      <c r="H871" s="209"/>
      <c r="I871" s="209"/>
      <c r="J871" s="209"/>
      <c r="N871" s="201"/>
    </row>
    <row r="872" spans="2:14" s="184" customFormat="1" x14ac:dyDescent="0.3">
      <c r="B872" s="212"/>
      <c r="F872" s="209"/>
      <c r="G872" s="209"/>
      <c r="H872" s="209"/>
      <c r="I872" s="209"/>
      <c r="J872" s="209"/>
      <c r="N872" s="201"/>
    </row>
    <row r="873" spans="2:14" s="184" customFormat="1" x14ac:dyDescent="0.3">
      <c r="B873" s="212"/>
      <c r="F873" s="209"/>
      <c r="G873" s="209"/>
      <c r="H873" s="209"/>
      <c r="I873" s="209"/>
      <c r="J873" s="209"/>
      <c r="N873" s="201"/>
    </row>
    <row r="874" spans="2:14" s="184" customFormat="1" x14ac:dyDescent="0.3">
      <c r="B874" s="212"/>
      <c r="F874" s="209"/>
      <c r="G874" s="209"/>
      <c r="H874" s="209"/>
      <c r="I874" s="209"/>
      <c r="J874" s="209"/>
      <c r="N874" s="201"/>
    </row>
    <row r="875" spans="2:14" s="184" customFormat="1" x14ac:dyDescent="0.3">
      <c r="B875" s="212"/>
      <c r="F875" s="209"/>
      <c r="G875" s="209"/>
      <c r="H875" s="209"/>
      <c r="I875" s="209"/>
      <c r="J875" s="209"/>
      <c r="N875" s="201"/>
    </row>
    <row r="876" spans="2:14" s="184" customFormat="1" x14ac:dyDescent="0.3">
      <c r="B876" s="212"/>
      <c r="F876" s="209"/>
      <c r="G876" s="209"/>
      <c r="H876" s="209"/>
      <c r="I876" s="209"/>
      <c r="J876" s="209"/>
      <c r="N876" s="201"/>
    </row>
    <row r="877" spans="2:14" s="184" customFormat="1" x14ac:dyDescent="0.3">
      <c r="B877" s="212"/>
      <c r="F877" s="209"/>
      <c r="G877" s="209"/>
      <c r="H877" s="209"/>
      <c r="I877" s="209"/>
      <c r="J877" s="209"/>
      <c r="N877" s="201"/>
    </row>
    <row r="878" spans="2:14" s="184" customFormat="1" x14ac:dyDescent="0.3">
      <c r="B878" s="212"/>
      <c r="F878" s="209"/>
      <c r="G878" s="209"/>
      <c r="H878" s="209"/>
      <c r="I878" s="209"/>
      <c r="J878" s="209"/>
      <c r="N878" s="201"/>
    </row>
    <row r="879" spans="2:14" s="184" customFormat="1" x14ac:dyDescent="0.3">
      <c r="B879" s="212"/>
      <c r="F879" s="209"/>
      <c r="G879" s="209"/>
      <c r="H879" s="209"/>
      <c r="I879" s="209"/>
      <c r="J879" s="209"/>
      <c r="N879" s="201"/>
    </row>
    <row r="880" spans="2:14" s="184" customFormat="1" x14ac:dyDescent="0.3">
      <c r="B880" s="212"/>
      <c r="F880" s="209"/>
      <c r="G880" s="209"/>
      <c r="H880" s="209"/>
      <c r="I880" s="209"/>
      <c r="J880" s="209"/>
      <c r="N880" s="201"/>
    </row>
    <row r="881" spans="2:14" s="184" customFormat="1" x14ac:dyDescent="0.3">
      <c r="B881" s="212"/>
      <c r="F881" s="209"/>
      <c r="G881" s="209"/>
      <c r="H881" s="209"/>
      <c r="I881" s="209"/>
      <c r="J881" s="209"/>
      <c r="N881" s="201"/>
    </row>
    <row r="882" spans="2:14" s="184" customFormat="1" x14ac:dyDescent="0.3">
      <c r="B882" s="212"/>
      <c r="F882" s="209"/>
      <c r="G882" s="209"/>
      <c r="H882" s="209"/>
      <c r="I882" s="209"/>
      <c r="J882" s="209"/>
      <c r="N882" s="201"/>
    </row>
    <row r="883" spans="2:14" s="184" customFormat="1" x14ac:dyDescent="0.3">
      <c r="B883" s="212"/>
      <c r="F883" s="209"/>
      <c r="G883" s="209"/>
      <c r="H883" s="209"/>
      <c r="I883" s="209"/>
      <c r="J883" s="209"/>
      <c r="N883" s="201"/>
    </row>
    <row r="884" spans="2:14" s="184" customFormat="1" x14ac:dyDescent="0.3">
      <c r="B884" s="212"/>
      <c r="F884" s="209"/>
      <c r="G884" s="209"/>
      <c r="H884" s="209"/>
      <c r="I884" s="209"/>
      <c r="J884" s="209"/>
      <c r="N884" s="201"/>
    </row>
    <row r="885" spans="2:14" s="184" customFormat="1" x14ac:dyDescent="0.3">
      <c r="B885" s="212"/>
      <c r="F885" s="209"/>
      <c r="G885" s="209"/>
      <c r="H885" s="209"/>
      <c r="I885" s="209"/>
      <c r="J885" s="209"/>
      <c r="N885" s="201"/>
    </row>
    <row r="886" spans="2:14" s="184" customFormat="1" x14ac:dyDescent="0.3">
      <c r="B886" s="212"/>
      <c r="F886" s="209"/>
      <c r="G886" s="209"/>
      <c r="H886" s="209"/>
      <c r="I886" s="209"/>
      <c r="J886" s="209"/>
      <c r="N886" s="201"/>
    </row>
    <row r="887" spans="2:14" s="184" customFormat="1" x14ac:dyDescent="0.3">
      <c r="B887" s="212"/>
      <c r="F887" s="209"/>
      <c r="G887" s="209"/>
      <c r="H887" s="209"/>
      <c r="I887" s="209"/>
      <c r="J887" s="209"/>
      <c r="N887" s="201"/>
    </row>
    <row r="888" spans="2:14" s="184" customFormat="1" x14ac:dyDescent="0.3">
      <c r="B888" s="212"/>
      <c r="F888" s="209"/>
      <c r="G888" s="209"/>
      <c r="H888" s="209"/>
      <c r="I888" s="209"/>
      <c r="J888" s="209"/>
      <c r="N888" s="201"/>
    </row>
    <row r="889" spans="2:14" s="184" customFormat="1" x14ac:dyDescent="0.3">
      <c r="B889" s="212"/>
      <c r="F889" s="209"/>
      <c r="G889" s="209"/>
      <c r="H889" s="209"/>
      <c r="I889" s="209"/>
      <c r="J889" s="209"/>
      <c r="N889" s="201"/>
    </row>
    <row r="890" spans="2:14" s="184" customFormat="1" x14ac:dyDescent="0.3">
      <c r="B890" s="212"/>
      <c r="F890" s="209"/>
      <c r="G890" s="209"/>
      <c r="H890" s="209"/>
      <c r="I890" s="209"/>
      <c r="J890" s="209"/>
      <c r="N890" s="201"/>
    </row>
    <row r="891" spans="2:14" s="184" customFormat="1" x14ac:dyDescent="0.3">
      <c r="B891" s="212"/>
      <c r="F891" s="209"/>
      <c r="G891" s="209"/>
      <c r="H891" s="209"/>
      <c r="I891" s="209"/>
      <c r="J891" s="209"/>
      <c r="N891" s="201"/>
    </row>
    <row r="892" spans="2:14" s="184" customFormat="1" x14ac:dyDescent="0.3">
      <c r="B892" s="212"/>
      <c r="F892" s="209"/>
      <c r="G892" s="209"/>
      <c r="H892" s="209"/>
      <c r="I892" s="209"/>
      <c r="J892" s="209"/>
      <c r="N892" s="201"/>
    </row>
    <row r="893" spans="2:14" s="184" customFormat="1" x14ac:dyDescent="0.3">
      <c r="B893" s="212"/>
      <c r="F893" s="209"/>
      <c r="G893" s="209"/>
      <c r="H893" s="209"/>
      <c r="I893" s="209"/>
      <c r="J893" s="209"/>
      <c r="N893" s="201"/>
    </row>
    <row r="894" spans="2:14" s="184" customFormat="1" x14ac:dyDescent="0.3">
      <c r="B894" s="212"/>
      <c r="F894" s="209"/>
      <c r="G894" s="209"/>
      <c r="H894" s="209"/>
      <c r="I894" s="209"/>
      <c r="J894" s="209"/>
      <c r="N894" s="201"/>
    </row>
    <row r="895" spans="2:14" s="184" customFormat="1" x14ac:dyDescent="0.3">
      <c r="B895" s="212"/>
      <c r="F895" s="209"/>
      <c r="G895" s="209"/>
      <c r="H895" s="209"/>
      <c r="I895" s="209"/>
      <c r="J895" s="209"/>
      <c r="N895" s="201"/>
    </row>
    <row r="896" spans="2:14" s="184" customFormat="1" x14ac:dyDescent="0.3">
      <c r="B896" s="212"/>
      <c r="F896" s="209"/>
      <c r="G896" s="209"/>
      <c r="H896" s="209"/>
      <c r="I896" s="209"/>
      <c r="J896" s="209"/>
      <c r="N896" s="201"/>
    </row>
    <row r="897" spans="2:14" s="184" customFormat="1" x14ac:dyDescent="0.3">
      <c r="B897" s="212"/>
      <c r="F897" s="209"/>
      <c r="G897" s="209"/>
      <c r="H897" s="209"/>
      <c r="I897" s="209"/>
      <c r="J897" s="209"/>
      <c r="N897" s="201"/>
    </row>
    <row r="898" spans="2:14" s="184" customFormat="1" x14ac:dyDescent="0.3">
      <c r="B898" s="212"/>
      <c r="F898" s="209"/>
      <c r="G898" s="209"/>
      <c r="H898" s="209"/>
      <c r="I898" s="209"/>
      <c r="J898" s="209"/>
      <c r="N898" s="201"/>
    </row>
    <row r="899" spans="2:14" s="184" customFormat="1" x14ac:dyDescent="0.3">
      <c r="B899" s="212"/>
      <c r="F899" s="209"/>
      <c r="G899" s="209"/>
      <c r="H899" s="209"/>
      <c r="I899" s="209"/>
      <c r="J899" s="209"/>
      <c r="N899" s="201"/>
    </row>
    <row r="900" spans="2:14" s="184" customFormat="1" x14ac:dyDescent="0.3">
      <c r="B900" s="212"/>
      <c r="F900" s="209"/>
      <c r="G900" s="209"/>
      <c r="H900" s="209"/>
      <c r="I900" s="209"/>
      <c r="J900" s="209"/>
      <c r="N900" s="201"/>
    </row>
    <row r="901" spans="2:14" s="184" customFormat="1" x14ac:dyDescent="0.3">
      <c r="B901" s="212"/>
      <c r="F901" s="209"/>
      <c r="G901" s="209"/>
      <c r="H901" s="209"/>
      <c r="I901" s="209"/>
      <c r="J901" s="209"/>
      <c r="N901" s="201"/>
    </row>
    <row r="902" spans="2:14" s="184" customFormat="1" x14ac:dyDescent="0.3">
      <c r="B902" s="212"/>
      <c r="F902" s="209"/>
      <c r="G902" s="209"/>
      <c r="H902" s="209"/>
      <c r="I902" s="209"/>
      <c r="J902" s="209"/>
      <c r="N902" s="201"/>
    </row>
    <row r="903" spans="2:14" s="184" customFormat="1" x14ac:dyDescent="0.3">
      <c r="B903" s="212"/>
      <c r="F903" s="209"/>
      <c r="G903" s="209"/>
      <c r="H903" s="209"/>
      <c r="I903" s="209"/>
      <c r="J903" s="209"/>
      <c r="N903" s="201"/>
    </row>
    <row r="904" spans="2:14" s="184" customFormat="1" x14ac:dyDescent="0.3">
      <c r="B904" s="212"/>
      <c r="F904" s="209"/>
      <c r="G904" s="209"/>
      <c r="H904" s="209"/>
      <c r="I904" s="209"/>
      <c r="J904" s="209"/>
      <c r="N904" s="201"/>
    </row>
    <row r="905" spans="2:14" s="184" customFormat="1" x14ac:dyDescent="0.3">
      <c r="B905" s="212"/>
      <c r="F905" s="209"/>
      <c r="G905" s="209"/>
      <c r="H905" s="209"/>
      <c r="I905" s="209"/>
      <c r="J905" s="209"/>
      <c r="N905" s="201"/>
    </row>
    <row r="906" spans="2:14" s="184" customFormat="1" x14ac:dyDescent="0.3">
      <c r="B906" s="212"/>
      <c r="F906" s="209"/>
      <c r="G906" s="209"/>
      <c r="H906" s="209"/>
      <c r="I906" s="209"/>
      <c r="J906" s="209"/>
      <c r="N906" s="201"/>
    </row>
    <row r="907" spans="2:14" s="184" customFormat="1" x14ac:dyDescent="0.3">
      <c r="B907" s="212"/>
      <c r="F907" s="209"/>
      <c r="G907" s="209"/>
      <c r="H907" s="209"/>
      <c r="I907" s="209"/>
      <c r="J907" s="209"/>
      <c r="N907" s="201"/>
    </row>
    <row r="908" spans="2:14" s="184" customFormat="1" x14ac:dyDescent="0.3">
      <c r="B908" s="212"/>
      <c r="F908" s="209"/>
      <c r="G908" s="209"/>
      <c r="H908" s="209"/>
      <c r="I908" s="209"/>
      <c r="J908" s="209"/>
      <c r="N908" s="201"/>
    </row>
    <row r="909" spans="2:14" s="184" customFormat="1" x14ac:dyDescent="0.3">
      <c r="B909" s="212"/>
      <c r="F909" s="209"/>
      <c r="G909" s="209"/>
      <c r="H909" s="209"/>
      <c r="I909" s="209"/>
      <c r="J909" s="209"/>
      <c r="N909" s="201"/>
    </row>
    <row r="910" spans="2:14" s="184" customFormat="1" x14ac:dyDescent="0.3">
      <c r="B910" s="212"/>
      <c r="F910" s="209"/>
      <c r="G910" s="209"/>
      <c r="H910" s="209"/>
      <c r="I910" s="209"/>
      <c r="J910" s="209"/>
      <c r="N910" s="201"/>
    </row>
    <row r="911" spans="2:14" s="184" customFormat="1" x14ac:dyDescent="0.3">
      <c r="B911" s="212"/>
      <c r="F911" s="209"/>
      <c r="G911" s="209"/>
      <c r="H911" s="209"/>
      <c r="I911" s="209"/>
      <c r="J911" s="209"/>
      <c r="N911" s="201"/>
    </row>
    <row r="912" spans="2:14" s="184" customFormat="1" x14ac:dyDescent="0.3">
      <c r="B912" s="212"/>
      <c r="F912" s="209"/>
      <c r="G912" s="209"/>
      <c r="H912" s="209"/>
      <c r="I912" s="209"/>
      <c r="J912" s="209"/>
      <c r="N912" s="201"/>
    </row>
    <row r="913" spans="2:14" s="184" customFormat="1" x14ac:dyDescent="0.3">
      <c r="B913" s="212"/>
      <c r="F913" s="209"/>
      <c r="G913" s="209"/>
      <c r="H913" s="209"/>
      <c r="I913" s="209"/>
      <c r="J913" s="209"/>
      <c r="N913" s="201"/>
    </row>
    <row r="914" spans="2:14" s="184" customFormat="1" x14ac:dyDescent="0.3">
      <c r="B914" s="212"/>
      <c r="F914" s="209"/>
      <c r="G914" s="209"/>
      <c r="H914" s="209"/>
      <c r="I914" s="209"/>
      <c r="J914" s="209"/>
      <c r="N914" s="201"/>
    </row>
    <row r="915" spans="2:14" s="184" customFormat="1" x14ac:dyDescent="0.3">
      <c r="B915" s="212"/>
      <c r="F915" s="209"/>
      <c r="G915" s="209"/>
      <c r="H915" s="209"/>
      <c r="I915" s="209"/>
      <c r="J915" s="209"/>
      <c r="N915" s="201"/>
    </row>
    <row r="916" spans="2:14" s="184" customFormat="1" x14ac:dyDescent="0.3">
      <c r="B916" s="212"/>
      <c r="F916" s="209"/>
      <c r="G916" s="209"/>
      <c r="H916" s="209"/>
      <c r="I916" s="209"/>
      <c r="J916" s="209"/>
      <c r="N916" s="201"/>
    </row>
    <row r="917" spans="2:14" s="184" customFormat="1" x14ac:dyDescent="0.3">
      <c r="B917" s="212"/>
      <c r="F917" s="209"/>
      <c r="G917" s="209"/>
      <c r="H917" s="209"/>
      <c r="I917" s="209"/>
      <c r="J917" s="209"/>
      <c r="N917" s="201"/>
    </row>
    <row r="918" spans="2:14" s="184" customFormat="1" x14ac:dyDescent="0.3">
      <c r="B918" s="212"/>
      <c r="F918" s="209"/>
      <c r="G918" s="209"/>
      <c r="H918" s="209"/>
      <c r="I918" s="209"/>
      <c r="J918" s="209"/>
      <c r="N918" s="201"/>
    </row>
    <row r="919" spans="2:14" s="184" customFormat="1" x14ac:dyDescent="0.3">
      <c r="B919" s="212"/>
      <c r="F919" s="209"/>
      <c r="G919" s="209"/>
      <c r="H919" s="209"/>
      <c r="I919" s="209"/>
      <c r="J919" s="209"/>
      <c r="N919" s="201"/>
    </row>
    <row r="920" spans="2:14" s="184" customFormat="1" x14ac:dyDescent="0.3">
      <c r="B920" s="212"/>
      <c r="F920" s="209"/>
      <c r="G920" s="209"/>
      <c r="H920" s="209"/>
      <c r="I920" s="209"/>
      <c r="J920" s="209"/>
      <c r="N920" s="201"/>
    </row>
    <row r="921" spans="2:14" s="184" customFormat="1" x14ac:dyDescent="0.3">
      <c r="B921" s="212"/>
      <c r="F921" s="209"/>
      <c r="G921" s="209"/>
      <c r="H921" s="209"/>
      <c r="I921" s="209"/>
      <c r="J921" s="209"/>
      <c r="N921" s="201"/>
    </row>
    <row r="922" spans="2:14" s="184" customFormat="1" x14ac:dyDescent="0.3">
      <c r="B922" s="212"/>
      <c r="F922" s="209"/>
      <c r="G922" s="209"/>
      <c r="H922" s="209"/>
      <c r="I922" s="209"/>
      <c r="J922" s="209"/>
      <c r="N922" s="201"/>
    </row>
    <row r="923" spans="2:14" s="184" customFormat="1" x14ac:dyDescent="0.3">
      <c r="B923" s="212"/>
      <c r="F923" s="209"/>
      <c r="G923" s="209"/>
      <c r="H923" s="209"/>
      <c r="I923" s="209"/>
      <c r="J923" s="209"/>
      <c r="N923" s="201"/>
    </row>
    <row r="924" spans="2:14" s="184" customFormat="1" x14ac:dyDescent="0.3">
      <c r="B924" s="212"/>
      <c r="F924" s="209"/>
      <c r="G924" s="209"/>
      <c r="H924" s="209"/>
      <c r="I924" s="209"/>
      <c r="J924" s="209"/>
      <c r="N924" s="201"/>
    </row>
    <row r="925" spans="2:14" s="184" customFormat="1" x14ac:dyDescent="0.3">
      <c r="B925" s="212"/>
      <c r="F925" s="209"/>
      <c r="G925" s="209"/>
      <c r="H925" s="209"/>
      <c r="I925" s="209"/>
      <c r="J925" s="209"/>
      <c r="N925" s="201"/>
    </row>
    <row r="926" spans="2:14" s="184" customFormat="1" x14ac:dyDescent="0.3">
      <c r="B926" s="212"/>
      <c r="F926" s="209"/>
      <c r="G926" s="209"/>
      <c r="H926" s="209"/>
      <c r="I926" s="209"/>
      <c r="J926" s="209"/>
      <c r="N926" s="201"/>
    </row>
    <row r="927" spans="2:14" s="184" customFormat="1" x14ac:dyDescent="0.3">
      <c r="B927" s="212"/>
      <c r="F927" s="209"/>
      <c r="G927" s="209"/>
      <c r="H927" s="209"/>
      <c r="I927" s="209"/>
      <c r="J927" s="209"/>
      <c r="N927" s="201"/>
    </row>
    <row r="928" spans="2:14" s="184" customFormat="1" x14ac:dyDescent="0.3">
      <c r="B928" s="212"/>
      <c r="F928" s="209"/>
      <c r="G928" s="209"/>
      <c r="H928" s="209"/>
      <c r="I928" s="209"/>
      <c r="J928" s="209"/>
      <c r="N928" s="201"/>
    </row>
    <row r="929" spans="2:14" s="184" customFormat="1" x14ac:dyDescent="0.3">
      <c r="B929" s="212"/>
      <c r="F929" s="209"/>
      <c r="G929" s="209"/>
      <c r="H929" s="209"/>
      <c r="I929" s="209"/>
      <c r="J929" s="209"/>
      <c r="N929" s="201"/>
    </row>
    <row r="930" spans="2:14" s="184" customFormat="1" x14ac:dyDescent="0.3">
      <c r="B930" s="212"/>
      <c r="F930" s="209"/>
      <c r="G930" s="209"/>
      <c r="H930" s="209"/>
      <c r="I930" s="209"/>
      <c r="J930" s="209"/>
      <c r="N930" s="201"/>
    </row>
    <row r="931" spans="2:14" s="184" customFormat="1" x14ac:dyDescent="0.3">
      <c r="B931" s="212"/>
      <c r="F931" s="209"/>
      <c r="G931" s="209"/>
      <c r="H931" s="209"/>
      <c r="I931" s="209"/>
      <c r="J931" s="209"/>
      <c r="N931" s="201"/>
    </row>
    <row r="932" spans="2:14" s="184" customFormat="1" x14ac:dyDescent="0.3">
      <c r="B932" s="212"/>
      <c r="F932" s="209"/>
      <c r="G932" s="209"/>
      <c r="H932" s="209"/>
      <c r="I932" s="209"/>
      <c r="J932" s="209"/>
      <c r="N932" s="201"/>
    </row>
    <row r="933" spans="2:14" s="184" customFormat="1" x14ac:dyDescent="0.3">
      <c r="B933" s="212"/>
      <c r="F933" s="209"/>
      <c r="G933" s="209"/>
      <c r="H933" s="209"/>
      <c r="I933" s="209"/>
      <c r="J933" s="209"/>
      <c r="N933" s="201"/>
    </row>
    <row r="934" spans="2:14" s="184" customFormat="1" x14ac:dyDescent="0.3">
      <c r="B934" s="212"/>
      <c r="F934" s="209"/>
      <c r="G934" s="209"/>
      <c r="H934" s="209"/>
      <c r="I934" s="209"/>
      <c r="J934" s="209"/>
      <c r="N934" s="201"/>
    </row>
    <row r="935" spans="2:14" s="184" customFormat="1" x14ac:dyDescent="0.3">
      <c r="B935" s="212"/>
      <c r="F935" s="209"/>
      <c r="G935" s="209"/>
      <c r="H935" s="209"/>
      <c r="I935" s="209"/>
      <c r="J935" s="209"/>
      <c r="N935" s="201"/>
    </row>
    <row r="936" spans="2:14" s="184" customFormat="1" x14ac:dyDescent="0.3">
      <c r="B936" s="212"/>
      <c r="F936" s="209"/>
      <c r="G936" s="209"/>
      <c r="H936" s="209"/>
      <c r="I936" s="209"/>
      <c r="J936" s="209"/>
      <c r="N936" s="201"/>
    </row>
    <row r="937" spans="2:14" s="184" customFormat="1" x14ac:dyDescent="0.3">
      <c r="B937" s="212"/>
      <c r="F937" s="209"/>
      <c r="G937" s="209"/>
      <c r="H937" s="209"/>
      <c r="I937" s="209"/>
      <c r="J937" s="209"/>
      <c r="N937" s="201"/>
    </row>
    <row r="938" spans="2:14" s="184" customFormat="1" x14ac:dyDescent="0.3">
      <c r="B938" s="212"/>
      <c r="F938" s="209"/>
      <c r="G938" s="209"/>
      <c r="H938" s="209"/>
      <c r="I938" s="209"/>
      <c r="J938" s="209"/>
      <c r="N938" s="201"/>
    </row>
    <row r="939" spans="2:14" s="184" customFormat="1" x14ac:dyDescent="0.3">
      <c r="B939" s="212"/>
      <c r="F939" s="209"/>
      <c r="G939" s="209"/>
      <c r="H939" s="209"/>
      <c r="I939" s="209"/>
      <c r="J939" s="209"/>
      <c r="N939" s="201"/>
    </row>
    <row r="940" spans="2:14" s="184" customFormat="1" x14ac:dyDescent="0.3">
      <c r="B940" s="212"/>
      <c r="F940" s="209"/>
      <c r="G940" s="209"/>
      <c r="H940" s="209"/>
      <c r="I940" s="209"/>
      <c r="J940" s="209"/>
      <c r="N940" s="201"/>
    </row>
    <row r="941" spans="2:14" s="184" customFormat="1" x14ac:dyDescent="0.3">
      <c r="B941" s="212"/>
      <c r="F941" s="209"/>
      <c r="G941" s="209"/>
      <c r="H941" s="209"/>
      <c r="I941" s="209"/>
      <c r="J941" s="209"/>
      <c r="N941" s="201"/>
    </row>
    <row r="942" spans="2:14" s="184" customFormat="1" x14ac:dyDescent="0.3">
      <c r="B942" s="212"/>
      <c r="F942" s="209"/>
      <c r="G942" s="209"/>
      <c r="H942" s="209"/>
      <c r="I942" s="209"/>
      <c r="J942" s="209"/>
      <c r="N942" s="201"/>
    </row>
    <row r="943" spans="2:14" s="184" customFormat="1" x14ac:dyDescent="0.3">
      <c r="B943" s="212"/>
      <c r="F943" s="209"/>
      <c r="G943" s="209"/>
      <c r="H943" s="209"/>
      <c r="I943" s="209"/>
      <c r="J943" s="209"/>
      <c r="N943" s="201"/>
    </row>
    <row r="944" spans="2:14" s="184" customFormat="1" x14ac:dyDescent="0.3">
      <c r="B944" s="212"/>
      <c r="F944" s="209"/>
      <c r="G944" s="209"/>
      <c r="H944" s="209"/>
      <c r="I944" s="209"/>
      <c r="J944" s="209"/>
      <c r="N944" s="201"/>
    </row>
    <row r="945" spans="2:14" s="184" customFormat="1" x14ac:dyDescent="0.3">
      <c r="B945" s="212"/>
      <c r="F945" s="209"/>
      <c r="G945" s="209"/>
      <c r="H945" s="209"/>
      <c r="I945" s="209"/>
      <c r="J945" s="209"/>
      <c r="N945" s="201"/>
    </row>
    <row r="946" spans="2:14" s="184" customFormat="1" x14ac:dyDescent="0.3">
      <c r="B946" s="212"/>
      <c r="F946" s="209"/>
      <c r="G946" s="209"/>
      <c r="H946" s="209"/>
      <c r="I946" s="209"/>
      <c r="J946" s="209"/>
      <c r="N946" s="201"/>
    </row>
    <row r="947" spans="2:14" s="184" customFormat="1" x14ac:dyDescent="0.3">
      <c r="B947" s="212"/>
      <c r="F947" s="209"/>
      <c r="G947" s="209"/>
      <c r="H947" s="209"/>
      <c r="I947" s="209"/>
      <c r="J947" s="209"/>
      <c r="N947" s="201"/>
    </row>
    <row r="948" spans="2:14" s="184" customFormat="1" x14ac:dyDescent="0.3">
      <c r="B948" s="212"/>
      <c r="F948" s="209"/>
      <c r="G948" s="209"/>
      <c r="H948" s="209"/>
      <c r="I948" s="209"/>
      <c r="J948" s="209"/>
      <c r="N948" s="201"/>
    </row>
    <row r="949" spans="2:14" s="184" customFormat="1" x14ac:dyDescent="0.3">
      <c r="B949" s="212"/>
      <c r="F949" s="209"/>
      <c r="G949" s="209"/>
      <c r="H949" s="209"/>
      <c r="I949" s="209"/>
      <c r="J949" s="209"/>
      <c r="N949" s="201"/>
    </row>
    <row r="950" spans="2:14" s="184" customFormat="1" x14ac:dyDescent="0.3">
      <c r="B950" s="212"/>
      <c r="F950" s="209"/>
      <c r="G950" s="209"/>
      <c r="H950" s="209"/>
      <c r="I950" s="209"/>
      <c r="J950" s="209"/>
      <c r="N950" s="201"/>
    </row>
    <row r="951" spans="2:14" s="184" customFormat="1" x14ac:dyDescent="0.3">
      <c r="B951" s="212"/>
      <c r="F951" s="209"/>
      <c r="G951" s="209"/>
      <c r="H951" s="209"/>
      <c r="I951" s="209"/>
      <c r="J951" s="209"/>
      <c r="N951" s="201"/>
    </row>
    <row r="952" spans="2:14" s="184" customFormat="1" x14ac:dyDescent="0.3">
      <c r="B952" s="212"/>
      <c r="F952" s="209"/>
      <c r="G952" s="209"/>
      <c r="H952" s="209"/>
      <c r="I952" s="209"/>
      <c r="J952" s="209"/>
      <c r="N952" s="201"/>
    </row>
    <row r="953" spans="2:14" s="184" customFormat="1" x14ac:dyDescent="0.3">
      <c r="B953" s="212"/>
      <c r="F953" s="209"/>
      <c r="G953" s="209"/>
      <c r="H953" s="209"/>
      <c r="I953" s="209"/>
      <c r="J953" s="209"/>
      <c r="N953" s="201"/>
    </row>
    <row r="954" spans="2:14" s="184" customFormat="1" x14ac:dyDescent="0.3">
      <c r="B954" s="212"/>
      <c r="F954" s="209"/>
      <c r="G954" s="209"/>
      <c r="H954" s="209"/>
      <c r="I954" s="209"/>
      <c r="J954" s="209"/>
      <c r="N954" s="201"/>
    </row>
    <row r="955" spans="2:14" s="184" customFormat="1" x14ac:dyDescent="0.3">
      <c r="B955" s="212"/>
      <c r="F955" s="209"/>
      <c r="G955" s="209"/>
      <c r="H955" s="209"/>
      <c r="I955" s="209"/>
      <c r="J955" s="209"/>
      <c r="N955" s="201"/>
    </row>
    <row r="956" spans="2:14" s="184" customFormat="1" x14ac:dyDescent="0.3">
      <c r="B956" s="212"/>
      <c r="F956" s="209"/>
      <c r="G956" s="209"/>
      <c r="H956" s="209"/>
      <c r="I956" s="209"/>
      <c r="J956" s="209"/>
      <c r="N956" s="201"/>
    </row>
    <row r="957" spans="2:14" s="184" customFormat="1" x14ac:dyDescent="0.3">
      <c r="B957" s="212"/>
      <c r="F957" s="209"/>
      <c r="G957" s="209"/>
      <c r="H957" s="209"/>
      <c r="I957" s="209"/>
      <c r="J957" s="209"/>
      <c r="N957" s="201"/>
    </row>
    <row r="958" spans="2:14" s="184" customFormat="1" x14ac:dyDescent="0.3">
      <c r="B958" s="212"/>
      <c r="F958" s="209"/>
      <c r="G958" s="209"/>
      <c r="H958" s="209"/>
      <c r="I958" s="209"/>
      <c r="J958" s="209"/>
      <c r="N958" s="201"/>
    </row>
    <row r="959" spans="2:14" s="184" customFormat="1" x14ac:dyDescent="0.3">
      <c r="B959" s="212"/>
      <c r="F959" s="209"/>
      <c r="G959" s="209"/>
      <c r="H959" s="209"/>
      <c r="I959" s="209"/>
      <c r="J959" s="209"/>
      <c r="N959" s="201"/>
    </row>
    <row r="960" spans="2:14" s="184" customFormat="1" x14ac:dyDescent="0.3">
      <c r="B960" s="212"/>
      <c r="F960" s="209"/>
      <c r="G960" s="209"/>
      <c r="H960" s="209"/>
      <c r="I960" s="209"/>
      <c r="J960" s="209"/>
      <c r="N960" s="201"/>
    </row>
    <row r="961" spans="2:14" s="184" customFormat="1" x14ac:dyDescent="0.3">
      <c r="B961" s="212"/>
      <c r="F961" s="209"/>
      <c r="G961" s="209"/>
      <c r="H961" s="209"/>
      <c r="I961" s="209"/>
      <c r="J961" s="209"/>
      <c r="N961" s="201"/>
    </row>
    <row r="962" spans="2:14" s="184" customFormat="1" x14ac:dyDescent="0.3">
      <c r="B962" s="212"/>
      <c r="F962" s="209"/>
      <c r="G962" s="209"/>
      <c r="H962" s="209"/>
      <c r="I962" s="209"/>
      <c r="J962" s="209"/>
      <c r="N962" s="201"/>
    </row>
    <row r="963" spans="2:14" s="184" customFormat="1" x14ac:dyDescent="0.3">
      <c r="B963" s="212"/>
      <c r="F963" s="209"/>
      <c r="G963" s="209"/>
      <c r="H963" s="209"/>
      <c r="I963" s="209"/>
      <c r="J963" s="209"/>
      <c r="N963" s="201"/>
    </row>
    <row r="964" spans="2:14" s="184" customFormat="1" x14ac:dyDescent="0.3">
      <c r="B964" s="212"/>
      <c r="F964" s="209"/>
      <c r="G964" s="209"/>
      <c r="H964" s="209"/>
      <c r="I964" s="209"/>
      <c r="J964" s="209"/>
      <c r="N964" s="201"/>
    </row>
    <row r="965" spans="2:14" s="184" customFormat="1" x14ac:dyDescent="0.3">
      <c r="B965" s="212"/>
      <c r="F965" s="209"/>
      <c r="G965" s="209"/>
      <c r="H965" s="209"/>
      <c r="I965" s="209"/>
      <c r="J965" s="209"/>
      <c r="N965" s="201"/>
    </row>
    <row r="966" spans="2:14" s="184" customFormat="1" x14ac:dyDescent="0.3">
      <c r="B966" s="212"/>
      <c r="F966" s="209"/>
      <c r="G966" s="209"/>
      <c r="H966" s="209"/>
      <c r="I966" s="209"/>
      <c r="J966" s="209"/>
      <c r="N966" s="201"/>
    </row>
    <row r="967" spans="2:14" s="184" customFormat="1" x14ac:dyDescent="0.3">
      <c r="B967" s="212"/>
      <c r="F967" s="209"/>
      <c r="G967" s="209"/>
      <c r="H967" s="209"/>
      <c r="I967" s="209"/>
      <c r="J967" s="209"/>
      <c r="N967" s="201"/>
    </row>
    <row r="968" spans="2:14" s="184" customFormat="1" x14ac:dyDescent="0.3">
      <c r="B968" s="212"/>
      <c r="F968" s="209"/>
      <c r="G968" s="209"/>
      <c r="H968" s="209"/>
      <c r="I968" s="209"/>
      <c r="J968" s="209"/>
      <c r="N968" s="201"/>
    </row>
    <row r="969" spans="2:14" s="184" customFormat="1" x14ac:dyDescent="0.3">
      <c r="B969" s="212"/>
      <c r="F969" s="209"/>
      <c r="G969" s="209"/>
      <c r="H969" s="209"/>
      <c r="I969" s="209"/>
      <c r="J969" s="209"/>
      <c r="N969" s="201"/>
    </row>
    <row r="970" spans="2:14" s="184" customFormat="1" x14ac:dyDescent="0.3">
      <c r="B970" s="212"/>
      <c r="F970" s="209"/>
      <c r="G970" s="209"/>
      <c r="H970" s="209"/>
      <c r="I970" s="209"/>
      <c r="J970" s="209"/>
      <c r="N970" s="201"/>
    </row>
    <row r="971" spans="2:14" s="184" customFormat="1" x14ac:dyDescent="0.3">
      <c r="B971" s="212"/>
      <c r="F971" s="209"/>
      <c r="G971" s="209"/>
      <c r="H971" s="209"/>
      <c r="I971" s="209"/>
      <c r="J971" s="209"/>
      <c r="N971" s="201"/>
    </row>
    <row r="972" spans="2:14" s="184" customFormat="1" x14ac:dyDescent="0.3">
      <c r="B972" s="212"/>
      <c r="F972" s="209"/>
      <c r="G972" s="209"/>
      <c r="H972" s="209"/>
      <c r="I972" s="209"/>
      <c r="J972" s="209"/>
      <c r="N972" s="201"/>
    </row>
    <row r="973" spans="2:14" s="184" customFormat="1" x14ac:dyDescent="0.3">
      <c r="B973" s="212"/>
      <c r="F973" s="209"/>
      <c r="G973" s="209"/>
      <c r="H973" s="209"/>
      <c r="I973" s="209"/>
      <c r="J973" s="209"/>
      <c r="N973" s="201"/>
    </row>
    <row r="974" spans="2:14" s="184" customFormat="1" x14ac:dyDescent="0.3">
      <c r="B974" s="212"/>
      <c r="F974" s="209"/>
      <c r="G974" s="209"/>
      <c r="H974" s="209"/>
      <c r="I974" s="209"/>
      <c r="J974" s="209"/>
      <c r="N974" s="201"/>
    </row>
    <row r="975" spans="2:14" s="184" customFormat="1" x14ac:dyDescent="0.3">
      <c r="B975" s="212"/>
      <c r="F975" s="209"/>
      <c r="G975" s="209"/>
      <c r="H975" s="209"/>
      <c r="I975" s="209"/>
      <c r="J975" s="209"/>
      <c r="N975" s="201"/>
    </row>
    <row r="976" spans="2:14" s="184" customFormat="1" x14ac:dyDescent="0.3">
      <c r="B976" s="212"/>
      <c r="F976" s="209"/>
      <c r="G976" s="209"/>
      <c r="H976" s="209"/>
      <c r="I976" s="209"/>
      <c r="J976" s="209"/>
      <c r="N976" s="201"/>
    </row>
    <row r="977" spans="2:14" s="184" customFormat="1" x14ac:dyDescent="0.3">
      <c r="B977" s="212"/>
      <c r="F977" s="209"/>
      <c r="G977" s="209"/>
      <c r="H977" s="209"/>
      <c r="I977" s="209"/>
      <c r="J977" s="209"/>
      <c r="N977" s="201"/>
    </row>
    <row r="978" spans="2:14" s="184" customFormat="1" x14ac:dyDescent="0.3">
      <c r="B978" s="212"/>
      <c r="F978" s="209"/>
      <c r="G978" s="209"/>
      <c r="H978" s="209"/>
      <c r="I978" s="209"/>
      <c r="J978" s="209"/>
      <c r="N978" s="201"/>
    </row>
    <row r="979" spans="2:14" s="184" customFormat="1" x14ac:dyDescent="0.3">
      <c r="B979" s="212"/>
      <c r="F979" s="209"/>
      <c r="G979" s="209"/>
      <c r="H979" s="209"/>
      <c r="I979" s="209"/>
      <c r="J979" s="209"/>
      <c r="N979" s="201"/>
    </row>
    <row r="980" spans="2:14" s="184" customFormat="1" x14ac:dyDescent="0.3">
      <c r="B980" s="212"/>
      <c r="F980" s="209"/>
      <c r="G980" s="209"/>
      <c r="H980" s="209"/>
      <c r="I980" s="209"/>
      <c r="J980" s="209"/>
      <c r="N980" s="201"/>
    </row>
    <row r="981" spans="2:14" s="184" customFormat="1" x14ac:dyDescent="0.3">
      <c r="B981" s="212"/>
      <c r="F981" s="209"/>
      <c r="G981" s="209"/>
      <c r="H981" s="209"/>
      <c r="I981" s="209"/>
      <c r="J981" s="209"/>
      <c r="N981" s="201"/>
    </row>
    <row r="982" spans="2:14" s="184" customFormat="1" x14ac:dyDescent="0.3">
      <c r="B982" s="212"/>
      <c r="F982" s="209"/>
      <c r="G982" s="209"/>
      <c r="H982" s="209"/>
      <c r="I982" s="209"/>
      <c r="J982" s="209"/>
      <c r="N982" s="201"/>
    </row>
    <row r="983" spans="2:14" s="184" customFormat="1" x14ac:dyDescent="0.3">
      <c r="B983" s="212"/>
      <c r="F983" s="209"/>
      <c r="G983" s="209"/>
      <c r="H983" s="209"/>
      <c r="I983" s="209"/>
      <c r="J983" s="209"/>
      <c r="N983" s="201"/>
    </row>
    <row r="984" spans="2:14" s="184" customFormat="1" x14ac:dyDescent="0.3">
      <c r="B984" s="212"/>
      <c r="F984" s="209"/>
      <c r="G984" s="209"/>
      <c r="H984" s="209"/>
      <c r="I984" s="209"/>
      <c r="J984" s="209"/>
      <c r="N984" s="201"/>
    </row>
    <row r="985" spans="2:14" s="184" customFormat="1" x14ac:dyDescent="0.3">
      <c r="B985" s="212"/>
      <c r="F985" s="209"/>
      <c r="G985" s="209"/>
      <c r="H985" s="209"/>
      <c r="I985" s="209"/>
      <c r="J985" s="209"/>
      <c r="N985" s="201"/>
    </row>
    <row r="986" spans="2:14" s="184" customFormat="1" x14ac:dyDescent="0.3">
      <c r="B986" s="212"/>
      <c r="F986" s="209"/>
      <c r="G986" s="209"/>
      <c r="H986" s="209"/>
      <c r="I986" s="209"/>
      <c r="J986" s="209"/>
      <c r="N986" s="201"/>
    </row>
    <row r="987" spans="2:14" s="184" customFormat="1" x14ac:dyDescent="0.3">
      <c r="B987" s="212"/>
      <c r="F987" s="209"/>
      <c r="G987" s="209"/>
      <c r="H987" s="209"/>
      <c r="I987" s="209"/>
      <c r="J987" s="209"/>
      <c r="N987" s="201"/>
    </row>
    <row r="988" spans="2:14" s="184" customFormat="1" x14ac:dyDescent="0.3">
      <c r="B988" s="212"/>
      <c r="F988" s="209"/>
      <c r="G988" s="209"/>
      <c r="H988" s="209"/>
      <c r="I988" s="209"/>
      <c r="J988" s="209"/>
      <c r="N988" s="201"/>
    </row>
    <row r="989" spans="2:14" s="184" customFormat="1" x14ac:dyDescent="0.3">
      <c r="B989" s="212"/>
      <c r="F989" s="209"/>
      <c r="G989" s="209"/>
      <c r="H989" s="209"/>
      <c r="I989" s="209"/>
      <c r="J989" s="209"/>
      <c r="N989" s="201"/>
    </row>
    <row r="990" spans="2:14" s="184" customFormat="1" x14ac:dyDescent="0.3">
      <c r="B990" s="212"/>
      <c r="F990" s="209"/>
      <c r="G990" s="209"/>
      <c r="H990" s="209"/>
      <c r="I990" s="209"/>
      <c r="J990" s="209"/>
      <c r="N990" s="201"/>
    </row>
    <row r="991" spans="2:14" s="184" customFormat="1" x14ac:dyDescent="0.3">
      <c r="B991" s="212"/>
      <c r="F991" s="209"/>
      <c r="G991" s="209"/>
      <c r="H991" s="209"/>
      <c r="I991" s="209"/>
      <c r="J991" s="209"/>
      <c r="N991" s="201"/>
    </row>
    <row r="992" spans="2:14" s="184" customFormat="1" x14ac:dyDescent="0.3">
      <c r="B992" s="212"/>
      <c r="F992" s="209"/>
      <c r="G992" s="209"/>
      <c r="H992" s="209"/>
      <c r="I992" s="209"/>
      <c r="J992" s="209"/>
      <c r="N992" s="201"/>
    </row>
    <row r="993" spans="2:14" s="184" customFormat="1" x14ac:dyDescent="0.3">
      <c r="B993" s="212"/>
      <c r="F993" s="209"/>
      <c r="G993" s="209"/>
      <c r="H993" s="209"/>
      <c r="I993" s="209"/>
      <c r="J993" s="209"/>
      <c r="N993" s="201"/>
    </row>
    <row r="994" spans="2:14" s="184" customFormat="1" x14ac:dyDescent="0.3">
      <c r="B994" s="212"/>
      <c r="F994" s="209"/>
      <c r="G994" s="209"/>
      <c r="H994" s="209"/>
      <c r="I994" s="209"/>
      <c r="J994" s="209"/>
      <c r="N994" s="201"/>
    </row>
    <row r="995" spans="2:14" s="184" customFormat="1" x14ac:dyDescent="0.3">
      <c r="B995" s="212"/>
      <c r="F995" s="209"/>
      <c r="G995" s="209"/>
      <c r="H995" s="209"/>
      <c r="I995" s="209"/>
      <c r="J995" s="209"/>
      <c r="N995" s="201"/>
    </row>
    <row r="996" spans="2:14" s="184" customFormat="1" x14ac:dyDescent="0.3">
      <c r="B996" s="212"/>
      <c r="F996" s="209"/>
      <c r="G996" s="209"/>
      <c r="H996" s="209"/>
      <c r="I996" s="209"/>
      <c r="J996" s="209"/>
      <c r="N996" s="201"/>
    </row>
    <row r="997" spans="2:14" s="184" customFormat="1" x14ac:dyDescent="0.3">
      <c r="B997" s="212"/>
      <c r="F997" s="209"/>
      <c r="G997" s="209"/>
      <c r="H997" s="209"/>
      <c r="I997" s="209"/>
      <c r="J997" s="209"/>
      <c r="N997" s="201"/>
    </row>
    <row r="998" spans="2:14" s="184" customFormat="1" x14ac:dyDescent="0.3">
      <c r="B998" s="212"/>
      <c r="F998" s="209"/>
      <c r="G998" s="209"/>
      <c r="H998" s="209"/>
      <c r="I998" s="209"/>
      <c r="J998" s="209"/>
      <c r="N998" s="201"/>
    </row>
    <row r="999" spans="2:14" s="184" customFormat="1" x14ac:dyDescent="0.3">
      <c r="B999" s="212"/>
      <c r="F999" s="209"/>
      <c r="G999" s="209"/>
      <c r="H999" s="209"/>
      <c r="I999" s="209"/>
      <c r="J999" s="209"/>
      <c r="N999" s="201"/>
    </row>
    <row r="1000" spans="2:14" s="184" customFormat="1" x14ac:dyDescent="0.3">
      <c r="B1000" s="212"/>
      <c r="F1000" s="209"/>
      <c r="G1000" s="209"/>
      <c r="H1000" s="209"/>
      <c r="I1000" s="209"/>
      <c r="J1000" s="209"/>
      <c r="N1000" s="201"/>
    </row>
    <row r="1001" spans="2:14" s="184" customFormat="1" x14ac:dyDescent="0.3">
      <c r="B1001" s="212"/>
      <c r="F1001" s="209"/>
      <c r="G1001" s="209"/>
      <c r="H1001" s="209"/>
      <c r="I1001" s="209"/>
      <c r="J1001" s="209"/>
      <c r="N1001" s="201"/>
    </row>
    <row r="1002" spans="2:14" s="184" customFormat="1" x14ac:dyDescent="0.3">
      <c r="B1002" s="212"/>
      <c r="F1002" s="209"/>
      <c r="G1002" s="209"/>
      <c r="H1002" s="209"/>
      <c r="I1002" s="209"/>
      <c r="J1002" s="209"/>
      <c r="N1002" s="201"/>
    </row>
    <row r="1003" spans="2:14" s="184" customFormat="1" x14ac:dyDescent="0.3">
      <c r="B1003" s="212"/>
      <c r="F1003" s="209"/>
      <c r="G1003" s="209"/>
      <c r="H1003" s="209"/>
      <c r="I1003" s="209"/>
      <c r="J1003" s="209"/>
      <c r="N1003" s="201"/>
    </row>
    <row r="1004" spans="2:14" s="184" customFormat="1" x14ac:dyDescent="0.3">
      <c r="B1004" s="212"/>
      <c r="F1004" s="209"/>
      <c r="G1004" s="209"/>
      <c r="H1004" s="209"/>
      <c r="I1004" s="209"/>
      <c r="J1004" s="209"/>
      <c r="N1004" s="201"/>
    </row>
    <row r="1005" spans="2:14" s="184" customFormat="1" x14ac:dyDescent="0.3">
      <c r="B1005" s="212"/>
      <c r="F1005" s="209"/>
      <c r="G1005" s="209"/>
      <c r="H1005" s="209"/>
      <c r="I1005" s="209"/>
      <c r="J1005" s="209"/>
      <c r="N1005" s="201"/>
    </row>
    <row r="1006" spans="2:14" s="184" customFormat="1" x14ac:dyDescent="0.3">
      <c r="B1006" s="212"/>
      <c r="F1006" s="209"/>
      <c r="G1006" s="209"/>
      <c r="H1006" s="209"/>
      <c r="I1006" s="209"/>
      <c r="J1006" s="209"/>
      <c r="N1006" s="201"/>
    </row>
    <row r="1007" spans="2:14" s="184" customFormat="1" x14ac:dyDescent="0.3">
      <c r="B1007" s="212"/>
      <c r="F1007" s="209"/>
      <c r="G1007" s="209"/>
      <c r="H1007" s="209"/>
      <c r="I1007" s="209"/>
      <c r="J1007" s="209"/>
      <c r="N1007" s="201"/>
    </row>
    <row r="1008" spans="2:14" s="184" customFormat="1" x14ac:dyDescent="0.3">
      <c r="B1008" s="212"/>
      <c r="F1008" s="209"/>
      <c r="G1008" s="209"/>
      <c r="H1008" s="209"/>
      <c r="I1008" s="209"/>
      <c r="J1008" s="209"/>
      <c r="N1008" s="201"/>
    </row>
    <row r="1009" spans="2:14" s="184" customFormat="1" x14ac:dyDescent="0.3">
      <c r="B1009" s="212"/>
      <c r="F1009" s="209"/>
      <c r="G1009" s="209"/>
      <c r="H1009" s="209"/>
      <c r="I1009" s="209"/>
      <c r="J1009" s="209"/>
      <c r="N1009" s="201"/>
    </row>
    <row r="1010" spans="2:14" s="184" customFormat="1" x14ac:dyDescent="0.3">
      <c r="B1010" s="212"/>
      <c r="F1010" s="209"/>
      <c r="G1010" s="209"/>
      <c r="H1010" s="209"/>
      <c r="I1010" s="209"/>
      <c r="J1010" s="209"/>
      <c r="N1010" s="201"/>
    </row>
    <row r="1011" spans="2:14" s="184" customFormat="1" x14ac:dyDescent="0.3">
      <c r="B1011" s="212"/>
      <c r="F1011" s="209"/>
      <c r="G1011" s="209"/>
      <c r="H1011" s="209"/>
      <c r="I1011" s="209"/>
      <c r="J1011" s="209"/>
      <c r="N1011" s="201"/>
    </row>
    <row r="1012" spans="2:14" s="184" customFormat="1" x14ac:dyDescent="0.3">
      <c r="B1012" s="212"/>
      <c r="F1012" s="209"/>
      <c r="G1012" s="209"/>
      <c r="H1012" s="209"/>
      <c r="I1012" s="209"/>
      <c r="J1012" s="209"/>
      <c r="N1012" s="201"/>
    </row>
    <row r="1013" spans="2:14" s="184" customFormat="1" x14ac:dyDescent="0.3">
      <c r="B1013" s="212"/>
      <c r="F1013" s="209"/>
      <c r="G1013" s="209"/>
      <c r="H1013" s="209"/>
      <c r="I1013" s="209"/>
      <c r="J1013" s="209"/>
      <c r="N1013" s="201"/>
    </row>
    <row r="1014" spans="2:14" s="184" customFormat="1" x14ac:dyDescent="0.3">
      <c r="B1014" s="212"/>
      <c r="F1014" s="209"/>
      <c r="G1014" s="209"/>
      <c r="H1014" s="209"/>
      <c r="I1014" s="209"/>
      <c r="J1014" s="209"/>
      <c r="N1014" s="201"/>
    </row>
    <row r="1015" spans="2:14" s="184" customFormat="1" x14ac:dyDescent="0.3">
      <c r="B1015" s="212"/>
      <c r="F1015" s="209"/>
      <c r="G1015" s="209"/>
      <c r="H1015" s="209"/>
      <c r="I1015" s="209"/>
      <c r="J1015" s="209"/>
      <c r="N1015" s="201"/>
    </row>
    <row r="1016" spans="2:14" s="184" customFormat="1" x14ac:dyDescent="0.3">
      <c r="B1016" s="212"/>
      <c r="F1016" s="209"/>
      <c r="G1016" s="209"/>
      <c r="H1016" s="209"/>
      <c r="I1016" s="209"/>
      <c r="J1016" s="209"/>
      <c r="N1016" s="201"/>
    </row>
    <row r="1017" spans="2:14" s="184" customFormat="1" x14ac:dyDescent="0.3">
      <c r="B1017" s="212"/>
      <c r="F1017" s="209"/>
      <c r="G1017" s="209"/>
      <c r="H1017" s="209"/>
      <c r="I1017" s="209"/>
      <c r="J1017" s="209"/>
      <c r="N1017" s="201"/>
    </row>
    <row r="1018" spans="2:14" s="184" customFormat="1" x14ac:dyDescent="0.3">
      <c r="B1018" s="212"/>
      <c r="F1018" s="209"/>
      <c r="G1018" s="209"/>
      <c r="H1018" s="209"/>
      <c r="I1018" s="209"/>
      <c r="J1018" s="209"/>
      <c r="N1018" s="201"/>
    </row>
    <row r="1019" spans="2:14" s="184" customFormat="1" x14ac:dyDescent="0.3">
      <c r="B1019" s="212"/>
      <c r="F1019" s="209"/>
      <c r="G1019" s="209"/>
      <c r="H1019" s="209"/>
      <c r="I1019" s="209"/>
      <c r="J1019" s="209"/>
      <c r="N1019" s="201"/>
    </row>
    <row r="1020" spans="2:14" s="184" customFormat="1" x14ac:dyDescent="0.3">
      <c r="B1020" s="212"/>
      <c r="F1020" s="209"/>
      <c r="G1020" s="209"/>
      <c r="H1020" s="209"/>
      <c r="I1020" s="209"/>
      <c r="J1020" s="209"/>
      <c r="N1020" s="201"/>
    </row>
    <row r="1021" spans="2:14" s="184" customFormat="1" x14ac:dyDescent="0.3">
      <c r="B1021" s="212"/>
      <c r="F1021" s="209"/>
      <c r="G1021" s="209"/>
      <c r="H1021" s="209"/>
      <c r="I1021" s="209"/>
      <c r="J1021" s="209"/>
      <c r="N1021" s="201"/>
    </row>
    <row r="1022" spans="2:14" s="184" customFormat="1" x14ac:dyDescent="0.3">
      <c r="B1022" s="212"/>
      <c r="F1022" s="209"/>
      <c r="G1022" s="209"/>
      <c r="H1022" s="209"/>
      <c r="I1022" s="209"/>
      <c r="J1022" s="209"/>
      <c r="N1022" s="201"/>
    </row>
    <row r="1023" spans="2:14" s="184" customFormat="1" x14ac:dyDescent="0.3">
      <c r="B1023" s="212"/>
      <c r="F1023" s="209"/>
      <c r="G1023" s="209"/>
      <c r="H1023" s="209"/>
      <c r="I1023" s="209"/>
      <c r="J1023" s="209"/>
      <c r="N1023" s="201"/>
    </row>
    <row r="1024" spans="2:14" s="184" customFormat="1" x14ac:dyDescent="0.3">
      <c r="B1024" s="212"/>
      <c r="F1024" s="209"/>
      <c r="G1024" s="209"/>
      <c r="H1024" s="209"/>
      <c r="I1024" s="209"/>
      <c r="J1024" s="209"/>
      <c r="N1024" s="201"/>
    </row>
    <row r="1025" spans="2:14" s="184" customFormat="1" x14ac:dyDescent="0.3">
      <c r="B1025" s="212"/>
      <c r="F1025" s="209"/>
      <c r="G1025" s="209"/>
      <c r="H1025" s="209"/>
      <c r="I1025" s="209"/>
      <c r="J1025" s="209"/>
      <c r="N1025" s="201"/>
    </row>
    <row r="1026" spans="2:14" s="184" customFormat="1" x14ac:dyDescent="0.3">
      <c r="B1026" s="212"/>
      <c r="F1026" s="209"/>
      <c r="G1026" s="209"/>
      <c r="H1026" s="209"/>
      <c r="I1026" s="209"/>
      <c r="J1026" s="209"/>
      <c r="N1026" s="201"/>
    </row>
    <row r="1027" spans="2:14" s="184" customFormat="1" x14ac:dyDescent="0.3">
      <c r="B1027" s="212"/>
      <c r="F1027" s="209"/>
      <c r="G1027" s="209"/>
      <c r="H1027" s="209"/>
      <c r="I1027" s="209"/>
      <c r="J1027" s="209"/>
      <c r="N1027" s="201"/>
    </row>
    <row r="1028" spans="2:14" s="184" customFormat="1" x14ac:dyDescent="0.3">
      <c r="B1028" s="212"/>
      <c r="F1028" s="209"/>
      <c r="G1028" s="209"/>
      <c r="H1028" s="209"/>
      <c r="I1028" s="209"/>
      <c r="J1028" s="209"/>
      <c r="N1028" s="201"/>
    </row>
    <row r="1029" spans="2:14" s="184" customFormat="1" x14ac:dyDescent="0.3">
      <c r="B1029" s="212"/>
      <c r="F1029" s="209"/>
      <c r="G1029" s="209"/>
      <c r="H1029" s="209"/>
      <c r="I1029" s="209"/>
      <c r="J1029" s="209"/>
      <c r="N1029" s="201"/>
    </row>
    <row r="1030" spans="2:14" s="184" customFormat="1" x14ac:dyDescent="0.3">
      <c r="B1030" s="212"/>
      <c r="F1030" s="209"/>
      <c r="G1030" s="209"/>
      <c r="H1030" s="209"/>
      <c r="I1030" s="209"/>
      <c r="J1030" s="209"/>
      <c r="N1030" s="201"/>
    </row>
    <row r="1031" spans="2:14" s="184" customFormat="1" x14ac:dyDescent="0.3">
      <c r="B1031" s="212"/>
      <c r="F1031" s="209"/>
      <c r="G1031" s="209"/>
      <c r="H1031" s="209"/>
      <c r="I1031" s="209"/>
      <c r="J1031" s="209"/>
      <c r="N1031" s="201"/>
    </row>
    <row r="1032" spans="2:14" s="184" customFormat="1" x14ac:dyDescent="0.3">
      <c r="B1032" s="212"/>
      <c r="F1032" s="209"/>
      <c r="G1032" s="209"/>
      <c r="H1032" s="209"/>
      <c r="I1032" s="209"/>
      <c r="J1032" s="209"/>
      <c r="N1032" s="201"/>
    </row>
    <row r="1033" spans="2:14" s="184" customFormat="1" x14ac:dyDescent="0.3">
      <c r="B1033" s="212"/>
      <c r="F1033" s="209"/>
      <c r="G1033" s="209"/>
      <c r="H1033" s="209"/>
      <c r="I1033" s="209"/>
      <c r="J1033" s="209"/>
      <c r="N1033" s="201"/>
    </row>
    <row r="1034" spans="2:14" s="184" customFormat="1" x14ac:dyDescent="0.3">
      <c r="B1034" s="212"/>
      <c r="F1034" s="209"/>
      <c r="G1034" s="209"/>
      <c r="H1034" s="209"/>
      <c r="I1034" s="209"/>
      <c r="J1034" s="209"/>
      <c r="N1034" s="201"/>
    </row>
    <row r="1035" spans="2:14" s="184" customFormat="1" x14ac:dyDescent="0.3">
      <c r="B1035" s="212"/>
      <c r="F1035" s="209"/>
      <c r="G1035" s="209"/>
      <c r="H1035" s="209"/>
      <c r="I1035" s="209"/>
      <c r="J1035" s="209"/>
      <c r="N1035" s="201"/>
    </row>
    <row r="1036" spans="2:14" s="184" customFormat="1" x14ac:dyDescent="0.3">
      <c r="B1036" s="212"/>
      <c r="F1036" s="209"/>
      <c r="G1036" s="209"/>
      <c r="H1036" s="209"/>
      <c r="I1036" s="209"/>
      <c r="J1036" s="209"/>
      <c r="N1036" s="201"/>
    </row>
    <row r="1037" spans="2:14" s="184" customFormat="1" x14ac:dyDescent="0.3">
      <c r="B1037" s="212"/>
      <c r="F1037" s="209"/>
      <c r="G1037" s="209"/>
      <c r="H1037" s="209"/>
      <c r="I1037" s="209"/>
      <c r="J1037" s="209"/>
      <c r="N1037" s="201"/>
    </row>
    <row r="1038" spans="2:14" s="184" customFormat="1" x14ac:dyDescent="0.3">
      <c r="B1038" s="212"/>
      <c r="F1038" s="209"/>
      <c r="G1038" s="209"/>
      <c r="H1038" s="209"/>
      <c r="I1038" s="209"/>
      <c r="J1038" s="209"/>
      <c r="N1038" s="201"/>
    </row>
    <row r="1039" spans="2:14" s="184" customFormat="1" x14ac:dyDescent="0.3">
      <c r="B1039" s="212"/>
      <c r="F1039" s="209"/>
      <c r="G1039" s="209"/>
      <c r="H1039" s="209"/>
      <c r="I1039" s="209"/>
      <c r="J1039" s="209"/>
      <c r="N1039" s="201"/>
    </row>
    <row r="1040" spans="2:14" s="184" customFormat="1" x14ac:dyDescent="0.3">
      <c r="B1040" s="212"/>
      <c r="F1040" s="209"/>
      <c r="G1040" s="209"/>
      <c r="H1040" s="209"/>
      <c r="I1040" s="209"/>
      <c r="J1040" s="209"/>
      <c r="N1040" s="201"/>
    </row>
    <row r="1041" spans="2:14" s="184" customFormat="1" x14ac:dyDescent="0.3">
      <c r="B1041" s="212"/>
      <c r="F1041" s="209"/>
      <c r="G1041" s="209"/>
      <c r="H1041" s="209"/>
      <c r="I1041" s="209"/>
      <c r="J1041" s="209"/>
      <c r="N1041" s="201"/>
    </row>
    <row r="1042" spans="2:14" s="184" customFormat="1" x14ac:dyDescent="0.3">
      <c r="B1042" s="212"/>
      <c r="F1042" s="209"/>
      <c r="G1042" s="209"/>
      <c r="H1042" s="209"/>
      <c r="I1042" s="209"/>
      <c r="J1042" s="209"/>
      <c r="N1042" s="201"/>
    </row>
    <row r="1043" spans="2:14" s="184" customFormat="1" x14ac:dyDescent="0.3">
      <c r="B1043" s="212"/>
      <c r="F1043" s="209"/>
      <c r="G1043" s="209"/>
      <c r="H1043" s="209"/>
      <c r="I1043" s="209"/>
      <c r="J1043" s="209"/>
      <c r="N1043" s="201"/>
    </row>
    <row r="1044" spans="2:14" s="184" customFormat="1" x14ac:dyDescent="0.3">
      <c r="B1044" s="212"/>
      <c r="F1044" s="209"/>
      <c r="G1044" s="209"/>
      <c r="H1044" s="209"/>
      <c r="I1044" s="209"/>
      <c r="J1044" s="209"/>
      <c r="N1044" s="201"/>
    </row>
    <row r="1045" spans="2:14" s="184" customFormat="1" x14ac:dyDescent="0.3">
      <c r="B1045" s="212"/>
      <c r="F1045" s="209"/>
      <c r="G1045" s="209"/>
      <c r="H1045" s="209"/>
      <c r="I1045" s="209"/>
      <c r="J1045" s="209"/>
      <c r="N1045" s="201"/>
    </row>
    <row r="1046" spans="2:14" s="184" customFormat="1" x14ac:dyDescent="0.3">
      <c r="B1046" s="212"/>
      <c r="F1046" s="209"/>
      <c r="G1046" s="209"/>
      <c r="H1046" s="209"/>
      <c r="I1046" s="209"/>
      <c r="J1046" s="209"/>
      <c r="N1046" s="201"/>
    </row>
    <row r="1047" spans="2:14" s="184" customFormat="1" x14ac:dyDescent="0.3">
      <c r="B1047" s="212"/>
      <c r="F1047" s="209"/>
      <c r="G1047" s="209"/>
      <c r="H1047" s="209"/>
      <c r="I1047" s="209"/>
      <c r="J1047" s="209"/>
      <c r="N1047" s="201"/>
    </row>
    <row r="1048" spans="2:14" s="184" customFormat="1" x14ac:dyDescent="0.3">
      <c r="B1048" s="212"/>
      <c r="F1048" s="209"/>
      <c r="G1048" s="209"/>
      <c r="H1048" s="209"/>
      <c r="I1048" s="209"/>
      <c r="J1048" s="209"/>
      <c r="N1048" s="201"/>
    </row>
    <row r="1049" spans="2:14" s="184" customFormat="1" x14ac:dyDescent="0.3">
      <c r="B1049" s="212"/>
      <c r="F1049" s="209"/>
      <c r="G1049" s="209"/>
      <c r="H1049" s="209"/>
      <c r="I1049" s="209"/>
      <c r="J1049" s="209"/>
      <c r="N1049" s="201"/>
    </row>
    <row r="1050" spans="2:14" s="184" customFormat="1" x14ac:dyDescent="0.3">
      <c r="B1050" s="212"/>
      <c r="F1050" s="209"/>
      <c r="G1050" s="209"/>
      <c r="H1050" s="209"/>
      <c r="I1050" s="209"/>
      <c r="J1050" s="209"/>
      <c r="N1050" s="201"/>
    </row>
    <row r="1051" spans="2:14" s="184" customFormat="1" x14ac:dyDescent="0.3">
      <c r="B1051" s="212"/>
      <c r="F1051" s="209"/>
      <c r="G1051" s="209"/>
      <c r="H1051" s="209"/>
      <c r="I1051" s="209"/>
      <c r="J1051" s="209"/>
      <c r="N1051" s="201"/>
    </row>
    <row r="1052" spans="2:14" s="184" customFormat="1" x14ac:dyDescent="0.3">
      <c r="B1052" s="212"/>
      <c r="F1052" s="209"/>
      <c r="G1052" s="209"/>
      <c r="H1052" s="209"/>
      <c r="I1052" s="209"/>
      <c r="J1052" s="209"/>
      <c r="N1052" s="201"/>
    </row>
    <row r="1053" spans="2:14" s="184" customFormat="1" x14ac:dyDescent="0.3">
      <c r="B1053" s="212"/>
      <c r="F1053" s="209"/>
      <c r="G1053" s="209"/>
      <c r="H1053" s="209"/>
      <c r="I1053" s="209"/>
      <c r="J1053" s="209"/>
      <c r="N1053" s="201"/>
    </row>
    <row r="1054" spans="2:14" s="184" customFormat="1" x14ac:dyDescent="0.3">
      <c r="B1054" s="212"/>
      <c r="F1054" s="209"/>
      <c r="G1054" s="209"/>
      <c r="H1054" s="209"/>
      <c r="I1054" s="209"/>
      <c r="J1054" s="209"/>
      <c r="N1054" s="201"/>
    </row>
    <row r="1055" spans="2:14" s="184" customFormat="1" x14ac:dyDescent="0.3">
      <c r="B1055" s="212"/>
      <c r="F1055" s="209"/>
      <c r="G1055" s="209"/>
      <c r="H1055" s="209"/>
      <c r="I1055" s="209"/>
      <c r="J1055" s="209"/>
      <c r="N1055" s="201"/>
    </row>
    <row r="1056" spans="2:14" s="184" customFormat="1" x14ac:dyDescent="0.3">
      <c r="B1056" s="212"/>
      <c r="F1056" s="209"/>
      <c r="G1056" s="209"/>
      <c r="H1056" s="209"/>
      <c r="I1056" s="209"/>
      <c r="J1056" s="209"/>
      <c r="N1056" s="201"/>
    </row>
    <row r="1057" spans="2:14" s="184" customFormat="1" x14ac:dyDescent="0.3">
      <c r="B1057" s="212"/>
      <c r="F1057" s="209"/>
      <c r="G1057" s="209"/>
      <c r="H1057" s="209"/>
      <c r="I1057" s="209"/>
      <c r="J1057" s="209"/>
      <c r="N1057" s="201"/>
    </row>
    <row r="1058" spans="2:14" s="184" customFormat="1" x14ac:dyDescent="0.3">
      <c r="B1058" s="212"/>
      <c r="F1058" s="209"/>
      <c r="G1058" s="209"/>
      <c r="H1058" s="209"/>
      <c r="I1058" s="209"/>
      <c r="J1058" s="209"/>
      <c r="N1058" s="201"/>
    </row>
    <row r="1059" spans="2:14" s="184" customFormat="1" x14ac:dyDescent="0.3">
      <c r="B1059" s="212"/>
      <c r="F1059" s="209"/>
      <c r="G1059" s="209"/>
      <c r="H1059" s="209"/>
      <c r="I1059" s="209"/>
      <c r="J1059" s="209"/>
      <c r="N1059" s="201"/>
    </row>
    <row r="1060" spans="2:14" s="184" customFormat="1" x14ac:dyDescent="0.3">
      <c r="B1060" s="212"/>
      <c r="F1060" s="209"/>
      <c r="G1060" s="209"/>
      <c r="H1060" s="209"/>
      <c r="I1060" s="209"/>
      <c r="J1060" s="209"/>
      <c r="N1060" s="201"/>
    </row>
    <row r="1061" spans="2:14" s="184" customFormat="1" x14ac:dyDescent="0.3">
      <c r="B1061" s="212"/>
      <c r="F1061" s="209"/>
      <c r="G1061" s="209"/>
      <c r="H1061" s="209"/>
      <c r="I1061" s="209"/>
      <c r="J1061" s="209"/>
      <c r="N1061" s="201"/>
    </row>
    <row r="1062" spans="2:14" s="184" customFormat="1" x14ac:dyDescent="0.3">
      <c r="B1062" s="212"/>
      <c r="F1062" s="209"/>
      <c r="G1062" s="209"/>
      <c r="H1062" s="209"/>
      <c r="I1062" s="209"/>
      <c r="J1062" s="209"/>
      <c r="N1062" s="201"/>
    </row>
    <row r="1063" spans="2:14" s="184" customFormat="1" x14ac:dyDescent="0.3">
      <c r="B1063" s="212"/>
      <c r="F1063" s="209"/>
      <c r="G1063" s="209"/>
      <c r="H1063" s="209"/>
      <c r="I1063" s="209"/>
      <c r="J1063" s="209"/>
      <c r="N1063" s="201"/>
    </row>
    <row r="1064" spans="2:14" s="184" customFormat="1" x14ac:dyDescent="0.3">
      <c r="B1064" s="212"/>
      <c r="F1064" s="209"/>
      <c r="G1064" s="209"/>
      <c r="H1064" s="209"/>
      <c r="I1064" s="209"/>
      <c r="J1064" s="209"/>
      <c r="N1064" s="201"/>
    </row>
    <row r="1065" spans="2:14" s="184" customFormat="1" x14ac:dyDescent="0.3">
      <c r="B1065" s="212"/>
      <c r="F1065" s="209"/>
      <c r="G1065" s="209"/>
      <c r="H1065" s="209"/>
      <c r="I1065" s="209"/>
      <c r="J1065" s="209"/>
      <c r="N1065" s="201"/>
    </row>
    <row r="1066" spans="2:14" s="184" customFormat="1" x14ac:dyDescent="0.3">
      <c r="B1066" s="212"/>
      <c r="F1066" s="209"/>
      <c r="G1066" s="209"/>
      <c r="H1066" s="209"/>
      <c r="I1066" s="209"/>
      <c r="J1066" s="209"/>
      <c r="N1066" s="201"/>
    </row>
    <row r="1067" spans="2:14" s="184" customFormat="1" x14ac:dyDescent="0.3">
      <c r="B1067" s="212"/>
      <c r="F1067" s="209"/>
      <c r="G1067" s="209"/>
      <c r="H1067" s="209"/>
      <c r="I1067" s="209"/>
      <c r="J1067" s="209"/>
      <c r="N1067" s="201"/>
    </row>
    <row r="1068" spans="2:14" s="184" customFormat="1" x14ac:dyDescent="0.3">
      <c r="B1068" s="212"/>
      <c r="F1068" s="209"/>
      <c r="G1068" s="209"/>
      <c r="H1068" s="209"/>
      <c r="I1068" s="209"/>
      <c r="J1068" s="209"/>
      <c r="N1068" s="201"/>
    </row>
    <row r="1069" spans="2:14" s="184" customFormat="1" x14ac:dyDescent="0.3">
      <c r="B1069" s="212"/>
      <c r="F1069" s="209"/>
      <c r="G1069" s="209"/>
      <c r="H1069" s="209"/>
      <c r="I1069" s="209"/>
      <c r="J1069" s="209"/>
      <c r="N1069" s="201"/>
    </row>
    <row r="1070" spans="2:14" s="184" customFormat="1" x14ac:dyDescent="0.3">
      <c r="B1070" s="212"/>
      <c r="F1070" s="209"/>
      <c r="G1070" s="209"/>
      <c r="H1070" s="209"/>
      <c r="I1070" s="209"/>
      <c r="J1070" s="209"/>
      <c r="N1070" s="201"/>
    </row>
    <row r="1071" spans="2:14" s="184" customFormat="1" x14ac:dyDescent="0.3">
      <c r="B1071" s="212"/>
      <c r="F1071" s="209"/>
      <c r="G1071" s="209"/>
      <c r="H1071" s="209"/>
      <c r="I1071" s="209"/>
      <c r="J1071" s="209"/>
      <c r="N1071" s="201"/>
    </row>
    <row r="1072" spans="2:14" s="184" customFormat="1" x14ac:dyDescent="0.3">
      <c r="B1072" s="212"/>
      <c r="F1072" s="209"/>
      <c r="G1072" s="209"/>
      <c r="H1072" s="209"/>
      <c r="I1072" s="209"/>
      <c r="J1072" s="209"/>
      <c r="N1072" s="201"/>
    </row>
    <row r="1073" spans="2:14" s="184" customFormat="1" x14ac:dyDescent="0.3">
      <c r="B1073" s="212"/>
      <c r="F1073" s="209"/>
      <c r="G1073" s="209"/>
      <c r="H1073" s="209"/>
      <c r="I1073" s="209"/>
      <c r="J1073" s="209"/>
      <c r="N1073" s="201"/>
    </row>
    <row r="1074" spans="2:14" s="184" customFormat="1" x14ac:dyDescent="0.3">
      <c r="B1074" s="212"/>
      <c r="F1074" s="209"/>
      <c r="G1074" s="209"/>
      <c r="H1074" s="209"/>
      <c r="I1074" s="209"/>
      <c r="J1074" s="209"/>
      <c r="N1074" s="201"/>
    </row>
    <row r="1075" spans="2:14" s="184" customFormat="1" x14ac:dyDescent="0.3">
      <c r="B1075" s="212"/>
      <c r="F1075" s="209"/>
      <c r="G1075" s="209"/>
      <c r="H1075" s="209"/>
      <c r="I1075" s="209"/>
      <c r="J1075" s="209"/>
      <c r="N1075" s="201"/>
    </row>
    <row r="1076" spans="2:14" s="184" customFormat="1" x14ac:dyDescent="0.3">
      <c r="B1076" s="212"/>
      <c r="F1076" s="209"/>
      <c r="G1076" s="209"/>
      <c r="H1076" s="209"/>
      <c r="I1076" s="209"/>
      <c r="J1076" s="209"/>
      <c r="N1076" s="201"/>
    </row>
    <row r="1077" spans="2:14" s="184" customFormat="1" x14ac:dyDescent="0.3">
      <c r="B1077" s="212"/>
      <c r="F1077" s="209"/>
      <c r="G1077" s="209"/>
      <c r="H1077" s="209"/>
      <c r="I1077" s="209"/>
      <c r="J1077" s="209"/>
      <c r="N1077" s="201"/>
    </row>
    <row r="1078" spans="2:14" s="184" customFormat="1" x14ac:dyDescent="0.3">
      <c r="B1078" s="212"/>
      <c r="F1078" s="209"/>
      <c r="G1078" s="209"/>
      <c r="H1078" s="209"/>
      <c r="I1078" s="209"/>
      <c r="J1078" s="209"/>
      <c r="N1078" s="201"/>
    </row>
    <row r="1079" spans="2:14" s="184" customFormat="1" x14ac:dyDescent="0.3">
      <c r="B1079" s="212"/>
      <c r="F1079" s="209"/>
      <c r="G1079" s="209"/>
      <c r="H1079" s="209"/>
      <c r="I1079" s="209"/>
      <c r="J1079" s="209"/>
      <c r="N1079" s="201"/>
    </row>
    <row r="1080" spans="2:14" s="184" customFormat="1" x14ac:dyDescent="0.3">
      <c r="B1080" s="212"/>
      <c r="F1080" s="209"/>
      <c r="G1080" s="209"/>
      <c r="H1080" s="209"/>
      <c r="I1080" s="209"/>
      <c r="J1080" s="209"/>
      <c r="N1080" s="201"/>
    </row>
    <row r="1081" spans="2:14" s="184" customFormat="1" x14ac:dyDescent="0.3">
      <c r="B1081" s="212"/>
      <c r="F1081" s="209"/>
      <c r="G1081" s="209"/>
      <c r="H1081" s="209"/>
      <c r="I1081" s="209"/>
      <c r="J1081" s="209"/>
      <c r="N1081" s="201"/>
    </row>
    <row r="1082" spans="2:14" s="184" customFormat="1" x14ac:dyDescent="0.3">
      <c r="B1082" s="212"/>
      <c r="F1082" s="209"/>
      <c r="G1082" s="209"/>
      <c r="H1082" s="209"/>
      <c r="I1082" s="209"/>
      <c r="J1082" s="209"/>
      <c r="N1082" s="201"/>
    </row>
    <row r="1083" spans="2:14" s="184" customFormat="1" x14ac:dyDescent="0.3">
      <c r="B1083" s="212"/>
      <c r="F1083" s="209"/>
      <c r="G1083" s="209"/>
      <c r="H1083" s="209"/>
      <c r="I1083" s="209"/>
      <c r="J1083" s="209"/>
      <c r="N1083" s="201"/>
    </row>
    <row r="1084" spans="2:14" s="184" customFormat="1" x14ac:dyDescent="0.3">
      <c r="B1084" s="212"/>
      <c r="F1084" s="209"/>
      <c r="G1084" s="209"/>
      <c r="H1084" s="209"/>
      <c r="I1084" s="209"/>
      <c r="J1084" s="209"/>
      <c r="N1084" s="201"/>
    </row>
    <row r="1085" spans="2:14" s="184" customFormat="1" x14ac:dyDescent="0.3">
      <c r="B1085" s="212"/>
      <c r="F1085" s="209"/>
      <c r="G1085" s="209"/>
      <c r="H1085" s="209"/>
      <c r="I1085" s="209"/>
      <c r="J1085" s="209"/>
      <c r="N1085" s="201"/>
    </row>
    <row r="1086" spans="2:14" s="184" customFormat="1" x14ac:dyDescent="0.3">
      <c r="B1086" s="212"/>
      <c r="F1086" s="209"/>
      <c r="G1086" s="209"/>
      <c r="H1086" s="209"/>
      <c r="I1086" s="209"/>
      <c r="J1086" s="209"/>
      <c r="N1086" s="201"/>
    </row>
    <row r="1087" spans="2:14" s="184" customFormat="1" x14ac:dyDescent="0.3">
      <c r="B1087" s="212"/>
      <c r="F1087" s="209"/>
      <c r="G1087" s="209"/>
      <c r="H1087" s="209"/>
      <c r="I1087" s="209"/>
      <c r="J1087" s="209"/>
      <c r="N1087" s="201"/>
    </row>
    <row r="1088" spans="2:14" s="184" customFormat="1" x14ac:dyDescent="0.3">
      <c r="B1088" s="212"/>
      <c r="F1088" s="209"/>
      <c r="G1088" s="209"/>
      <c r="H1088" s="209"/>
      <c r="I1088" s="209"/>
      <c r="J1088" s="209"/>
      <c r="N1088" s="201"/>
    </row>
    <row r="1089" spans="2:14" s="184" customFormat="1" x14ac:dyDescent="0.3">
      <c r="B1089" s="212"/>
      <c r="F1089" s="209"/>
      <c r="G1089" s="209"/>
      <c r="H1089" s="209"/>
      <c r="I1089" s="209"/>
      <c r="J1089" s="209"/>
      <c r="N1089" s="201"/>
    </row>
    <row r="1090" spans="2:14" s="184" customFormat="1" x14ac:dyDescent="0.3">
      <c r="B1090" s="212"/>
      <c r="F1090" s="209"/>
      <c r="G1090" s="209"/>
      <c r="H1090" s="209"/>
      <c r="I1090" s="209"/>
      <c r="J1090" s="209"/>
      <c r="N1090" s="201"/>
    </row>
    <row r="1091" spans="2:14" s="184" customFormat="1" x14ac:dyDescent="0.3">
      <c r="B1091" s="212"/>
      <c r="F1091" s="209"/>
      <c r="G1091" s="209"/>
      <c r="H1091" s="209"/>
      <c r="I1091" s="209"/>
      <c r="J1091" s="209"/>
      <c r="N1091" s="201"/>
    </row>
    <row r="1092" spans="2:14" s="184" customFormat="1" x14ac:dyDescent="0.3">
      <c r="B1092" s="212"/>
      <c r="F1092" s="209"/>
      <c r="G1092" s="209"/>
      <c r="H1092" s="209"/>
      <c r="I1092" s="209"/>
      <c r="J1092" s="209"/>
      <c r="N1092" s="201"/>
    </row>
    <row r="1093" spans="2:14" s="184" customFormat="1" x14ac:dyDescent="0.3">
      <c r="B1093" s="212"/>
      <c r="F1093" s="209"/>
      <c r="G1093" s="209"/>
      <c r="H1093" s="209"/>
      <c r="I1093" s="209"/>
      <c r="J1093" s="209"/>
      <c r="N1093" s="201"/>
    </row>
    <row r="1094" spans="2:14" s="184" customFormat="1" x14ac:dyDescent="0.3">
      <c r="B1094" s="212"/>
      <c r="F1094" s="209"/>
      <c r="G1094" s="209"/>
      <c r="H1094" s="209"/>
      <c r="I1094" s="209"/>
      <c r="J1094" s="209"/>
      <c r="N1094" s="201"/>
    </row>
    <row r="1095" spans="2:14" s="184" customFormat="1" x14ac:dyDescent="0.3">
      <c r="B1095" s="212"/>
      <c r="F1095" s="209"/>
      <c r="G1095" s="209"/>
      <c r="H1095" s="209"/>
      <c r="I1095" s="209"/>
      <c r="J1095" s="209"/>
      <c r="N1095" s="201"/>
    </row>
    <row r="1096" spans="2:14" s="184" customFormat="1" x14ac:dyDescent="0.3">
      <c r="B1096" s="212"/>
      <c r="F1096" s="209"/>
      <c r="G1096" s="209"/>
      <c r="H1096" s="209"/>
      <c r="I1096" s="209"/>
      <c r="J1096" s="209"/>
      <c r="N1096" s="201"/>
    </row>
    <row r="1097" spans="2:14" s="184" customFormat="1" x14ac:dyDescent="0.3">
      <c r="B1097" s="212"/>
      <c r="F1097" s="209"/>
      <c r="G1097" s="209"/>
      <c r="H1097" s="209"/>
      <c r="I1097" s="209"/>
      <c r="J1097" s="209"/>
      <c r="N1097" s="201"/>
    </row>
    <row r="1098" spans="2:14" s="184" customFormat="1" x14ac:dyDescent="0.3">
      <c r="B1098" s="212"/>
      <c r="F1098" s="209"/>
      <c r="G1098" s="209"/>
      <c r="H1098" s="209"/>
      <c r="I1098" s="209"/>
      <c r="J1098" s="209"/>
      <c r="N1098" s="201"/>
    </row>
    <row r="1099" spans="2:14" s="184" customFormat="1" x14ac:dyDescent="0.3">
      <c r="B1099" s="212"/>
      <c r="F1099" s="209"/>
      <c r="G1099" s="209"/>
      <c r="H1099" s="209"/>
      <c r="I1099" s="209"/>
      <c r="J1099" s="209"/>
      <c r="N1099" s="201"/>
    </row>
    <row r="1100" spans="2:14" s="184" customFormat="1" x14ac:dyDescent="0.3">
      <c r="B1100" s="212"/>
      <c r="F1100" s="209"/>
      <c r="G1100" s="209"/>
      <c r="H1100" s="209"/>
      <c r="I1100" s="209"/>
      <c r="J1100" s="209"/>
      <c r="N1100" s="201"/>
    </row>
    <row r="1101" spans="2:14" s="184" customFormat="1" x14ac:dyDescent="0.3">
      <c r="B1101" s="212"/>
      <c r="F1101" s="209"/>
      <c r="G1101" s="209"/>
      <c r="H1101" s="209"/>
      <c r="I1101" s="209"/>
      <c r="J1101" s="209"/>
      <c r="N1101" s="201"/>
    </row>
    <row r="1102" spans="2:14" s="184" customFormat="1" x14ac:dyDescent="0.3">
      <c r="B1102" s="212"/>
      <c r="F1102" s="209"/>
      <c r="G1102" s="209"/>
      <c r="H1102" s="209"/>
      <c r="I1102" s="209"/>
      <c r="J1102" s="209"/>
      <c r="N1102" s="201"/>
    </row>
    <row r="1103" spans="2:14" s="184" customFormat="1" x14ac:dyDescent="0.3">
      <c r="B1103" s="212"/>
      <c r="F1103" s="209"/>
      <c r="G1103" s="209"/>
      <c r="H1103" s="209"/>
      <c r="I1103" s="209"/>
      <c r="J1103" s="209"/>
      <c r="N1103" s="201"/>
    </row>
    <row r="1104" spans="2:14" s="184" customFormat="1" x14ac:dyDescent="0.3">
      <c r="B1104" s="212"/>
      <c r="F1104" s="209"/>
      <c r="G1104" s="209"/>
      <c r="H1104" s="209"/>
      <c r="I1104" s="209"/>
      <c r="J1104" s="209"/>
      <c r="N1104" s="201"/>
    </row>
    <row r="1105" spans="2:14" s="184" customFormat="1" x14ac:dyDescent="0.3">
      <c r="B1105" s="212"/>
      <c r="F1105" s="209"/>
      <c r="G1105" s="209"/>
      <c r="H1105" s="209"/>
      <c r="I1105" s="209"/>
      <c r="J1105" s="209"/>
      <c r="N1105" s="201"/>
    </row>
    <row r="1106" spans="2:14" s="184" customFormat="1" x14ac:dyDescent="0.3">
      <c r="B1106" s="212"/>
      <c r="F1106" s="209"/>
      <c r="G1106" s="209"/>
      <c r="H1106" s="209"/>
      <c r="I1106" s="209"/>
      <c r="J1106" s="209"/>
      <c r="N1106" s="201"/>
    </row>
    <row r="1107" spans="2:14" s="184" customFormat="1" x14ac:dyDescent="0.3">
      <c r="B1107" s="212"/>
      <c r="F1107" s="209"/>
      <c r="G1107" s="209"/>
      <c r="H1107" s="209"/>
      <c r="I1107" s="209"/>
      <c r="J1107" s="209"/>
      <c r="N1107" s="201"/>
    </row>
    <row r="1108" spans="2:14" s="184" customFormat="1" x14ac:dyDescent="0.3">
      <c r="B1108" s="212"/>
      <c r="F1108" s="209"/>
      <c r="G1108" s="209"/>
      <c r="H1108" s="209"/>
      <c r="I1108" s="209"/>
      <c r="J1108" s="209"/>
      <c r="N1108" s="201"/>
    </row>
    <row r="1109" spans="2:14" s="184" customFormat="1" x14ac:dyDescent="0.3">
      <c r="B1109" s="212"/>
      <c r="F1109" s="209"/>
      <c r="G1109" s="209"/>
      <c r="H1109" s="209"/>
      <c r="I1109" s="209"/>
      <c r="J1109" s="209"/>
      <c r="N1109" s="201"/>
    </row>
    <row r="1110" spans="2:14" s="184" customFormat="1" x14ac:dyDescent="0.3">
      <c r="B1110" s="212"/>
      <c r="F1110" s="209"/>
      <c r="G1110" s="209"/>
      <c r="H1110" s="209"/>
      <c r="I1110" s="209"/>
      <c r="J1110" s="209"/>
      <c r="N1110" s="201"/>
    </row>
    <row r="1111" spans="2:14" s="184" customFormat="1" x14ac:dyDescent="0.3">
      <c r="B1111" s="212"/>
      <c r="F1111" s="209"/>
      <c r="G1111" s="209"/>
      <c r="H1111" s="209"/>
      <c r="I1111" s="209"/>
      <c r="J1111" s="209"/>
      <c r="N1111" s="201"/>
    </row>
    <row r="1112" spans="2:14" s="184" customFormat="1" x14ac:dyDescent="0.3">
      <c r="B1112" s="212"/>
      <c r="F1112" s="209"/>
      <c r="G1112" s="209"/>
      <c r="H1112" s="209"/>
      <c r="I1112" s="209"/>
      <c r="J1112" s="209"/>
      <c r="N1112" s="201"/>
    </row>
    <row r="1113" spans="2:14" s="184" customFormat="1" x14ac:dyDescent="0.3">
      <c r="B1113" s="212"/>
      <c r="F1113" s="209"/>
      <c r="G1113" s="209"/>
      <c r="H1113" s="209"/>
      <c r="I1113" s="209"/>
      <c r="J1113" s="209"/>
      <c r="N1113" s="201"/>
    </row>
    <row r="1114" spans="2:14" s="184" customFormat="1" x14ac:dyDescent="0.3">
      <c r="B1114" s="212"/>
      <c r="F1114" s="209"/>
      <c r="G1114" s="209"/>
      <c r="H1114" s="209"/>
      <c r="I1114" s="209"/>
      <c r="J1114" s="209"/>
      <c r="N1114" s="201"/>
    </row>
    <row r="1115" spans="2:14" s="184" customFormat="1" x14ac:dyDescent="0.3">
      <c r="B1115" s="212"/>
      <c r="F1115" s="209"/>
      <c r="G1115" s="209"/>
      <c r="H1115" s="209"/>
      <c r="I1115" s="209"/>
      <c r="J1115" s="209"/>
      <c r="N1115" s="201"/>
    </row>
    <row r="1116" spans="2:14" s="184" customFormat="1" x14ac:dyDescent="0.3">
      <c r="B1116" s="212"/>
      <c r="F1116" s="209"/>
      <c r="G1116" s="209"/>
      <c r="H1116" s="209"/>
      <c r="I1116" s="209"/>
      <c r="J1116" s="209"/>
      <c r="N1116" s="201"/>
    </row>
    <row r="1117" spans="2:14" s="184" customFormat="1" x14ac:dyDescent="0.3">
      <c r="B1117" s="212"/>
      <c r="F1117" s="209"/>
      <c r="G1117" s="209"/>
      <c r="H1117" s="209"/>
      <c r="I1117" s="209"/>
      <c r="J1117" s="209"/>
      <c r="N1117" s="201"/>
    </row>
    <row r="1118" spans="2:14" s="184" customFormat="1" x14ac:dyDescent="0.3">
      <c r="B1118" s="212"/>
      <c r="F1118" s="209"/>
      <c r="G1118" s="209"/>
      <c r="H1118" s="209"/>
      <c r="I1118" s="209"/>
      <c r="J1118" s="209"/>
      <c r="N1118" s="201"/>
    </row>
    <row r="1119" spans="2:14" s="184" customFormat="1" x14ac:dyDescent="0.3">
      <c r="B1119" s="212"/>
      <c r="F1119" s="209"/>
      <c r="G1119" s="209"/>
      <c r="H1119" s="209"/>
      <c r="I1119" s="209"/>
      <c r="J1119" s="209"/>
      <c r="N1119" s="201"/>
    </row>
    <row r="1120" spans="2:14" s="184" customFormat="1" x14ac:dyDescent="0.3">
      <c r="B1120" s="212"/>
      <c r="F1120" s="209"/>
      <c r="G1120" s="209"/>
      <c r="H1120" s="209"/>
      <c r="I1120" s="209"/>
      <c r="J1120" s="209"/>
      <c r="N1120" s="201"/>
    </row>
    <row r="1121" spans="2:14" s="184" customFormat="1" x14ac:dyDescent="0.3">
      <c r="B1121" s="212"/>
      <c r="F1121" s="209"/>
      <c r="G1121" s="209"/>
      <c r="H1121" s="209"/>
      <c r="I1121" s="209"/>
      <c r="J1121" s="209"/>
      <c r="N1121" s="201"/>
    </row>
    <row r="1122" spans="2:14" s="184" customFormat="1" x14ac:dyDescent="0.3">
      <c r="B1122" s="212"/>
      <c r="F1122" s="209"/>
      <c r="G1122" s="209"/>
      <c r="H1122" s="209"/>
      <c r="I1122" s="209"/>
      <c r="J1122" s="209"/>
      <c r="N1122" s="201"/>
    </row>
    <row r="1123" spans="2:14" s="184" customFormat="1" x14ac:dyDescent="0.3">
      <c r="B1123" s="212"/>
      <c r="F1123" s="209"/>
      <c r="G1123" s="209"/>
      <c r="H1123" s="209"/>
      <c r="I1123" s="209"/>
      <c r="J1123" s="209"/>
      <c r="N1123" s="201"/>
    </row>
    <row r="1124" spans="2:14" s="184" customFormat="1" x14ac:dyDescent="0.3">
      <c r="B1124" s="212"/>
      <c r="F1124" s="209"/>
      <c r="G1124" s="209"/>
      <c r="H1124" s="209"/>
      <c r="I1124" s="209"/>
      <c r="J1124" s="209"/>
      <c r="N1124" s="201"/>
    </row>
    <row r="1125" spans="2:14" s="184" customFormat="1" x14ac:dyDescent="0.3">
      <c r="B1125" s="212"/>
      <c r="F1125" s="209"/>
      <c r="G1125" s="209"/>
      <c r="H1125" s="209"/>
      <c r="I1125" s="209"/>
      <c r="J1125" s="209"/>
      <c r="N1125" s="201"/>
    </row>
    <row r="1126" spans="2:14" s="184" customFormat="1" x14ac:dyDescent="0.3">
      <c r="B1126" s="212"/>
      <c r="F1126" s="209"/>
      <c r="G1126" s="209"/>
      <c r="H1126" s="209"/>
      <c r="I1126" s="209"/>
      <c r="J1126" s="209"/>
      <c r="N1126" s="201"/>
    </row>
    <row r="1127" spans="2:14" s="184" customFormat="1" x14ac:dyDescent="0.3">
      <c r="B1127" s="212"/>
      <c r="F1127" s="209"/>
      <c r="G1127" s="209"/>
      <c r="H1127" s="209"/>
      <c r="I1127" s="209"/>
      <c r="J1127" s="209"/>
      <c r="N1127" s="201"/>
    </row>
    <row r="1128" spans="2:14" s="184" customFormat="1" x14ac:dyDescent="0.3">
      <c r="B1128" s="212"/>
      <c r="F1128" s="209"/>
      <c r="G1128" s="209"/>
      <c r="H1128" s="209"/>
      <c r="I1128" s="209"/>
      <c r="J1128" s="209"/>
      <c r="N1128" s="201"/>
    </row>
    <row r="1129" spans="2:14" s="184" customFormat="1" x14ac:dyDescent="0.3">
      <c r="B1129" s="212"/>
      <c r="F1129" s="209"/>
      <c r="G1129" s="209"/>
      <c r="H1129" s="209"/>
      <c r="I1129" s="209"/>
      <c r="J1129" s="209"/>
      <c r="N1129" s="201"/>
    </row>
    <row r="1130" spans="2:14" s="184" customFormat="1" x14ac:dyDescent="0.3">
      <c r="B1130" s="212"/>
      <c r="F1130" s="209"/>
      <c r="G1130" s="209"/>
      <c r="H1130" s="209"/>
      <c r="I1130" s="209"/>
      <c r="J1130" s="209"/>
      <c r="N1130" s="201"/>
    </row>
    <row r="1131" spans="2:14" s="184" customFormat="1" x14ac:dyDescent="0.3">
      <c r="B1131" s="212"/>
      <c r="F1131" s="209"/>
      <c r="G1131" s="209"/>
      <c r="H1131" s="209"/>
      <c r="I1131" s="209"/>
      <c r="J1131" s="209"/>
      <c r="N1131" s="201"/>
    </row>
    <row r="1132" spans="2:14" s="184" customFormat="1" x14ac:dyDescent="0.3">
      <c r="B1132" s="212"/>
      <c r="F1132" s="209"/>
      <c r="G1132" s="209"/>
      <c r="H1132" s="209"/>
      <c r="I1132" s="209"/>
      <c r="J1132" s="209"/>
      <c r="N1132" s="201"/>
    </row>
    <row r="1133" spans="2:14" s="184" customFormat="1" x14ac:dyDescent="0.3">
      <c r="B1133" s="212"/>
      <c r="F1133" s="209"/>
      <c r="G1133" s="209"/>
      <c r="H1133" s="209"/>
      <c r="I1133" s="209"/>
      <c r="J1133" s="209"/>
      <c r="N1133" s="201"/>
    </row>
    <row r="1134" spans="2:14" s="184" customFormat="1" x14ac:dyDescent="0.3">
      <c r="B1134" s="212"/>
      <c r="F1134" s="209"/>
      <c r="G1134" s="209"/>
      <c r="H1134" s="209"/>
      <c r="I1134" s="209"/>
      <c r="J1134" s="209"/>
      <c r="N1134" s="201"/>
    </row>
    <row r="1135" spans="2:14" s="184" customFormat="1" x14ac:dyDescent="0.3">
      <c r="B1135" s="212"/>
      <c r="F1135" s="209"/>
      <c r="G1135" s="209"/>
      <c r="H1135" s="209"/>
      <c r="I1135" s="209"/>
      <c r="J1135" s="209"/>
      <c r="N1135" s="201"/>
    </row>
    <row r="1136" spans="2:14" s="184" customFormat="1" x14ac:dyDescent="0.3">
      <c r="B1136" s="212"/>
      <c r="F1136" s="209"/>
      <c r="G1136" s="209"/>
      <c r="H1136" s="209"/>
      <c r="I1136" s="209"/>
      <c r="J1136" s="209"/>
      <c r="N1136" s="201"/>
    </row>
    <row r="1137" spans="2:14" s="184" customFormat="1" x14ac:dyDescent="0.3">
      <c r="B1137" s="212"/>
      <c r="F1137" s="209"/>
      <c r="G1137" s="209"/>
      <c r="H1137" s="209"/>
      <c r="I1137" s="209"/>
      <c r="J1137" s="209"/>
      <c r="N1137" s="201"/>
    </row>
    <row r="1138" spans="2:14" s="184" customFormat="1" x14ac:dyDescent="0.3">
      <c r="B1138" s="212"/>
      <c r="F1138" s="209"/>
      <c r="G1138" s="209"/>
      <c r="H1138" s="209"/>
      <c r="I1138" s="209"/>
      <c r="J1138" s="209"/>
      <c r="N1138" s="201"/>
    </row>
    <row r="1139" spans="2:14" s="184" customFormat="1" x14ac:dyDescent="0.3">
      <c r="B1139" s="212"/>
      <c r="F1139" s="209"/>
      <c r="G1139" s="209"/>
      <c r="H1139" s="209"/>
      <c r="I1139" s="209"/>
      <c r="J1139" s="209"/>
      <c r="N1139" s="201"/>
    </row>
    <row r="1140" spans="2:14" s="184" customFormat="1" x14ac:dyDescent="0.3">
      <c r="B1140" s="212"/>
      <c r="F1140" s="209"/>
      <c r="G1140" s="209"/>
      <c r="H1140" s="209"/>
      <c r="I1140" s="209"/>
      <c r="J1140" s="209"/>
      <c r="N1140" s="201"/>
    </row>
    <row r="1141" spans="2:14" s="184" customFormat="1" x14ac:dyDescent="0.3">
      <c r="B1141" s="212"/>
      <c r="F1141" s="209"/>
      <c r="G1141" s="209"/>
      <c r="H1141" s="209"/>
      <c r="I1141" s="209"/>
      <c r="J1141" s="209"/>
      <c r="N1141" s="201"/>
    </row>
    <row r="1142" spans="2:14" s="184" customFormat="1" x14ac:dyDescent="0.3">
      <c r="B1142" s="212"/>
      <c r="F1142" s="209"/>
      <c r="G1142" s="209"/>
      <c r="H1142" s="209"/>
      <c r="I1142" s="209"/>
      <c r="J1142" s="209"/>
      <c r="N1142" s="201"/>
    </row>
    <row r="1143" spans="2:14" s="184" customFormat="1" x14ac:dyDescent="0.3">
      <c r="B1143" s="212"/>
      <c r="F1143" s="209"/>
      <c r="G1143" s="209"/>
      <c r="H1143" s="209"/>
      <c r="I1143" s="209"/>
      <c r="J1143" s="209"/>
      <c r="N1143" s="201"/>
    </row>
    <row r="1144" spans="2:14" s="184" customFormat="1" x14ac:dyDescent="0.3">
      <c r="B1144" s="212"/>
      <c r="F1144" s="209"/>
      <c r="G1144" s="209"/>
      <c r="H1144" s="209"/>
      <c r="I1144" s="209"/>
      <c r="J1144" s="209"/>
      <c r="N1144" s="201"/>
    </row>
    <row r="1145" spans="2:14" s="184" customFormat="1" x14ac:dyDescent="0.3">
      <c r="B1145" s="212"/>
      <c r="F1145" s="209"/>
      <c r="G1145" s="209"/>
      <c r="H1145" s="209"/>
      <c r="I1145" s="209"/>
      <c r="J1145" s="209"/>
      <c r="N1145" s="201"/>
    </row>
    <row r="1146" spans="2:14" s="184" customFormat="1" x14ac:dyDescent="0.3">
      <c r="B1146" s="212"/>
      <c r="F1146" s="209"/>
      <c r="G1146" s="209"/>
      <c r="H1146" s="209"/>
      <c r="I1146" s="209"/>
      <c r="J1146" s="209"/>
      <c r="N1146" s="201"/>
    </row>
    <row r="1147" spans="2:14" s="184" customFormat="1" x14ac:dyDescent="0.3">
      <c r="B1147" s="212"/>
      <c r="F1147" s="209"/>
      <c r="G1147" s="209"/>
      <c r="H1147" s="209"/>
      <c r="I1147" s="209"/>
      <c r="J1147" s="209"/>
      <c r="N1147" s="201"/>
    </row>
    <row r="1148" spans="2:14" s="184" customFormat="1" x14ac:dyDescent="0.3">
      <c r="B1148" s="212"/>
      <c r="F1148" s="209"/>
      <c r="G1148" s="209"/>
      <c r="H1148" s="209"/>
      <c r="I1148" s="209"/>
      <c r="J1148" s="209"/>
      <c r="N1148" s="201"/>
    </row>
    <row r="1149" spans="2:14" s="184" customFormat="1" x14ac:dyDescent="0.3">
      <c r="B1149" s="212"/>
      <c r="F1149" s="209"/>
      <c r="G1149" s="209"/>
      <c r="H1149" s="209"/>
      <c r="I1149" s="209"/>
      <c r="J1149" s="209"/>
      <c r="N1149" s="201"/>
    </row>
    <row r="1150" spans="2:14" s="184" customFormat="1" x14ac:dyDescent="0.3">
      <c r="B1150" s="212"/>
      <c r="F1150" s="209"/>
      <c r="G1150" s="209"/>
      <c r="H1150" s="209"/>
      <c r="I1150" s="209"/>
      <c r="J1150" s="209"/>
      <c r="N1150" s="201"/>
    </row>
    <row r="1151" spans="2:14" s="184" customFormat="1" x14ac:dyDescent="0.3">
      <c r="B1151" s="212"/>
      <c r="F1151" s="209"/>
      <c r="G1151" s="209"/>
      <c r="H1151" s="209"/>
      <c r="I1151" s="209"/>
      <c r="J1151" s="209"/>
      <c r="N1151" s="201"/>
    </row>
    <row r="1152" spans="2:14" s="184" customFormat="1" x14ac:dyDescent="0.3">
      <c r="B1152" s="212"/>
      <c r="F1152" s="209"/>
      <c r="G1152" s="209"/>
      <c r="H1152" s="209"/>
      <c r="I1152" s="209"/>
      <c r="J1152" s="209"/>
      <c r="N1152" s="201"/>
    </row>
    <row r="1153" spans="2:14" s="184" customFormat="1" x14ac:dyDescent="0.3">
      <c r="B1153" s="212"/>
      <c r="F1153" s="209"/>
      <c r="G1153" s="209"/>
      <c r="H1153" s="209"/>
      <c r="I1153" s="209"/>
      <c r="J1153" s="209"/>
      <c r="N1153" s="201"/>
    </row>
    <row r="1154" spans="2:14" s="184" customFormat="1" x14ac:dyDescent="0.3">
      <c r="B1154" s="212"/>
      <c r="F1154" s="209"/>
      <c r="G1154" s="209"/>
      <c r="H1154" s="209"/>
      <c r="I1154" s="209"/>
      <c r="J1154" s="209"/>
      <c r="N1154" s="201"/>
    </row>
    <row r="1155" spans="2:14" s="184" customFormat="1" x14ac:dyDescent="0.3">
      <c r="B1155" s="212"/>
      <c r="F1155" s="209"/>
      <c r="G1155" s="209"/>
      <c r="H1155" s="209"/>
      <c r="I1155" s="209"/>
      <c r="J1155" s="209"/>
      <c r="N1155" s="201"/>
    </row>
    <row r="1156" spans="2:14" s="184" customFormat="1" x14ac:dyDescent="0.3">
      <c r="B1156" s="212"/>
      <c r="F1156" s="209"/>
      <c r="G1156" s="209"/>
      <c r="H1156" s="209"/>
      <c r="I1156" s="209"/>
      <c r="J1156" s="209"/>
      <c r="N1156" s="201"/>
    </row>
    <row r="1157" spans="2:14" s="184" customFormat="1" x14ac:dyDescent="0.3">
      <c r="B1157" s="212"/>
      <c r="F1157" s="209"/>
      <c r="G1157" s="209"/>
      <c r="H1157" s="209"/>
      <c r="I1157" s="209"/>
      <c r="J1157" s="209"/>
      <c r="N1157" s="201"/>
    </row>
    <row r="1158" spans="2:14" s="184" customFormat="1" x14ac:dyDescent="0.3">
      <c r="B1158" s="212"/>
      <c r="F1158" s="209"/>
      <c r="G1158" s="209"/>
      <c r="H1158" s="209"/>
      <c r="I1158" s="209"/>
      <c r="J1158" s="209"/>
      <c r="N1158" s="201"/>
    </row>
  </sheetData>
  <mergeCells count="116">
    <mergeCell ref="B167:C167"/>
    <mergeCell ref="B168:C168"/>
    <mergeCell ref="B169:C169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6:C106"/>
    <mergeCell ref="B108:C108"/>
    <mergeCell ref="B109:C109"/>
    <mergeCell ref="B110:C110"/>
    <mergeCell ref="B111:C111"/>
    <mergeCell ref="B112:C112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1:C81"/>
    <mergeCell ref="B82:C82"/>
    <mergeCell ref="B83:C83"/>
    <mergeCell ref="B84:C84"/>
    <mergeCell ref="B85:C85"/>
    <mergeCell ref="B86:C86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A48:A52"/>
    <mergeCell ref="A53:A55"/>
    <mergeCell ref="A56:A57"/>
    <mergeCell ref="A58:A60"/>
    <mergeCell ref="A61:A63"/>
    <mergeCell ref="A64:A66"/>
    <mergeCell ref="A21:A25"/>
    <mergeCell ref="A26:A28"/>
    <mergeCell ref="A29:A34"/>
    <mergeCell ref="A35:A39"/>
    <mergeCell ref="A40:A42"/>
    <mergeCell ref="A43:A47"/>
    <mergeCell ref="A1:P1"/>
    <mergeCell ref="F2:H2"/>
    <mergeCell ref="A5:A10"/>
    <mergeCell ref="A11:A14"/>
    <mergeCell ref="A15:A20"/>
  </mergeCells>
  <dataValidations count="2">
    <dataValidation type="whole" allowBlank="1" showInputMessage="1" showErrorMessage="1" errorTitle="Value Between 0 to 200000" sqref="K5:K169" xr:uid="{5CAFE20D-F896-4FFB-BD4D-493DF2C816DF}">
      <formula1>0</formula1>
      <formula2>200000</formula2>
    </dataValidation>
    <dataValidation type="whole" allowBlank="1" showInputMessage="1" showErrorMessage="1" sqref="D88:H106 E160:E167 D6:H79 D81:H86 F108:H169 D108:E159 J5:J169" xr:uid="{A83BF230-1380-41FD-A02C-623717A57A2D}">
      <formula1>0</formula1>
      <formula2>50000</formula2>
    </dataValidation>
  </dataValidations>
  <pageMargins left="0.7" right="0.7" top="0.75" bottom="0.75" header="0.3" footer="0.3"/>
  <pageSetup paperSize="9" scale="3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7AE7-C073-4B6D-8979-94DD666FA79E}">
  <dimension ref="A1:L11"/>
  <sheetViews>
    <sheetView view="pageBreakPreview" zoomScale="145" zoomScaleNormal="100" zoomScaleSheetLayoutView="145" workbookViewId="0">
      <selection activeCell="C10" sqref="C10"/>
    </sheetView>
  </sheetViews>
  <sheetFormatPr defaultRowHeight="14.4" x14ac:dyDescent="0.3"/>
  <cols>
    <col min="2" max="2" width="45.5546875" customWidth="1"/>
    <col min="12" max="12" width="13.6640625" customWidth="1"/>
  </cols>
  <sheetData>
    <row r="1" spans="1:12" x14ac:dyDescent="0.3">
      <c r="A1" s="230" t="s">
        <v>747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</row>
    <row r="2" spans="1:12" x14ac:dyDescent="0.3">
      <c r="A2" s="230"/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</row>
    <row r="3" spans="1:12" ht="15.6" x14ac:dyDescent="0.3">
      <c r="A3" s="231" t="s">
        <v>80</v>
      </c>
      <c r="B3" s="231" t="s">
        <v>748</v>
      </c>
      <c r="C3" s="231" t="s">
        <v>17</v>
      </c>
      <c r="D3" s="231"/>
      <c r="E3" s="231" t="s">
        <v>749</v>
      </c>
      <c r="F3" s="231"/>
      <c r="G3" s="231"/>
      <c r="H3" s="231"/>
      <c r="I3" s="231"/>
      <c r="J3" s="231" t="s">
        <v>749</v>
      </c>
      <c r="K3" s="231" t="s">
        <v>750</v>
      </c>
      <c r="L3" s="231" t="s">
        <v>751</v>
      </c>
    </row>
    <row r="4" spans="1:12" ht="31.2" x14ac:dyDescent="0.3">
      <c r="A4" s="231"/>
      <c r="B4" s="231"/>
      <c r="C4" s="226" t="s">
        <v>752</v>
      </c>
      <c r="D4" s="226" t="s">
        <v>753</v>
      </c>
      <c r="E4" s="226" t="s">
        <v>32</v>
      </c>
      <c r="F4" s="226" t="s">
        <v>25</v>
      </c>
      <c r="G4" s="226" t="s">
        <v>754</v>
      </c>
      <c r="H4" s="226" t="s">
        <v>35</v>
      </c>
      <c r="I4" s="226" t="s">
        <v>755</v>
      </c>
      <c r="J4" s="231"/>
      <c r="K4" s="231"/>
      <c r="L4" s="231"/>
    </row>
    <row r="5" spans="1:12" ht="15.6" x14ac:dyDescent="0.3">
      <c r="A5" s="227">
        <v>1</v>
      </c>
      <c r="B5" s="228" t="s">
        <v>756</v>
      </c>
      <c r="C5" s="226" t="s">
        <v>111</v>
      </c>
      <c r="D5" s="226" t="s">
        <v>111</v>
      </c>
      <c r="E5" s="226" t="s">
        <v>111</v>
      </c>
      <c r="F5" s="226" t="s">
        <v>111</v>
      </c>
      <c r="G5" s="226" t="s">
        <v>111</v>
      </c>
      <c r="H5" s="226" t="s">
        <v>111</v>
      </c>
      <c r="I5" s="226" t="s">
        <v>111</v>
      </c>
      <c r="J5" s="226" t="s">
        <v>111</v>
      </c>
      <c r="K5" s="226" t="s">
        <v>111</v>
      </c>
      <c r="L5" s="226"/>
    </row>
    <row r="6" spans="1:12" ht="15.6" x14ac:dyDescent="0.3">
      <c r="A6" s="227">
        <v>2</v>
      </c>
      <c r="B6" s="228" t="s">
        <v>757</v>
      </c>
      <c r="C6" s="226" t="s">
        <v>111</v>
      </c>
      <c r="D6" s="226" t="s">
        <v>111</v>
      </c>
      <c r="E6" s="226" t="s">
        <v>111</v>
      </c>
      <c r="F6" s="226" t="s">
        <v>111</v>
      </c>
      <c r="G6" s="226" t="s">
        <v>111</v>
      </c>
      <c r="H6" s="226" t="s">
        <v>111</v>
      </c>
      <c r="I6" s="226" t="s">
        <v>111</v>
      </c>
      <c r="J6" s="226" t="s">
        <v>111</v>
      </c>
      <c r="K6" s="226" t="s">
        <v>111</v>
      </c>
      <c r="L6" s="226"/>
    </row>
    <row r="7" spans="1:12" ht="15.6" x14ac:dyDescent="0.3">
      <c r="A7" s="227">
        <v>3</v>
      </c>
      <c r="B7" s="228" t="s">
        <v>758</v>
      </c>
      <c r="C7" s="226" t="s">
        <v>111</v>
      </c>
      <c r="D7" s="226" t="s">
        <v>111</v>
      </c>
      <c r="E7" s="226" t="s">
        <v>111</v>
      </c>
      <c r="F7" s="226" t="s">
        <v>111</v>
      </c>
      <c r="G7" s="226" t="s">
        <v>111</v>
      </c>
      <c r="H7" s="226" t="s">
        <v>111</v>
      </c>
      <c r="I7" s="226" t="s">
        <v>111</v>
      </c>
      <c r="J7" s="226" t="s">
        <v>111</v>
      </c>
      <c r="K7" s="226" t="s">
        <v>111</v>
      </c>
      <c r="L7" s="226"/>
    </row>
    <row r="8" spans="1:12" ht="15.6" x14ac:dyDescent="0.3">
      <c r="A8" s="227">
        <v>4</v>
      </c>
      <c r="B8" s="228" t="s">
        <v>759</v>
      </c>
      <c r="C8" s="226" t="s">
        <v>111</v>
      </c>
      <c r="D8" s="226" t="s">
        <v>111</v>
      </c>
      <c r="E8" s="226" t="s">
        <v>111</v>
      </c>
      <c r="F8" s="226" t="s">
        <v>111</v>
      </c>
      <c r="G8" s="226" t="s">
        <v>111</v>
      </c>
      <c r="H8" s="226" t="s">
        <v>111</v>
      </c>
      <c r="I8" s="226" t="s">
        <v>111</v>
      </c>
      <c r="J8" s="226" t="s">
        <v>111</v>
      </c>
      <c r="K8" s="226" t="s">
        <v>111</v>
      </c>
      <c r="L8" s="226"/>
    </row>
    <row r="9" spans="1:12" ht="15.6" x14ac:dyDescent="0.3">
      <c r="A9" s="227">
        <v>5</v>
      </c>
      <c r="B9" s="228" t="s">
        <v>760</v>
      </c>
      <c r="C9" s="226" t="s">
        <v>111</v>
      </c>
      <c r="D9" s="226" t="s">
        <v>111</v>
      </c>
      <c r="E9" s="226" t="s">
        <v>111</v>
      </c>
      <c r="F9" s="226" t="s">
        <v>111</v>
      </c>
      <c r="G9" s="226" t="s">
        <v>111</v>
      </c>
      <c r="H9" s="226" t="s">
        <v>111</v>
      </c>
      <c r="I9" s="226" t="s">
        <v>111</v>
      </c>
      <c r="J9" s="226" t="s">
        <v>111</v>
      </c>
      <c r="K9" s="226" t="s">
        <v>111</v>
      </c>
      <c r="L9" s="226"/>
    </row>
    <row r="10" spans="1:12" ht="15.6" x14ac:dyDescent="0.3">
      <c r="A10" s="227">
        <v>6</v>
      </c>
      <c r="B10" s="228" t="s">
        <v>761</v>
      </c>
      <c r="C10" s="227">
        <v>5</v>
      </c>
      <c r="D10" s="227">
        <v>5</v>
      </c>
      <c r="E10" s="227" t="s">
        <v>111</v>
      </c>
      <c r="F10" s="227" t="s">
        <v>111</v>
      </c>
      <c r="G10" s="227" t="s">
        <v>111</v>
      </c>
      <c r="H10" s="227" t="s">
        <v>111</v>
      </c>
      <c r="I10" s="227" t="s">
        <v>111</v>
      </c>
      <c r="J10" s="227" t="s">
        <v>111</v>
      </c>
      <c r="K10" s="227">
        <v>5</v>
      </c>
      <c r="L10" s="226"/>
    </row>
    <row r="11" spans="1:12" ht="15.6" x14ac:dyDescent="0.3">
      <c r="A11" s="227">
        <v>7</v>
      </c>
      <c r="B11" s="228" t="s">
        <v>762</v>
      </c>
      <c r="C11" s="226" t="s">
        <v>111</v>
      </c>
      <c r="D11" s="226" t="s">
        <v>111</v>
      </c>
      <c r="E11" s="226" t="s">
        <v>111</v>
      </c>
      <c r="F11" s="226" t="s">
        <v>111</v>
      </c>
      <c r="G11" s="226" t="s">
        <v>111</v>
      </c>
      <c r="H11" s="226" t="s">
        <v>111</v>
      </c>
      <c r="I11" s="226" t="s">
        <v>111</v>
      </c>
      <c r="J11" s="226" t="s">
        <v>111</v>
      </c>
      <c r="K11" s="226" t="s">
        <v>111</v>
      </c>
      <c r="L11" s="229"/>
    </row>
  </sheetData>
  <mergeCells count="8">
    <mergeCell ref="A1:L2"/>
    <mergeCell ref="A3:A4"/>
    <mergeCell ref="B3:B4"/>
    <mergeCell ref="C3:D3"/>
    <mergeCell ref="E3:I3"/>
    <mergeCell ref="J3:J4"/>
    <mergeCell ref="K3:K4"/>
    <mergeCell ref="L3:L4"/>
  </mergeCells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A Vehicle</vt:lpstr>
      <vt:lpstr>B Vehicle</vt:lpstr>
      <vt:lpstr>C Vehicle</vt:lpstr>
      <vt:lpstr>ARMT</vt:lpstr>
      <vt:lpstr>SA</vt:lpstr>
      <vt:lpstr>INSTS</vt:lpstr>
      <vt:lpstr>CBRN</vt:lpstr>
      <vt:lpstr>'A Vehicle'!Print_Area</vt:lpstr>
      <vt:lpstr>'B Vehicle'!Print_Area</vt:lpstr>
      <vt:lpstr>'C Vehicle'!Print_Area</vt:lpstr>
      <vt:lpstr>INSTS!Print_Area</vt:lpstr>
      <vt:lpstr>'A Vehicle'!Print_Titles</vt:lpstr>
      <vt:lpstr>'B Vehicle'!Print_Titles</vt:lpstr>
      <vt:lpstr>'C Vehicle'!Print_Titles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2026-03-23T06:50:40Z</dcterms:modified>
</cp:coreProperties>
</file>
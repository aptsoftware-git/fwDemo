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defaultThemeVersion="124226"/>
  <xr:revisionPtr revIDLastSave="0" documentId="13_ncr:1_{3346596A-B0A5-4102-A08D-E85138E27717}" xr6:coauthVersionLast="47" xr6:coauthVersionMax="47" xr10:uidLastSave="{00000000-0000-0000-0000-000000000000}"/>
  <bookViews>
    <workbookView xWindow="-108" yWindow="-108" windowWidth="23256" windowHeight="12456" activeTab="4" xr2:uid="{00000000-000D-0000-FFFF-FFFF00000000}"/>
  </bookViews>
  <sheets>
    <sheet name="B Vechicle" sheetId="12" r:id="rId1"/>
    <sheet name="C Vehicle" sheetId="25" r:id="rId2"/>
    <sheet name="ARMT" sheetId="2" r:id="rId3"/>
    <sheet name="SA" sheetId="3" r:id="rId4"/>
    <sheet name="INSTS" sheetId="8" r:id="rId5"/>
  </sheets>
  <definedNames>
    <definedName name="_xlnm._FilterDatabase" localSheetId="2" hidden="1">ARMT!$A$5:$T$25</definedName>
    <definedName name="_xlnm._FilterDatabase" localSheetId="0" hidden="1">'B Vechicle'!$A$1:$J$137</definedName>
    <definedName name="_xlnm._FilterDatabase" localSheetId="1" hidden="1">'C Vehicle'!$A$1:$AA$229</definedName>
    <definedName name="_xlnm._FilterDatabase" localSheetId="4" hidden="1">INSTS!$A$2:$R$169</definedName>
    <definedName name="_xlnm._FilterDatabase" localSheetId="3" hidden="1">SA!$H$1:$H$34</definedName>
    <definedName name="_xlnm.Print_Area" localSheetId="2">ARMT!$A$1:$T$24</definedName>
    <definedName name="_xlnm.Print_Area" localSheetId="0">'B Vechicle'!$A$1:$J$137</definedName>
    <definedName name="_xlnm.Print_Area" localSheetId="1">'C Vehicle'!$A$1:$J$229</definedName>
    <definedName name="_xlnm.Print_Area" localSheetId="4">INSTS!$A$1:$P$169</definedName>
    <definedName name="_xlnm.Print_Area" localSheetId="3">SA!$A$1:$Q$32</definedName>
    <definedName name="_xlnm.Print_Titles" localSheetId="0">'B Vechicle'!$2:$4</definedName>
    <definedName name="_xlnm.Print_Titles" localSheetId="1">'C Vehicle'!$2:$4</definedName>
    <definedName name="_xlnm.Print_Titles" localSheetId="4">INSTS!$2:$4</definedName>
    <definedName name="_xlnm.Print_Titles" localSheetId="3">SA!$3:$5</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12" l="1"/>
  <c r="D7" i="12"/>
  <c r="E77" i="8"/>
  <c r="D17" i="2" l="1"/>
  <c r="E90" i="8" l="1"/>
  <c r="E119" i="8"/>
  <c r="D54" i="12" l="1"/>
  <c r="C128" i="25" l="1"/>
  <c r="D128" i="25"/>
  <c r="D40" i="12"/>
  <c r="D33" i="12"/>
  <c r="D53" i="12" l="1"/>
  <c r="I163" i="8"/>
  <c r="E163" i="8"/>
  <c r="M163" i="8" s="1"/>
  <c r="D163" i="8"/>
  <c r="I158" i="8"/>
  <c r="E158" i="8"/>
  <c r="M158" i="8" s="1"/>
  <c r="D158" i="8"/>
  <c r="D115" i="8"/>
  <c r="K158" i="8" l="1"/>
  <c r="N158" i="8" s="1"/>
  <c r="L163" i="8"/>
  <c r="L158" i="8"/>
  <c r="K163" i="8"/>
  <c r="N163" i="8" s="1"/>
  <c r="D150" i="8"/>
  <c r="E150" i="8"/>
  <c r="I150" i="8"/>
  <c r="I149" i="8"/>
  <c r="E149" i="8"/>
  <c r="M149" i="8" s="1"/>
  <c r="D149" i="8"/>
  <c r="I91" i="8"/>
  <c r="E91" i="8"/>
  <c r="M91" i="8" s="1"/>
  <c r="D91" i="8"/>
  <c r="E142" i="8"/>
  <c r="M142" i="8" s="1"/>
  <c r="D142" i="8"/>
  <c r="I142" i="8"/>
  <c r="I130" i="8"/>
  <c r="E130" i="8"/>
  <c r="M130" i="8" s="1"/>
  <c r="D130" i="8"/>
  <c r="E120" i="8"/>
  <c r="M120" i="8" s="1"/>
  <c r="D120" i="8"/>
  <c r="M119" i="8"/>
  <c r="I119" i="8"/>
  <c r="L119" i="8" s="1"/>
  <c r="D119" i="8"/>
  <c r="I115" i="8"/>
  <c r="E115" i="8"/>
  <c r="M115" i="8" s="1"/>
  <c r="M90" i="8"/>
  <c r="I90" i="8"/>
  <c r="I81" i="8"/>
  <c r="L81" i="8" s="1"/>
  <c r="E81" i="8"/>
  <c r="M81" i="8" s="1"/>
  <c r="I77" i="8"/>
  <c r="M77" i="8"/>
  <c r="D77" i="8"/>
  <c r="I70" i="8"/>
  <c r="E70" i="8"/>
  <c r="M70" i="8" s="1"/>
  <c r="D102" i="25"/>
  <c r="N32" i="3"/>
  <c r="J32" i="3"/>
  <c r="J31" i="3"/>
  <c r="J29" i="3"/>
  <c r="D32" i="3"/>
  <c r="D31" i="3"/>
  <c r="N31" i="3" s="1"/>
  <c r="C31" i="3"/>
  <c r="D29" i="3"/>
  <c r="N29" i="3" s="1"/>
  <c r="C29" i="3"/>
  <c r="J27" i="3"/>
  <c r="D27" i="3"/>
  <c r="N27" i="3" s="1"/>
  <c r="C27" i="3"/>
  <c r="J15" i="3"/>
  <c r="D15" i="3"/>
  <c r="C15" i="3"/>
  <c r="Q17" i="2"/>
  <c r="M17" i="2"/>
  <c r="O17" i="2" s="1"/>
  <c r="S17" i="2" s="1"/>
  <c r="K150" i="8" l="1"/>
  <c r="N150" i="8" s="1"/>
  <c r="L130" i="8"/>
  <c r="L70" i="8"/>
  <c r="L15" i="3"/>
  <c r="M32" i="3"/>
  <c r="M15" i="3"/>
  <c r="R17" i="2"/>
  <c r="P15" i="3"/>
  <c r="O15" i="3"/>
  <c r="M27" i="3"/>
  <c r="L115" i="8"/>
  <c r="M150" i="8"/>
  <c r="L150" i="8"/>
  <c r="L77" i="8"/>
  <c r="N15" i="3"/>
  <c r="K91" i="8"/>
  <c r="N91" i="8" s="1"/>
  <c r="M29" i="3"/>
  <c r="K120" i="8"/>
  <c r="N120" i="8" s="1"/>
  <c r="L31" i="3"/>
  <c r="K70" i="8"/>
  <c r="N70" i="8" s="1"/>
  <c r="L149" i="8"/>
  <c r="K149" i="8"/>
  <c r="N149" i="8" s="1"/>
  <c r="L91" i="8"/>
  <c r="L142" i="8"/>
  <c r="K142" i="8"/>
  <c r="N142" i="8" s="1"/>
  <c r="K130" i="8"/>
  <c r="N130" i="8" s="1"/>
  <c r="L120" i="8"/>
  <c r="K119" i="8"/>
  <c r="K115" i="8"/>
  <c r="N115" i="8" s="1"/>
  <c r="L90" i="8"/>
  <c r="K90" i="8"/>
  <c r="N90" i="8" s="1"/>
  <c r="K81" i="8"/>
  <c r="N81" i="8" s="1"/>
  <c r="K77" i="8"/>
  <c r="L32" i="3"/>
  <c r="P31" i="3"/>
  <c r="O31" i="3"/>
  <c r="M31" i="3"/>
  <c r="L29" i="3"/>
  <c r="L27" i="3"/>
  <c r="P27" i="3" s="1"/>
  <c r="P17" i="2"/>
  <c r="N77" i="8" l="1"/>
  <c r="O77" i="8"/>
  <c r="N119" i="8"/>
  <c r="P32" i="3"/>
  <c r="O32" i="3"/>
  <c r="P29" i="3"/>
  <c r="O29" i="3"/>
  <c r="O27" i="3"/>
  <c r="D201" i="25" l="1"/>
  <c r="C201" i="25"/>
  <c r="D200" i="25"/>
  <c r="C200" i="25"/>
  <c r="D211" i="25"/>
  <c r="C211" i="25"/>
  <c r="D210" i="25"/>
  <c r="C210" i="25"/>
  <c r="D209" i="25"/>
  <c r="C209" i="25"/>
  <c r="D208" i="25"/>
  <c r="C208" i="25"/>
  <c r="D207" i="25"/>
  <c r="C207" i="25"/>
  <c r="D205" i="25"/>
  <c r="C205" i="25"/>
  <c r="D204" i="25"/>
  <c r="C204" i="25"/>
  <c r="D203" i="25"/>
  <c r="C203" i="25"/>
  <c r="D202" i="25"/>
  <c r="C202" i="25"/>
  <c r="D141" i="25"/>
  <c r="C141" i="25"/>
  <c r="D199" i="25"/>
  <c r="C199" i="25"/>
  <c r="D197" i="25"/>
  <c r="C197" i="25"/>
  <c r="D196" i="25"/>
  <c r="C196" i="25"/>
  <c r="D195" i="25"/>
  <c r="C195" i="25"/>
  <c r="D194" i="25"/>
  <c r="C194" i="25"/>
  <c r="D193" i="25"/>
  <c r="C193" i="25"/>
  <c r="D192" i="25"/>
  <c r="C192" i="25"/>
  <c r="D190" i="25"/>
  <c r="C190" i="25"/>
  <c r="D188" i="25"/>
  <c r="C188" i="25"/>
  <c r="D187" i="25"/>
  <c r="C187" i="25"/>
  <c r="D186" i="25"/>
  <c r="C186" i="25"/>
  <c r="D184" i="25"/>
  <c r="C184" i="25"/>
  <c r="D183" i="25"/>
  <c r="C183" i="25"/>
  <c r="D182" i="25"/>
  <c r="C182" i="25"/>
  <c r="D181" i="25"/>
  <c r="C181" i="25"/>
  <c r="C180" i="25"/>
  <c r="D179" i="25"/>
  <c r="C179" i="25"/>
  <c r="D178" i="25"/>
  <c r="C178" i="25"/>
  <c r="D177" i="25"/>
  <c r="C177" i="25"/>
  <c r="D176" i="25"/>
  <c r="C176" i="25"/>
  <c r="D175" i="25"/>
  <c r="C175" i="25"/>
  <c r="D174" i="25"/>
  <c r="C174" i="25"/>
  <c r="D173" i="25"/>
  <c r="C173" i="25"/>
  <c r="D172" i="25"/>
  <c r="C172" i="25"/>
  <c r="D171" i="25"/>
  <c r="C171" i="25"/>
  <c r="D170" i="25"/>
  <c r="C170" i="25"/>
  <c r="D169" i="25"/>
  <c r="C169" i="25"/>
  <c r="D168" i="25"/>
  <c r="C168" i="25"/>
  <c r="D167" i="25"/>
  <c r="C167" i="25"/>
  <c r="D166" i="25"/>
  <c r="C166" i="25"/>
  <c r="D165" i="25"/>
  <c r="C165" i="25"/>
  <c r="D164" i="25"/>
  <c r="C164" i="25"/>
  <c r="D163" i="25"/>
  <c r="C163" i="25"/>
  <c r="D162" i="25"/>
  <c r="C162" i="25"/>
  <c r="D161" i="25"/>
  <c r="C161" i="25"/>
  <c r="D160" i="25"/>
  <c r="C160" i="25"/>
  <c r="D159" i="25"/>
  <c r="C159" i="25"/>
  <c r="D158" i="25"/>
  <c r="C158" i="25"/>
  <c r="D157" i="25"/>
  <c r="C157" i="25"/>
  <c r="D156" i="25"/>
  <c r="C156" i="25"/>
  <c r="D151" i="25"/>
  <c r="C151" i="25"/>
  <c r="D150" i="25"/>
  <c r="C150" i="25"/>
  <c r="D149" i="25"/>
  <c r="C149" i="25"/>
  <c r="D147" i="25"/>
  <c r="C147" i="25"/>
  <c r="D146" i="25"/>
  <c r="C146" i="25"/>
  <c r="C145" i="25"/>
  <c r="D145" i="25"/>
  <c r="D142" i="25"/>
  <c r="C142" i="25"/>
  <c r="D144" i="25"/>
  <c r="C144" i="25"/>
  <c r="D143" i="25"/>
  <c r="C143" i="25"/>
  <c r="D139" i="25"/>
  <c r="C139" i="25"/>
  <c r="D138" i="25"/>
  <c r="C138" i="25"/>
  <c r="D137" i="25"/>
  <c r="C137" i="25"/>
  <c r="D136" i="25"/>
  <c r="C136" i="25"/>
  <c r="D129" i="25"/>
  <c r="C129" i="25"/>
  <c r="D225" i="25"/>
  <c r="C225" i="25"/>
  <c r="D223" i="25"/>
  <c r="C223" i="25"/>
  <c r="D222" i="25"/>
  <c r="C222" i="25"/>
  <c r="D221" i="25"/>
  <c r="C221" i="25"/>
  <c r="D220" i="25"/>
  <c r="C220" i="25"/>
  <c r="D219" i="25"/>
  <c r="C219" i="25"/>
  <c r="D218" i="25"/>
  <c r="C218" i="25"/>
  <c r="D217" i="25"/>
  <c r="C217" i="25"/>
  <c r="D216" i="25"/>
  <c r="C216" i="25"/>
  <c r="D215" i="25"/>
  <c r="C215" i="25"/>
  <c r="D214" i="25"/>
  <c r="C214" i="25"/>
  <c r="D213" i="25"/>
  <c r="C213" i="25"/>
  <c r="D212" i="25"/>
  <c r="C212" i="25"/>
  <c r="D206" i="25"/>
  <c r="C206" i="25"/>
  <c r="D224" i="25"/>
  <c r="C224" i="25"/>
  <c r="C229" i="25"/>
  <c r="D229" i="25"/>
  <c r="D228" i="25"/>
  <c r="C228" i="25"/>
  <c r="D227" i="25"/>
  <c r="C227" i="25"/>
  <c r="D226" i="25"/>
  <c r="C226" i="25"/>
  <c r="D189" i="25"/>
  <c r="C189" i="25"/>
  <c r="D140" i="25"/>
  <c r="C140" i="25"/>
  <c r="D185" i="25"/>
  <c r="C185" i="25"/>
  <c r="D191" i="25"/>
  <c r="C191" i="25"/>
  <c r="D198" i="25"/>
  <c r="C198" i="25"/>
  <c r="D148" i="25"/>
  <c r="C148" i="25"/>
  <c r="C95" i="25"/>
  <c r="D135" i="25"/>
  <c r="C135" i="25"/>
  <c r="C134" i="25"/>
  <c r="D134" i="25"/>
  <c r="D128" i="12"/>
  <c r="D122" i="12"/>
  <c r="D120" i="25"/>
  <c r="C120" i="25"/>
  <c r="C114" i="25"/>
  <c r="D114" i="25"/>
  <c r="C115" i="25"/>
  <c r="D115" i="25"/>
  <c r="D107" i="25"/>
  <c r="C107" i="25"/>
  <c r="D106" i="25"/>
  <c r="C106" i="25"/>
  <c r="D105" i="25"/>
  <c r="C105" i="25"/>
  <c r="D104" i="25"/>
  <c r="C104" i="25"/>
  <c r="C102" i="25"/>
  <c r="D93" i="25"/>
  <c r="C93" i="25"/>
  <c r="C94" i="25"/>
  <c r="D94" i="25"/>
  <c r="D95" i="25"/>
  <c r="C92" i="25"/>
  <c r="D92" i="25"/>
  <c r="D83" i="25"/>
  <c r="C83" i="25"/>
  <c r="D130" i="12"/>
  <c r="D155" i="25"/>
  <c r="C155" i="25"/>
  <c r="D154" i="25"/>
  <c r="C154" i="25"/>
  <c r="D153" i="25"/>
  <c r="C153" i="25"/>
  <c r="D152" i="25"/>
  <c r="C152" i="25"/>
  <c r="D133" i="25"/>
  <c r="C133" i="25"/>
  <c r="D132" i="25"/>
  <c r="C132" i="25"/>
  <c r="D131" i="25"/>
  <c r="C131" i="25"/>
  <c r="D130" i="25"/>
  <c r="C130" i="25"/>
  <c r="D127" i="25"/>
  <c r="C127" i="25"/>
  <c r="D126" i="25"/>
  <c r="C126" i="25"/>
  <c r="D124" i="25"/>
  <c r="C124" i="25"/>
  <c r="D123" i="25"/>
  <c r="C123" i="25"/>
  <c r="D122" i="25"/>
  <c r="C122" i="25"/>
  <c r="D121" i="25"/>
  <c r="C121" i="25"/>
  <c r="D119" i="25"/>
  <c r="C119" i="25"/>
  <c r="D118" i="25"/>
  <c r="C118" i="25"/>
  <c r="D117" i="25"/>
  <c r="C117" i="25"/>
  <c r="D116" i="25"/>
  <c r="C116" i="25"/>
  <c r="D113" i="25"/>
  <c r="C113" i="25"/>
  <c r="D112" i="25"/>
  <c r="C112" i="25"/>
  <c r="D111" i="25"/>
  <c r="C111" i="25"/>
  <c r="D110" i="25"/>
  <c r="C110" i="25"/>
  <c r="D109" i="25"/>
  <c r="C109" i="25"/>
  <c r="D108" i="25"/>
  <c r="C108" i="25"/>
  <c r="D103" i="25"/>
  <c r="C103" i="25"/>
  <c r="D101" i="25"/>
  <c r="C101" i="25"/>
  <c r="D100" i="25"/>
  <c r="C100" i="25"/>
  <c r="D99" i="25"/>
  <c r="C99" i="25"/>
  <c r="D98" i="25"/>
  <c r="C98" i="25"/>
  <c r="D97" i="25"/>
  <c r="C97" i="25"/>
  <c r="D96" i="25"/>
  <c r="C96" i="25"/>
  <c r="D91" i="25"/>
  <c r="C91" i="25"/>
  <c r="D90" i="25"/>
  <c r="C90" i="25"/>
  <c r="D89" i="25"/>
  <c r="C89" i="25"/>
  <c r="D88" i="25"/>
  <c r="C88" i="25"/>
  <c r="D86" i="25"/>
  <c r="C86" i="25"/>
  <c r="D85" i="25"/>
  <c r="C85" i="25"/>
  <c r="D84" i="25"/>
  <c r="C84" i="25"/>
  <c r="D82" i="25"/>
  <c r="C82" i="25"/>
  <c r="D81" i="25"/>
  <c r="C81" i="25"/>
  <c r="D80" i="25"/>
  <c r="C80" i="25"/>
  <c r="D79" i="25"/>
  <c r="C79" i="25"/>
  <c r="D78" i="25"/>
  <c r="C78" i="25"/>
  <c r="H229" i="25"/>
  <c r="H228" i="25"/>
  <c r="H227" i="25"/>
  <c r="H226" i="25"/>
  <c r="H225" i="25"/>
  <c r="H224" i="25"/>
  <c r="H223" i="25"/>
  <c r="H222" i="25"/>
  <c r="H221" i="25"/>
  <c r="H220" i="25"/>
  <c r="H219" i="25"/>
  <c r="I219" i="25" s="1"/>
  <c r="H218" i="25"/>
  <c r="I218" i="25" s="1"/>
  <c r="H217" i="25"/>
  <c r="H216" i="25"/>
  <c r="I216" i="25" s="1"/>
  <c r="H215" i="25"/>
  <c r="I215" i="25" s="1"/>
  <c r="H214" i="25"/>
  <c r="H213" i="25"/>
  <c r="I213" i="25" s="1"/>
  <c r="H212" i="25"/>
  <c r="I212" i="25" s="1"/>
  <c r="H211" i="25"/>
  <c r="H210" i="25"/>
  <c r="I210" i="25" s="1"/>
  <c r="H209" i="25"/>
  <c r="H208" i="25"/>
  <c r="H207" i="25"/>
  <c r="H206" i="25"/>
  <c r="H205" i="25"/>
  <c r="H204" i="25"/>
  <c r="H203" i="25"/>
  <c r="H202" i="25"/>
  <c r="H201" i="25"/>
  <c r="H200" i="25"/>
  <c r="I200" i="25" s="1"/>
  <c r="H199" i="25"/>
  <c r="H198" i="25"/>
  <c r="H197" i="25"/>
  <c r="H196" i="25"/>
  <c r="I196" i="25" s="1"/>
  <c r="H195" i="25"/>
  <c r="I195" i="25" s="1"/>
  <c r="H194" i="25"/>
  <c r="H193" i="25"/>
  <c r="H192" i="25"/>
  <c r="H191" i="25"/>
  <c r="H190" i="25"/>
  <c r="H189" i="25"/>
  <c r="H188" i="25"/>
  <c r="I188" i="25" s="1"/>
  <c r="H187" i="25"/>
  <c r="H186" i="25"/>
  <c r="H185" i="25"/>
  <c r="H184" i="25"/>
  <c r="H183" i="25"/>
  <c r="H182" i="25"/>
  <c r="H181" i="25"/>
  <c r="H180" i="25"/>
  <c r="I180" i="25" s="1"/>
  <c r="H179" i="25"/>
  <c r="H178" i="25"/>
  <c r="H177" i="25"/>
  <c r="H176" i="25"/>
  <c r="H175" i="25"/>
  <c r="H174" i="25"/>
  <c r="H173" i="25"/>
  <c r="H172" i="25"/>
  <c r="I172" i="25" s="1"/>
  <c r="H171" i="25"/>
  <c r="I171" i="25" s="1"/>
  <c r="H170" i="25"/>
  <c r="I170" i="25" s="1"/>
  <c r="H169" i="25"/>
  <c r="H168" i="25"/>
  <c r="H167" i="25"/>
  <c r="H166" i="25"/>
  <c r="I166" i="25" s="1"/>
  <c r="H165" i="25"/>
  <c r="I165" i="25" s="1"/>
  <c r="H164" i="25"/>
  <c r="H163" i="25"/>
  <c r="H162" i="25"/>
  <c r="H161" i="25"/>
  <c r="H160" i="25"/>
  <c r="H159" i="25"/>
  <c r="H158" i="25"/>
  <c r="H157" i="25"/>
  <c r="H156" i="25"/>
  <c r="H155" i="25"/>
  <c r="H154" i="25"/>
  <c r="H153" i="25"/>
  <c r="H152" i="25"/>
  <c r="H151" i="25"/>
  <c r="I151" i="25" s="1"/>
  <c r="H150" i="25"/>
  <c r="H149" i="25"/>
  <c r="I149" i="25" s="1"/>
  <c r="H148" i="25"/>
  <c r="H147" i="25"/>
  <c r="H146" i="25"/>
  <c r="H145" i="25"/>
  <c r="H144" i="25"/>
  <c r="H143" i="25"/>
  <c r="H142" i="25"/>
  <c r="H141" i="25"/>
  <c r="H140" i="25"/>
  <c r="H139" i="25"/>
  <c r="H138" i="25"/>
  <c r="I138" i="25" s="1"/>
  <c r="H137" i="25"/>
  <c r="I137" i="25" s="1"/>
  <c r="H136" i="25"/>
  <c r="H135" i="25"/>
  <c r="I135" i="25" s="1"/>
  <c r="H134" i="25"/>
  <c r="I134" i="25" s="1"/>
  <c r="H133" i="25"/>
  <c r="I133" i="25" s="1"/>
  <c r="H132" i="25"/>
  <c r="I132" i="25" s="1"/>
  <c r="H131" i="25"/>
  <c r="H130" i="25"/>
  <c r="I130" i="25" s="1"/>
  <c r="H129" i="25"/>
  <c r="I129" i="25" s="1"/>
  <c r="H128" i="25"/>
  <c r="I128" i="25" s="1"/>
  <c r="H127" i="25"/>
  <c r="H126" i="25"/>
  <c r="H124" i="25"/>
  <c r="H123" i="25"/>
  <c r="H122" i="25"/>
  <c r="H121" i="25"/>
  <c r="H120" i="25"/>
  <c r="H119" i="25"/>
  <c r="I119" i="25" s="1"/>
  <c r="H118" i="25"/>
  <c r="H117" i="25"/>
  <c r="H116" i="25"/>
  <c r="I116" i="25" s="1"/>
  <c r="H115" i="25"/>
  <c r="H114" i="25"/>
  <c r="H113" i="25"/>
  <c r="I113" i="25" s="1"/>
  <c r="H112" i="25"/>
  <c r="I112" i="25" s="1"/>
  <c r="H111" i="25"/>
  <c r="H110" i="25"/>
  <c r="H109" i="25"/>
  <c r="H108" i="25"/>
  <c r="H107" i="25"/>
  <c r="H106" i="25"/>
  <c r="H105" i="25"/>
  <c r="H104" i="25"/>
  <c r="H103" i="25"/>
  <c r="H102" i="25"/>
  <c r="I102" i="25" s="1"/>
  <c r="H101" i="25"/>
  <c r="H100" i="25"/>
  <c r="H99" i="25"/>
  <c r="I99" i="25" s="1"/>
  <c r="H98" i="25"/>
  <c r="I98" i="25" s="1"/>
  <c r="H97" i="25"/>
  <c r="H96" i="25"/>
  <c r="H95" i="25"/>
  <c r="I95" i="25" s="1"/>
  <c r="H94" i="25"/>
  <c r="I94" i="25" s="1"/>
  <c r="H93" i="25"/>
  <c r="I93" i="25" s="1"/>
  <c r="H92" i="25"/>
  <c r="H91" i="25"/>
  <c r="I91" i="25" s="1"/>
  <c r="H90" i="25"/>
  <c r="I90" i="25" s="1"/>
  <c r="H89" i="25"/>
  <c r="H88" i="25"/>
  <c r="I88" i="25" s="1"/>
  <c r="H87" i="25"/>
  <c r="I87" i="25" s="1"/>
  <c r="H86" i="25"/>
  <c r="H85" i="25"/>
  <c r="H84" i="25"/>
  <c r="H83" i="25"/>
  <c r="H82" i="25"/>
  <c r="H81" i="25"/>
  <c r="H80" i="25"/>
  <c r="H79" i="25"/>
  <c r="H78" i="25"/>
  <c r="H76" i="25"/>
  <c r="H75" i="25"/>
  <c r="H74" i="25"/>
  <c r="H73" i="25"/>
  <c r="H72" i="25"/>
  <c r="H71" i="25"/>
  <c r="H70" i="25"/>
  <c r="H69" i="25"/>
  <c r="H67" i="25"/>
  <c r="H66" i="25"/>
  <c r="H63" i="25"/>
  <c r="H62" i="25"/>
  <c r="H61" i="25"/>
  <c r="H60" i="25"/>
  <c r="H59" i="25"/>
  <c r="H58" i="25"/>
  <c r="H57" i="25"/>
  <c r="H56" i="25"/>
  <c r="H55" i="25"/>
  <c r="H54" i="25"/>
  <c r="H52" i="25"/>
  <c r="H51" i="25"/>
  <c r="H49" i="25"/>
  <c r="H48" i="25"/>
  <c r="H47" i="25"/>
  <c r="H46" i="25"/>
  <c r="H45" i="25"/>
  <c r="H44" i="25"/>
  <c r="H43" i="25"/>
  <c r="H42" i="25"/>
  <c r="H41" i="25"/>
  <c r="H40" i="25"/>
  <c r="H38" i="25"/>
  <c r="H37" i="25"/>
  <c r="H36" i="25"/>
  <c r="H34" i="25"/>
  <c r="H33" i="25"/>
  <c r="H32" i="25"/>
  <c r="H31" i="25"/>
  <c r="H30" i="25"/>
  <c r="H29" i="25"/>
  <c r="H28" i="25"/>
  <c r="H27" i="25"/>
  <c r="I27" i="25" s="1"/>
  <c r="H26" i="25"/>
  <c r="H24" i="25"/>
  <c r="H23" i="25"/>
  <c r="H22" i="25"/>
  <c r="H21" i="25"/>
  <c r="H20" i="25"/>
  <c r="H19" i="25"/>
  <c r="H18" i="25"/>
  <c r="H17" i="25"/>
  <c r="H16" i="25"/>
  <c r="H14" i="25"/>
  <c r="H13" i="25"/>
  <c r="H8" i="25"/>
  <c r="H9" i="25"/>
  <c r="H10" i="25"/>
  <c r="H11" i="25"/>
  <c r="H7" i="25"/>
  <c r="D76" i="25"/>
  <c r="C76" i="25"/>
  <c r="D75" i="25"/>
  <c r="C75" i="25"/>
  <c r="D74" i="25"/>
  <c r="C74" i="25"/>
  <c r="D73" i="25"/>
  <c r="C73" i="25"/>
  <c r="D72" i="25"/>
  <c r="C72" i="25"/>
  <c r="D71" i="25"/>
  <c r="C71" i="25"/>
  <c r="D70" i="25"/>
  <c r="C70" i="25"/>
  <c r="D69" i="25"/>
  <c r="C69" i="25"/>
  <c r="D67" i="25"/>
  <c r="C67" i="25"/>
  <c r="D66" i="25"/>
  <c r="C66" i="25"/>
  <c r="D63" i="25"/>
  <c r="C63" i="25"/>
  <c r="D62" i="25"/>
  <c r="C62" i="25"/>
  <c r="D61" i="25"/>
  <c r="C61" i="25"/>
  <c r="D60" i="25"/>
  <c r="C60" i="25"/>
  <c r="D59" i="25"/>
  <c r="C59" i="25"/>
  <c r="D58" i="25"/>
  <c r="C58" i="25"/>
  <c r="D57" i="25"/>
  <c r="C57" i="25"/>
  <c r="D56" i="25"/>
  <c r="C56" i="25"/>
  <c r="D55" i="25"/>
  <c r="C55" i="25"/>
  <c r="D54" i="25"/>
  <c r="C54" i="25"/>
  <c r="D52" i="25"/>
  <c r="I52" i="25" s="1"/>
  <c r="C52" i="25"/>
  <c r="D51" i="25"/>
  <c r="C51" i="25"/>
  <c r="D49" i="25"/>
  <c r="I49" i="25" s="1"/>
  <c r="C49" i="25"/>
  <c r="D48" i="25"/>
  <c r="C48" i="25"/>
  <c r="D47" i="25"/>
  <c r="C47" i="25"/>
  <c r="D46" i="25"/>
  <c r="C46" i="25"/>
  <c r="D45" i="25"/>
  <c r="C45" i="25"/>
  <c r="D44" i="25"/>
  <c r="C44" i="25"/>
  <c r="D43" i="25"/>
  <c r="C43" i="25"/>
  <c r="D42" i="25"/>
  <c r="C42" i="25"/>
  <c r="D41" i="25"/>
  <c r="C41" i="25"/>
  <c r="D40" i="25"/>
  <c r="C40" i="25"/>
  <c r="D38" i="25"/>
  <c r="I38" i="25" s="1"/>
  <c r="C38" i="25"/>
  <c r="D37" i="25"/>
  <c r="C37" i="25"/>
  <c r="D36" i="25"/>
  <c r="C36" i="25"/>
  <c r="C32" i="25"/>
  <c r="C28" i="25"/>
  <c r="C27" i="25"/>
  <c r="D27" i="25"/>
  <c r="D28" i="25"/>
  <c r="C29" i="25"/>
  <c r="D29" i="25"/>
  <c r="C30" i="25"/>
  <c r="D30" i="25"/>
  <c r="C31" i="25"/>
  <c r="D31" i="25"/>
  <c r="D32" i="25"/>
  <c r="C33" i="25"/>
  <c r="D33" i="25"/>
  <c r="C34" i="25"/>
  <c r="D34" i="25"/>
  <c r="D26" i="25"/>
  <c r="C26" i="25"/>
  <c r="D24" i="25"/>
  <c r="C24" i="25"/>
  <c r="D23" i="25"/>
  <c r="C23" i="25"/>
  <c r="D22" i="25"/>
  <c r="C22" i="25"/>
  <c r="D21" i="25"/>
  <c r="C21" i="25"/>
  <c r="D20" i="25"/>
  <c r="C20" i="25"/>
  <c r="D19" i="25"/>
  <c r="C19" i="25"/>
  <c r="D18" i="25"/>
  <c r="C18" i="25"/>
  <c r="D17" i="25"/>
  <c r="I17" i="25" s="1"/>
  <c r="C17" i="25"/>
  <c r="D16" i="25"/>
  <c r="C16" i="25"/>
  <c r="D14" i="25"/>
  <c r="I14" i="25" s="1"/>
  <c r="C14" i="25"/>
  <c r="D13" i="25"/>
  <c r="C13" i="25"/>
  <c r="C8" i="25"/>
  <c r="D8" i="25"/>
  <c r="C9" i="25"/>
  <c r="D9" i="25"/>
  <c r="I9" i="25" s="1"/>
  <c r="C10" i="25"/>
  <c r="D10" i="25"/>
  <c r="C11" i="25"/>
  <c r="D11" i="25"/>
  <c r="D7" i="25"/>
  <c r="C7" i="25"/>
  <c r="C128" i="12"/>
  <c r="C125" i="12"/>
  <c r="C122" i="12"/>
  <c r="C126" i="12"/>
  <c r="C123" i="12"/>
  <c r="D113" i="12"/>
  <c r="C113" i="12"/>
  <c r="D114" i="12"/>
  <c r="C114" i="12"/>
  <c r="D111" i="12"/>
  <c r="C111" i="12"/>
  <c r="D92" i="12"/>
  <c r="C92" i="12"/>
  <c r="D87" i="12"/>
  <c r="D88" i="12"/>
  <c r="D82" i="12"/>
  <c r="D79" i="12"/>
  <c r="C79" i="12"/>
  <c r="D78" i="12"/>
  <c r="D137" i="12"/>
  <c r="C137" i="12"/>
  <c r="D136" i="12"/>
  <c r="C136" i="12"/>
  <c r="D135" i="12"/>
  <c r="C135" i="12"/>
  <c r="D134" i="12"/>
  <c r="C134" i="12"/>
  <c r="D133" i="12"/>
  <c r="C133" i="12"/>
  <c r="D132" i="12"/>
  <c r="C132" i="12"/>
  <c r="D131" i="12"/>
  <c r="C131" i="12"/>
  <c r="C130" i="12"/>
  <c r="D129" i="12"/>
  <c r="C129" i="12"/>
  <c r="D127" i="12"/>
  <c r="C127" i="12"/>
  <c r="D126" i="12"/>
  <c r="D125" i="12"/>
  <c r="D124" i="12"/>
  <c r="C124" i="12"/>
  <c r="D123" i="12"/>
  <c r="D121" i="12"/>
  <c r="C121" i="12"/>
  <c r="D120" i="12"/>
  <c r="C120" i="12"/>
  <c r="D119" i="12"/>
  <c r="C119" i="12"/>
  <c r="D118" i="12"/>
  <c r="C118" i="12"/>
  <c r="D117" i="12"/>
  <c r="C117" i="12"/>
  <c r="D116" i="12"/>
  <c r="C116" i="12"/>
  <c r="D115" i="12"/>
  <c r="C115" i="12"/>
  <c r="D112" i="12"/>
  <c r="C112" i="12"/>
  <c r="D110" i="12"/>
  <c r="C110" i="12"/>
  <c r="D109" i="12"/>
  <c r="C109" i="12"/>
  <c r="D108" i="12"/>
  <c r="C108" i="12"/>
  <c r="D107" i="12"/>
  <c r="C107" i="12"/>
  <c r="D106" i="12"/>
  <c r="C106" i="12"/>
  <c r="D105" i="12"/>
  <c r="C105" i="12"/>
  <c r="D104" i="12"/>
  <c r="C104" i="12"/>
  <c r="D103" i="12"/>
  <c r="C103" i="12"/>
  <c r="D102" i="12"/>
  <c r="C102" i="12"/>
  <c r="D101" i="12"/>
  <c r="C101" i="12"/>
  <c r="D100" i="12"/>
  <c r="C100" i="12"/>
  <c r="D99" i="12"/>
  <c r="C99" i="12"/>
  <c r="D97" i="12"/>
  <c r="C97" i="12"/>
  <c r="D96" i="12"/>
  <c r="C96" i="12"/>
  <c r="D94" i="12"/>
  <c r="C94" i="12"/>
  <c r="D93" i="12"/>
  <c r="C93" i="12"/>
  <c r="D91" i="12"/>
  <c r="C91" i="12"/>
  <c r="D90" i="12"/>
  <c r="C90" i="12"/>
  <c r="D89" i="12"/>
  <c r="C89" i="12"/>
  <c r="C88" i="12"/>
  <c r="C87" i="12"/>
  <c r="D86" i="12"/>
  <c r="C86" i="12"/>
  <c r="D85" i="12"/>
  <c r="C85" i="12"/>
  <c r="D84" i="12"/>
  <c r="C84" i="12"/>
  <c r="D83" i="12"/>
  <c r="C83" i="12"/>
  <c r="C82" i="12"/>
  <c r="D81" i="12"/>
  <c r="C81" i="12"/>
  <c r="D80" i="12"/>
  <c r="C80" i="12"/>
  <c r="C78" i="12"/>
  <c r="D77" i="12"/>
  <c r="C77" i="12"/>
  <c r="D75" i="12"/>
  <c r="C75" i="12"/>
  <c r="D74" i="12"/>
  <c r="C74" i="12"/>
  <c r="D71" i="12"/>
  <c r="C71" i="12"/>
  <c r="D72" i="12"/>
  <c r="C72" i="12"/>
  <c r="D70" i="12"/>
  <c r="C70" i="12"/>
  <c r="D68" i="12"/>
  <c r="C68" i="12"/>
  <c r="D67" i="12"/>
  <c r="C67" i="12"/>
  <c r="D66" i="12"/>
  <c r="C66" i="12"/>
  <c r="D65" i="12"/>
  <c r="C65" i="12"/>
  <c r="D64" i="12"/>
  <c r="C64" i="12"/>
  <c r="D63" i="12"/>
  <c r="C63" i="12"/>
  <c r="D62" i="12"/>
  <c r="C62" i="12"/>
  <c r="D59" i="12"/>
  <c r="C59" i="12"/>
  <c r="C58" i="12"/>
  <c r="C54" i="12"/>
  <c r="D52" i="12"/>
  <c r="D46" i="12"/>
  <c r="D39" i="12"/>
  <c r="C39" i="12"/>
  <c r="C40" i="12"/>
  <c r="C41" i="12"/>
  <c r="D41" i="12"/>
  <c r="C42" i="12"/>
  <c r="D42" i="12"/>
  <c r="C43" i="12"/>
  <c r="D43" i="12"/>
  <c r="C44" i="12"/>
  <c r="D44" i="12"/>
  <c r="C45" i="12"/>
  <c r="D45" i="12"/>
  <c r="C46" i="12"/>
  <c r="C47" i="12"/>
  <c r="D47" i="12"/>
  <c r="C48" i="12"/>
  <c r="D48" i="12"/>
  <c r="C49" i="12"/>
  <c r="D49" i="12"/>
  <c r="C50" i="12"/>
  <c r="D50" i="12"/>
  <c r="C51" i="12"/>
  <c r="D51" i="12"/>
  <c r="C52" i="12"/>
  <c r="C53" i="12"/>
  <c r="C55" i="12"/>
  <c r="D55" i="12"/>
  <c r="C56" i="12"/>
  <c r="D56" i="12"/>
  <c r="C57" i="12"/>
  <c r="D57" i="12"/>
  <c r="D58" i="12"/>
  <c r="C60" i="12"/>
  <c r="D60" i="12"/>
  <c r="C35" i="12"/>
  <c r="D35" i="12"/>
  <c r="C36" i="12"/>
  <c r="D36" i="12"/>
  <c r="C37" i="12"/>
  <c r="D37" i="12"/>
  <c r="C38" i="12"/>
  <c r="D38" i="12"/>
  <c r="C34" i="12"/>
  <c r="D34" i="12"/>
  <c r="C33" i="12"/>
  <c r="D32" i="12"/>
  <c r="C32" i="12"/>
  <c r="D31" i="12"/>
  <c r="C31" i="12"/>
  <c r="D30" i="12"/>
  <c r="C30" i="12"/>
  <c r="D29" i="12"/>
  <c r="C29" i="12"/>
  <c r="D28" i="12"/>
  <c r="C28" i="12"/>
  <c r="D27" i="12"/>
  <c r="C27" i="12"/>
  <c r="D26" i="12"/>
  <c r="C26" i="12"/>
  <c r="D25" i="12"/>
  <c r="C25" i="12"/>
  <c r="D24" i="12"/>
  <c r="C24" i="12"/>
  <c r="D23" i="12"/>
  <c r="C23" i="12"/>
  <c r="D22" i="12"/>
  <c r="C22" i="12"/>
  <c r="D21" i="12"/>
  <c r="C21" i="12"/>
  <c r="D20" i="12"/>
  <c r="C20" i="12"/>
  <c r="D19" i="12"/>
  <c r="C19" i="12"/>
  <c r="D18" i="12"/>
  <c r="C18" i="12"/>
  <c r="D17" i="12"/>
  <c r="C17" i="12"/>
  <c r="D15" i="12"/>
  <c r="C15" i="12"/>
  <c r="D14" i="12"/>
  <c r="C14" i="12"/>
  <c r="D13" i="12"/>
  <c r="C13" i="12"/>
  <c r="D12" i="12"/>
  <c r="C12" i="12"/>
  <c r="D11" i="12"/>
  <c r="C11" i="12"/>
  <c r="D10" i="12"/>
  <c r="C10" i="12"/>
  <c r="D9" i="12"/>
  <c r="C9" i="12"/>
  <c r="H137" i="12"/>
  <c r="H136" i="12"/>
  <c r="H135" i="12"/>
  <c r="H134" i="12"/>
  <c r="H133" i="12"/>
  <c r="H132" i="12"/>
  <c r="I132" i="12" s="1"/>
  <c r="H131" i="12"/>
  <c r="I131" i="12" s="1"/>
  <c r="H130" i="12"/>
  <c r="H129" i="12"/>
  <c r="H128" i="12"/>
  <c r="H127" i="12"/>
  <c r="H126" i="12"/>
  <c r="H125" i="12"/>
  <c r="H124" i="12"/>
  <c r="H123" i="12"/>
  <c r="H122" i="12"/>
  <c r="H121" i="12"/>
  <c r="H120" i="12"/>
  <c r="H119" i="12"/>
  <c r="H118" i="12"/>
  <c r="H117" i="12"/>
  <c r="H116" i="12"/>
  <c r="H115" i="12"/>
  <c r="H114" i="12"/>
  <c r="H113" i="12"/>
  <c r="H112" i="12"/>
  <c r="H111" i="12"/>
  <c r="H110" i="12"/>
  <c r="I110" i="12" s="1"/>
  <c r="H109" i="12"/>
  <c r="I109" i="12" s="1"/>
  <c r="H108" i="12"/>
  <c r="I108" i="12" s="1"/>
  <c r="H107" i="12"/>
  <c r="I107" i="12" s="1"/>
  <c r="H106" i="12"/>
  <c r="H105" i="12"/>
  <c r="H104" i="12"/>
  <c r="H103" i="12"/>
  <c r="H102" i="12"/>
  <c r="H101" i="12"/>
  <c r="H100" i="12"/>
  <c r="H99" i="12"/>
  <c r="H97" i="12"/>
  <c r="H96" i="12"/>
  <c r="H94" i="12"/>
  <c r="H93" i="12"/>
  <c r="H92" i="12"/>
  <c r="H91" i="12"/>
  <c r="H90" i="12"/>
  <c r="H89" i="12"/>
  <c r="H88" i="12"/>
  <c r="H87" i="12"/>
  <c r="H86" i="12"/>
  <c r="I86" i="12" s="1"/>
  <c r="H85" i="12"/>
  <c r="I85" i="12" s="1"/>
  <c r="H84" i="12"/>
  <c r="I84" i="12" s="1"/>
  <c r="H83" i="12"/>
  <c r="H82" i="12"/>
  <c r="H81" i="12"/>
  <c r="H80" i="12"/>
  <c r="H79" i="12"/>
  <c r="H78" i="12"/>
  <c r="H77" i="12"/>
  <c r="H75" i="12"/>
  <c r="H74" i="12"/>
  <c r="H72" i="12"/>
  <c r="H71" i="12"/>
  <c r="I71" i="12" s="1"/>
  <c r="H70" i="12"/>
  <c r="H68" i="12"/>
  <c r="H67" i="12"/>
  <c r="H66" i="12"/>
  <c r="I66" i="12" s="1"/>
  <c r="H65" i="12"/>
  <c r="I65" i="12" s="1"/>
  <c r="H64" i="12"/>
  <c r="H63" i="12"/>
  <c r="H62" i="12"/>
  <c r="H18" i="12"/>
  <c r="H19" i="12"/>
  <c r="H20" i="12"/>
  <c r="H21" i="12"/>
  <c r="H22" i="12"/>
  <c r="I22" i="12" s="1"/>
  <c r="H23" i="12"/>
  <c r="H24" i="12"/>
  <c r="H25" i="12"/>
  <c r="H26" i="12"/>
  <c r="H27" i="12"/>
  <c r="H28" i="12"/>
  <c r="H29" i="12"/>
  <c r="H30" i="12"/>
  <c r="I30" i="12" s="1"/>
  <c r="H31" i="12"/>
  <c r="I31" i="12" s="1"/>
  <c r="H32" i="12"/>
  <c r="H33" i="12"/>
  <c r="I33" i="12" s="1"/>
  <c r="H34" i="12"/>
  <c r="I34" i="12"/>
  <c r="H35" i="12"/>
  <c r="I35" i="12" s="1"/>
  <c r="H36" i="12"/>
  <c r="I36" i="12" s="1"/>
  <c r="H37" i="12"/>
  <c r="H38" i="12"/>
  <c r="H39" i="12"/>
  <c r="H40" i="12"/>
  <c r="I40" i="12" s="1"/>
  <c r="H41" i="12"/>
  <c r="H42" i="12"/>
  <c r="H43" i="12"/>
  <c r="H44" i="12"/>
  <c r="H45" i="12"/>
  <c r="H46" i="12"/>
  <c r="H47" i="12"/>
  <c r="H48" i="12"/>
  <c r="H49" i="12"/>
  <c r="H50" i="12"/>
  <c r="H51" i="12"/>
  <c r="H52" i="12"/>
  <c r="I52" i="12" s="1"/>
  <c r="H53" i="12"/>
  <c r="I53" i="12" s="1"/>
  <c r="H54" i="12"/>
  <c r="I54" i="12" s="1"/>
  <c r="H55" i="12"/>
  <c r="H56" i="12"/>
  <c r="H57" i="12"/>
  <c r="H58" i="12"/>
  <c r="H59" i="12"/>
  <c r="H60" i="12"/>
  <c r="H17" i="12"/>
  <c r="H7" i="12"/>
  <c r="H8" i="12"/>
  <c r="H9" i="12"/>
  <c r="H10" i="12"/>
  <c r="H11" i="12"/>
  <c r="H12" i="12"/>
  <c r="H13" i="12"/>
  <c r="H14" i="12"/>
  <c r="H15" i="12"/>
  <c r="H6" i="12"/>
  <c r="C8" i="12"/>
  <c r="C7" i="12"/>
  <c r="D6" i="12"/>
  <c r="C6" i="12"/>
  <c r="I115" i="25" l="1"/>
  <c r="I202" i="25"/>
  <c r="I10" i="25"/>
  <c r="I183" i="25"/>
  <c r="I84" i="25"/>
  <c r="I226" i="25"/>
  <c r="I201" i="25"/>
  <c r="I147" i="25"/>
  <c r="I187" i="25"/>
  <c r="I89" i="25"/>
  <c r="I154" i="25"/>
  <c r="I51" i="25"/>
  <c r="I157" i="25"/>
  <c r="I178" i="25"/>
  <c r="I159" i="25"/>
  <c r="I179" i="25"/>
  <c r="I199" i="25"/>
  <c r="I7" i="25"/>
  <c r="I160" i="25"/>
  <c r="I75" i="25"/>
  <c r="I96" i="25"/>
  <c r="I177" i="25"/>
  <c r="I117" i="25"/>
  <c r="I158" i="25"/>
  <c r="I198" i="25"/>
  <c r="I80" i="25"/>
  <c r="I100" i="25"/>
  <c r="I181" i="25"/>
  <c r="I221" i="25"/>
  <c r="I43" i="25"/>
  <c r="I67" i="25"/>
  <c r="I81" i="25"/>
  <c r="I101" i="25"/>
  <c r="I121" i="25"/>
  <c r="I142" i="25"/>
  <c r="I182" i="25"/>
  <c r="I222" i="25"/>
  <c r="I153" i="25"/>
  <c r="I24" i="25"/>
  <c r="I122" i="25"/>
  <c r="I203" i="25"/>
  <c r="I124" i="25"/>
  <c r="I185" i="25"/>
  <c r="I225" i="25"/>
  <c r="I16" i="25"/>
  <c r="I61" i="25"/>
  <c r="I85" i="25"/>
  <c r="I146" i="25"/>
  <c r="I206" i="25"/>
  <c r="I167" i="25"/>
  <c r="I207" i="25"/>
  <c r="I126" i="25"/>
  <c r="I23" i="25"/>
  <c r="I63" i="25"/>
  <c r="I148" i="25"/>
  <c r="I208" i="25"/>
  <c r="I152" i="25"/>
  <c r="I143" i="25"/>
  <c r="I144" i="25"/>
  <c r="I205" i="25"/>
  <c r="I186" i="25"/>
  <c r="I169" i="25"/>
  <c r="I23" i="12"/>
  <c r="I93" i="12"/>
  <c r="I41" i="12"/>
  <c r="I112" i="12"/>
  <c r="I45" i="12"/>
  <c r="I28" i="12"/>
  <c r="I100" i="12"/>
  <c r="I60" i="12"/>
  <c r="I137" i="12"/>
  <c r="I125" i="12"/>
  <c r="I6" i="12"/>
  <c r="I14" i="12"/>
  <c r="I133" i="12"/>
  <c r="I70" i="12"/>
  <c r="I135" i="12"/>
  <c r="I113" i="12"/>
  <c r="I13" i="12"/>
  <c r="I48" i="12"/>
  <c r="I29" i="12"/>
  <c r="I134" i="12"/>
  <c r="I47" i="12"/>
  <c r="I136" i="12"/>
  <c r="I51" i="12"/>
  <c r="I67" i="12"/>
  <c r="I25" i="12"/>
  <c r="I119" i="12"/>
  <c r="I120" i="12"/>
  <c r="I99" i="12"/>
  <c r="I17" i="12"/>
  <c r="I101" i="12"/>
  <c r="I122" i="12"/>
  <c r="I39" i="12"/>
  <c r="I123" i="12"/>
  <c r="I121" i="12"/>
  <c r="I58" i="12"/>
  <c r="I38" i="12"/>
  <c r="I124" i="12"/>
  <c r="I97" i="12"/>
  <c r="I24" i="12"/>
  <c r="I57" i="12"/>
  <c r="I37" i="12"/>
  <c r="I19" i="12"/>
  <c r="I83" i="12"/>
  <c r="I46" i="12"/>
  <c r="I55" i="12"/>
  <c r="I8" i="25"/>
  <c r="I36" i="25"/>
  <c r="I47" i="25"/>
  <c r="I59" i="25"/>
  <c r="I73" i="25"/>
  <c r="I81" i="12"/>
  <c r="I11" i="12"/>
  <c r="I13" i="25"/>
  <c r="I37" i="25"/>
  <c r="I48" i="25"/>
  <c r="I60" i="25"/>
  <c r="I74" i="25"/>
  <c r="I12" i="12"/>
  <c r="I26" i="25"/>
  <c r="I62" i="25"/>
  <c r="I76" i="25"/>
  <c r="I20" i="12"/>
  <c r="I26" i="12"/>
  <c r="I32" i="12"/>
  <c r="I44" i="12"/>
  <c r="I28" i="25"/>
  <c r="I41" i="25"/>
  <c r="I66" i="25"/>
  <c r="I50" i="12"/>
  <c r="I29" i="25"/>
  <c r="I42" i="25"/>
  <c r="I40" i="25"/>
  <c r="I21" i="12"/>
  <c r="I27" i="12"/>
  <c r="I43" i="12"/>
  <c r="I11" i="25"/>
  <c r="I18" i="25"/>
  <c r="I30" i="25"/>
  <c r="I54" i="25"/>
  <c r="I105" i="25"/>
  <c r="I49" i="12"/>
  <c r="I19" i="25"/>
  <c r="I31" i="25"/>
  <c r="I55" i="25"/>
  <c r="I69" i="25"/>
  <c r="I9" i="12"/>
  <c r="I15" i="12"/>
  <c r="I59" i="12"/>
  <c r="I75" i="12"/>
  <c r="I20" i="25"/>
  <c r="I32" i="25"/>
  <c r="I44" i="25"/>
  <c r="I56" i="25"/>
  <c r="I70" i="25"/>
  <c r="I56" i="12"/>
  <c r="I21" i="25"/>
  <c r="I33" i="25"/>
  <c r="I45" i="25"/>
  <c r="I57" i="25"/>
  <c r="I71" i="25"/>
  <c r="I120" i="25"/>
  <c r="I145" i="25"/>
  <c r="I229" i="25"/>
  <c r="I10" i="12"/>
  <c r="I62" i="12"/>
  <c r="I22" i="25"/>
  <c r="I34" i="25"/>
  <c r="I46" i="25"/>
  <c r="I58" i="25"/>
  <c r="I72" i="25"/>
  <c r="I7" i="12"/>
  <c r="I209" i="25"/>
  <c r="I211" i="25"/>
  <c r="I204" i="25"/>
  <c r="I192" i="25"/>
  <c r="I197" i="25"/>
  <c r="I193" i="25"/>
  <c r="I194" i="25"/>
  <c r="I190" i="25"/>
  <c r="I184" i="25"/>
  <c r="I156" i="25"/>
  <c r="I168" i="25"/>
  <c r="I161" i="25"/>
  <c r="I173" i="25"/>
  <c r="I162" i="25"/>
  <c r="I174" i="25"/>
  <c r="I163" i="25"/>
  <c r="I175" i="25"/>
  <c r="I164" i="25"/>
  <c r="I176" i="25"/>
  <c r="I150" i="25"/>
  <c r="I139" i="25"/>
  <c r="I136" i="25"/>
  <c r="I141" i="25"/>
  <c r="I220" i="25"/>
  <c r="I223" i="25"/>
  <c r="I214" i="25"/>
  <c r="I217" i="25"/>
  <c r="I224" i="25"/>
  <c r="I228" i="25"/>
  <c r="I227" i="25"/>
  <c r="I189" i="25"/>
  <c r="I140" i="25"/>
  <c r="I191" i="25"/>
  <c r="I114" i="25"/>
  <c r="I106" i="25"/>
  <c r="I107" i="25"/>
  <c r="I104" i="25"/>
  <c r="I92" i="25"/>
  <c r="I83" i="25"/>
  <c r="I155" i="25"/>
  <c r="I131" i="25"/>
  <c r="I127" i="25"/>
  <c r="I123" i="25"/>
  <c r="I118" i="25"/>
  <c r="I108" i="25"/>
  <c r="I109" i="25"/>
  <c r="I110" i="25"/>
  <c r="I111" i="25"/>
  <c r="I103" i="25"/>
  <c r="I97" i="25"/>
  <c r="I86" i="25"/>
  <c r="I79" i="25"/>
  <c r="I82" i="25"/>
  <c r="I78" i="25"/>
  <c r="I111" i="12"/>
  <c r="I87" i="12"/>
  <c r="I126" i="12"/>
  <c r="I102" i="12"/>
  <c r="I103" i="12"/>
  <c r="I115" i="12"/>
  <c r="I104" i="12"/>
  <c r="I116" i="12"/>
  <c r="I105" i="12"/>
  <c r="I117" i="12"/>
  <c r="I106" i="12"/>
  <c r="I118" i="12"/>
  <c r="I130" i="12"/>
  <c r="I114" i="12"/>
  <c r="I127" i="12"/>
  <c r="I128" i="12"/>
  <c r="I129" i="12"/>
  <c r="I96" i="12"/>
  <c r="I77" i="12"/>
  <c r="I90" i="12"/>
  <c r="I91" i="12"/>
  <c r="I92" i="12"/>
  <c r="I88" i="12"/>
  <c r="I89" i="12"/>
  <c r="I78" i="12"/>
  <c r="I79" i="12"/>
  <c r="I80" i="12"/>
  <c r="I82" i="12"/>
  <c r="I94" i="12"/>
  <c r="I74" i="12"/>
  <c r="I72" i="12"/>
  <c r="I63" i="12"/>
  <c r="I64" i="12"/>
  <c r="I68" i="12"/>
  <c r="I42" i="12"/>
  <c r="I18" i="12"/>
  <c r="I8" i="12"/>
</calcChain>
</file>

<file path=xl/sharedStrings.xml><?xml version="1.0" encoding="utf-8"?>
<sst xmlns="http://schemas.openxmlformats.org/spreadsheetml/2006/main" count="819" uniqueCount="665">
  <si>
    <t>Ser</t>
  </si>
  <si>
    <t>(i)</t>
  </si>
  <si>
    <t>(ii)</t>
  </si>
  <si>
    <t>(iii)</t>
  </si>
  <si>
    <t>(iv)</t>
  </si>
  <si>
    <t>(v)</t>
  </si>
  <si>
    <t>(vi)</t>
  </si>
  <si>
    <t>(vii)</t>
  </si>
  <si>
    <t>(viii)</t>
  </si>
  <si>
    <t>(ix)</t>
  </si>
  <si>
    <t>(x)</t>
  </si>
  <si>
    <t>(xi)</t>
  </si>
  <si>
    <t>(xii)</t>
  </si>
  <si>
    <t>(xiii)</t>
  </si>
  <si>
    <t>Category (Make &amp; Type)</t>
  </si>
  <si>
    <t>Eng</t>
  </si>
  <si>
    <t xml:space="preserve">Make &amp; Eqpt </t>
  </si>
  <si>
    <t>Dependency</t>
  </si>
  <si>
    <t>Total NMC (Nos)</t>
  </si>
  <si>
    <t xml:space="preserve">PMC (Nos) 
</t>
  </si>
  <si>
    <t>FMC (Nos)</t>
  </si>
  <si>
    <t>NMC %</t>
  </si>
  <si>
    <t>PMC%</t>
  </si>
  <si>
    <t>FMC %</t>
  </si>
  <si>
    <t>Avl %</t>
  </si>
  <si>
    <t>Auth (UE)</t>
  </si>
  <si>
    <t>Held (UH)</t>
  </si>
  <si>
    <t>Spares</t>
  </si>
  <si>
    <t>OBE</t>
  </si>
  <si>
    <t>(xiv)</t>
  </si>
  <si>
    <t>(xv)</t>
  </si>
  <si>
    <t>NMC Due to</t>
  </si>
  <si>
    <t>PMC (Nos) 
(Due to OH)</t>
  </si>
  <si>
    <t>FMC</t>
  </si>
  <si>
    <t>MUA</t>
  </si>
  <si>
    <t>OH</t>
  </si>
  <si>
    <t>MR</t>
  </si>
  <si>
    <t>FR</t>
  </si>
  <si>
    <t>R4</t>
  </si>
  <si>
    <t>(xvi)</t>
  </si>
  <si>
    <t>(xvii)</t>
  </si>
  <si>
    <t>(xviii)</t>
  </si>
  <si>
    <t>(xix)</t>
  </si>
  <si>
    <t>(xx)</t>
  </si>
  <si>
    <t>FMN READINESS STATE  : ARMT</t>
  </si>
  <si>
    <t>FMN READINESS STATE  : SMALL ARMS</t>
  </si>
  <si>
    <t xml:space="preserve">NMC due to </t>
  </si>
  <si>
    <t>Remarks (To incl present loc of eqpt EOA)</t>
  </si>
  <si>
    <t>SVL / OBSN / SIGHTING EQPTS (THERMAL IMAGING)</t>
  </si>
  <si>
    <t>LASER BASED INSTS</t>
  </si>
  <si>
    <t>PASSIVE NIGHT VISION DEVICES (PNVD)</t>
  </si>
  <si>
    <t>Optical Insts</t>
  </si>
  <si>
    <t xml:space="preserve"> </t>
  </si>
  <si>
    <t>Auth 
(UE)</t>
  </si>
  <si>
    <t>Total</t>
  </si>
  <si>
    <t>Ser No</t>
  </si>
  <si>
    <t>Excavator Loader</t>
  </si>
  <si>
    <t>Wheel Dozer</t>
  </si>
  <si>
    <t>Air Compressor</t>
  </si>
  <si>
    <t xml:space="preserve"> Under OH /MR/R4/
FR/ Base Repair</t>
  </si>
  <si>
    <t>Eng/
 Brl</t>
  </si>
  <si>
    <t>Special Vehicle</t>
  </si>
  <si>
    <t>Ambulance Vehs</t>
  </si>
  <si>
    <t>Recovery Vehs</t>
  </si>
  <si>
    <t>NIV / CIV Pattern Vehs</t>
  </si>
  <si>
    <t>Trailer</t>
  </si>
  <si>
    <t>Misc Vehicles</t>
  </si>
  <si>
    <t>PLANT AND MACHY EQPT</t>
  </si>
  <si>
    <t>Tracked Dozer</t>
  </si>
  <si>
    <t>Construction Eqpt</t>
  </si>
  <si>
    <t>Out Board Motor</t>
  </si>
  <si>
    <t>Mining Eqpt</t>
  </si>
  <si>
    <t>Misc Eqpt</t>
  </si>
  <si>
    <t>BRIDGING EQPT AND MOBILE MASTS</t>
  </si>
  <si>
    <t>Mobile Mast</t>
  </si>
  <si>
    <t>BRIDGING EQPT</t>
  </si>
  <si>
    <t>GENR SET AND CHG SET</t>
  </si>
  <si>
    <t>FMN READINESS STATE :  C VEHS</t>
  </si>
  <si>
    <t>Addl Eqpt</t>
  </si>
  <si>
    <t>Water Browser</t>
  </si>
  <si>
    <t>Remarks
(To incl present loc of eqpt EOA)</t>
  </si>
  <si>
    <t xml:space="preserve">Remarks
(Demand Detls of VOR/EOA) </t>
  </si>
  <si>
    <t>Light Vehicle</t>
  </si>
  <si>
    <t>Tlr for 5.6 kW Charging Set</t>
  </si>
  <si>
    <t xml:space="preserve">M/s Greaves
Held excl 02 x Genr at Gopalpur </t>
  </si>
  <si>
    <t>Held excl 02 x veh at Gopalpur.</t>
  </si>
  <si>
    <t>Held excl 01 x MC at Gopalpur</t>
  </si>
  <si>
    <t>HF Deluxe</t>
  </si>
  <si>
    <t>Auth 11.25 KVA</t>
  </si>
  <si>
    <t xml:space="preserve">Held excl 02 x Chg Set at Gopalpur </t>
  </si>
  <si>
    <t>MMTS Genr Set</t>
  </si>
  <si>
    <t>M/s Eicher</t>
  </si>
  <si>
    <t>6 KVA Honda Genr Set for ILM Shelter for TC REPORTER</t>
  </si>
  <si>
    <t>M/s Accurate for AKASHTEER</t>
  </si>
  <si>
    <t>Honda Genr Sets for MSST</t>
  </si>
  <si>
    <t>04 x M/s Escort (ACSFP) and 02 x M/s Eicher</t>
  </si>
  <si>
    <t>DG Set for TC REPORTER Rdr</t>
  </si>
  <si>
    <t>Held excl 01 x Bty Charger at Gopalpur</t>
  </si>
  <si>
    <t>Held excl 57 x CM at Gopalpur.</t>
  </si>
  <si>
    <t>Held excl 01 x LMG at Gopalpur.</t>
  </si>
  <si>
    <t>Held excl one at Gopalpur</t>
  </si>
  <si>
    <t xml:space="preserve"> Under OH/ R4/ FR/ Base Repair</t>
  </si>
  <si>
    <t>ACSFP Stores</t>
  </si>
  <si>
    <t>Held excl 08 x Sight at Gopalpur</t>
  </si>
  <si>
    <t>TATRA veh for TC REPORTER</t>
  </si>
  <si>
    <t>MMTS at Gopalpur since 02 Jul 25</t>
  </si>
  <si>
    <t>Held excl 09 x FATs at Gopalpur</t>
  </si>
  <si>
    <t>Held excl 01 x W/B at Gopalpur.
01 x veh ex 402 Lt AD Regt (Comp) downgraded to Cl-VI, backloading under progress.</t>
  </si>
  <si>
    <t>05 x Compass Prism Liquid declared BER, being deposited. 
Held excl, 12 x Compass at Gopalpur</t>
  </si>
  <si>
    <t>04 x Bino Prism declared BER, being deposited.</t>
  </si>
  <si>
    <t>Collimator Sight
Held excl 08 x Sight at Gopalpur</t>
  </si>
  <si>
    <t>FMN READINESS STATE : INSTS</t>
  </si>
  <si>
    <t>FMN READINESS STATE : 'B' VEH OF 945 LT AD REGT (COMP) WKSP FOR THE MONTH OF NOV 2025</t>
  </si>
  <si>
    <t>Held excl 04 x veh at Gopalpur.</t>
  </si>
  <si>
    <r>
      <t xml:space="preserve">Held excl 06 x veh at Gopalpur.
</t>
    </r>
    <r>
      <rPr>
        <sz val="12"/>
        <color rgb="FFFF0000"/>
        <rFont val="Arial"/>
        <family val="2"/>
      </rPr>
      <t>01 x Veh VOR since 30 Oct 25.</t>
    </r>
  </si>
  <si>
    <r>
      <t xml:space="preserve">Escort - ACSFP. </t>
    </r>
    <r>
      <rPr>
        <sz val="12"/>
        <color rgb="FFFF0000"/>
        <rFont val="Arial"/>
        <family val="2"/>
      </rPr>
      <t>Tractor returned to Stn Cell, HQ 41 Sub Area.</t>
    </r>
  </si>
  <si>
    <t>NMC%</t>
  </si>
  <si>
    <t>Held excl 44 x Rif at Gopalpur.
01 x Rif declared R4 during AIA Insp 2025-26.</t>
  </si>
  <si>
    <t>Held excl 09 x LMG at Gopalpur.
01 x LMG declared R4 during AIA Insp 2025-26.</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</si>
  <si>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</si>
  <si>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</si>
  <si>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</si>
  <si>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</si>
  <si>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</si>
  <si>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</si>
  <si>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</si>
  <si>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</si>
  <si>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</si>
  <si>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</si>
  <si>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</si>
  <si>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</si>
  <si>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</si>
  <si>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</si>
  <si>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</si>
  <si>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</si>
  <si>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</si>
  <si>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</si>
  <si>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</si>
  <si>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</si>
  <si>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</si>
  <si>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</si>
  <si>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</si>
  <si>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</si>
  <si>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</si>
  <si>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</si>
  <si>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</si>
  <si>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</si>
  <si>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</si>
  <si>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</si>
  <si>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</si>
  <si>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</si>
  <si>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</si>
  <si>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</si>
  <si>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</si>
  <si>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</si>
  <si>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</si>
  <si>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</si>
  <si>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</si>
  <si>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</si>
  <si>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</si>
  <si>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</si>
  <si>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</si>
  <si>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</si>
  <si>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</si>
  <si>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</si>
  <si>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</si>
  <si>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</si>
  <si>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</si>
  <si>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</si>
  <si>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</si>
  <si>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</si>
  <si>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</si>
  <si>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</si>
  <si>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</si>
  <si>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</si>
  <si>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</si>
  <si>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</si>
  <si>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</si>
  <si>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</si>
  <si>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</si>
  <si>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</si>
  <si>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</si>
  <si>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</si>
  <si>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</si>
  <si>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</si>
  <si>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</si>
  <si>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</si>
  <si>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</si>
  <si>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</si>
  <si>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</si>
  <si>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</si>
  <si>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</si>
  <si>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</si>
  <si>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</si>
  <si>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</si>
  <si>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</si>
  <si>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</si>
  <si>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</si>
  <si>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</si>
  <si>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</si>
  <si>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</si>
  <si>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</si>
  <si>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</si>
  <si>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</si>
  <si>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</si>
  <si>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</si>
  <si>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</si>
  <si>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</si>
  <si>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</si>
  <si>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</si>
  <si>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</si>
  <si>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</si>
  <si>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</si>
  <si>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</si>
  <si>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</si>
  <si>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</si>
  <si>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</si>
  <si>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</si>
  <si>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</si>
  <si>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</si>
  <si>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</si>
  <si>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</si>
  <si>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</si>
  <si>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</si>
  <si>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</si>
  <si>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</si>
  <si>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</si>
  <si>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</si>
  <si>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</si>
  <si>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</si>
  <si>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</si>
  <si>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</si>
  <si>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</si>
  <si>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</si>
  <si>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</si>
  <si>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</si>
  <si>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</si>
  <si>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</si>
  <si>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</si>
  <si>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</si>
  <si>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</si>
  <si>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</si>
  <si>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</si>
  <si>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</si>
  <si>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</si>
  <si>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</si>
  <si>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</si>
  <si>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</si>
  <si>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</si>
  <si>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</si>
  <si>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</si>
  <si>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</si>
  <si>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</si>
  <si>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</si>
  <si>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</si>
  <si>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</si>
  <si>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</si>
  <si>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</si>
  <si>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</si>
  <si>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</si>
  <si>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</si>
  <si>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</si>
  <si>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</si>
  <si>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</si>
  <si>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</si>
  <si>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</si>
  <si>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</si>
  <si>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</si>
  <si>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</si>
  <si>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</si>
  <si>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</si>
  <si>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</si>
  <si>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</si>
  <si>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</si>
  <si>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</si>
  <si>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</si>
  <si>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</si>
  <si>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</si>
  <si>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</si>
  <si>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</si>
  <si>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</si>
  <si>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</si>
  <si>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</si>
  <si>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</si>
  <si>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</si>
  <si>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</si>
  <si>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</si>
  <si>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</si>
  <si>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</si>
  <si>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</si>
  <si>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</si>
  <si>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</si>
  <si>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</si>
  <si>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</si>
  <si>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</si>
  <si>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</si>
  <si>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</si>
  <si>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</si>
  <si>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</si>
  <si>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</si>
  <si>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</si>
  <si>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</si>
  <si>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</si>
  <si>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</si>
  <si>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</si>
  <si>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</si>
  <si>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</si>
  <si>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</si>
  <si>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</si>
  <si>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</si>
  <si>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</si>
  <si>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</si>
  <si>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</si>
  <si>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</si>
  <si>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</si>
  <si>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</si>
  <si>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</si>
  <si>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</si>
  <si>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</si>
  <si>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</si>
  <si>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</si>
  <si>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</si>
  <si>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</si>
  <si>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</si>
  <si>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</si>
  <si>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</si>
  <si>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</si>
  <si>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</si>
  <si>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</si>
  <si>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</si>
  <si>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</si>
  <si>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</si>
  <si>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</si>
  <si>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</si>
  <si>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</si>
  <si>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</si>
  <si>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</si>
  <si>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</si>
  <si>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</si>
  <si>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</si>
  <si>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</si>
  <si>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</si>
  <si>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</si>
  <si>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</si>
  <si>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</si>
  <si>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</si>
  <si>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</si>
  <si>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</si>
  <si>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</si>
  <si>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</si>
  <si>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</si>
  <si>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</si>
  <si>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</si>
  <si>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</si>
  <si>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</si>
  <si>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</si>
  <si>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</si>
  <si>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</si>
  <si>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</si>
  <si>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</si>
  <si>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</si>
  <si>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</si>
  <si>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</si>
  <si>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</si>
  <si>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</si>
  <si>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</si>
  <si>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</si>
  <si>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</si>
  <si>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</si>
  <si>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</si>
  <si>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</si>
  <si>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</si>
  <si>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</si>
  <si>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</si>
  <si>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</si>
  <si>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</si>
  <si>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</si>
  <si>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</si>
  <si>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</si>
  <si>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</si>
  <si>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</si>
  <si>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</si>
  <si>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</si>
  <si>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</si>
  <si>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</si>
  <si>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</si>
  <si>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</si>
  <si>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</si>
  <si>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</si>
  <si>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</si>
  <si>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</si>
  <si>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</si>
  <si>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</si>
  <si>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</si>
  <si>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</si>
  <si>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</si>
  <si>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</si>
  <si>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</si>
  <si>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</si>
  <si>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</si>
  <si>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</si>
  <si>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</si>
  <si>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</si>
  <si>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</si>
  <si>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</si>
  <si>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</si>
  <si>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</si>
  <si>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</si>
  <si>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</si>
  <si>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</si>
  <si>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</si>
  <si>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</si>
  <si>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</si>
  <si>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</si>
  <si>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</si>
  <si>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</si>
  <si>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</si>
  <si>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</si>
  <si>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</si>
  <si>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</si>
  <si>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</si>
  <si>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</si>
  <si>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</si>
  <si>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</si>
  <si>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</si>
  <si>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</si>
  <si>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</si>
  <si>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</si>
  <si>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</si>
  <si>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</si>
  <si>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</si>
  <si>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</si>
  <si>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</si>
  <si>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</si>
  <si>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</si>
  <si>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</si>
  <si>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</si>
  <si>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</si>
  <si>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</si>
  <si>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</si>
  <si>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</si>
  <si>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</si>
  <si>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</si>
  <si>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</si>
  <si>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</si>
  <si>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</si>
  <si>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</si>
  <si>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</si>
  <si>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</si>
  <si>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</si>
  <si>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</si>
  <si>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</si>
  <si>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</si>
  <si>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</si>
  <si>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</si>
  <si>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D1</t>
  </si>
  <si>
    <t>D2</t>
  </si>
  <si>
    <t>D3</t>
  </si>
  <si>
    <t>D4</t>
  </si>
  <si>
    <t>D5</t>
  </si>
  <si>
    <t>D6</t>
  </si>
  <si>
    <t>D7</t>
  </si>
  <si>
    <t>D8</t>
  </si>
  <si>
    <t>D9</t>
  </si>
  <si>
    <t>D10</t>
  </si>
  <si>
    <t>D11</t>
  </si>
  <si>
    <t>D12</t>
  </si>
  <si>
    <t>D13</t>
  </si>
  <si>
    <t>D14</t>
  </si>
  <si>
    <t>D15</t>
  </si>
  <si>
    <t>D16</t>
  </si>
  <si>
    <t>D17</t>
  </si>
  <si>
    <t>D18</t>
  </si>
  <si>
    <t>D19</t>
  </si>
  <si>
    <r>
      <t xml:space="preserve">12.1   Held excl 08 x Guns at AAD College Gopalpur.
12.2  Gun Regd No E-3169 &amp; C-4184 under BOH at W3.
</t>
    </r>
    <r>
      <rPr>
        <sz val="12"/>
        <color rgb="FFFF0000"/>
        <rFont val="Arial"/>
        <family val="2"/>
      </rPr>
      <t>12.3   Left Org Brl assy with Rx assy of Gun Regd No CH-51 fwd to 510 ABW on DRWO for necessary sentencing against defect observed during after firing insp in Mar 2025. Gun repaired by 510 ABW. CIN recd vide 510 ABW letter No 70301/ ZU/OH/P&amp;P dt 21 Nov 25.</t>
    </r>
  </si>
  <si>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</si>
  <si>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</si>
  <si>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</si>
  <si>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</si>
  <si>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</si>
  <si>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</si>
  <si>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</si>
  <si>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</si>
  <si>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</si>
  <si>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</si>
  <si>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</si>
  <si>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</si>
  <si>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</si>
  <si>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</si>
  <si>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</si>
  <si>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</si>
  <si>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</si>
  <si>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</si>
  <si>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</si>
  <si>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</si>
  <si>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</si>
  <si>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</si>
  <si>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</si>
  <si>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</si>
  <si>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</si>
  <si>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</si>
  <si>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</si>
  <si>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T1</t>
  </si>
  <si>
    <t>T1.1</t>
  </si>
  <si>
    <t>T1.2</t>
  </si>
  <si>
    <t>T1.3</t>
  </si>
  <si>
    <t>T1.4</t>
  </si>
  <si>
    <t>T1.5</t>
  </si>
  <si>
    <t>T2</t>
  </si>
  <si>
    <t>T2.1</t>
  </si>
  <si>
    <t>T2.2</t>
  </si>
  <si>
    <t>T2.3</t>
  </si>
  <si>
    <t>T3</t>
  </si>
  <si>
    <t>T3.1</t>
  </si>
  <si>
    <t>T3.2</t>
  </si>
  <si>
    <t>T3.3</t>
  </si>
  <si>
    <t>T3.4</t>
  </si>
  <si>
    <t>T3.5</t>
  </si>
  <si>
    <t>T4</t>
  </si>
  <si>
    <t>T4.1</t>
  </si>
  <si>
    <t>T4.2</t>
  </si>
  <si>
    <t>T4.3</t>
  </si>
  <si>
    <t>T4.4</t>
  </si>
  <si>
    <t>T5</t>
  </si>
  <si>
    <t>T5.1</t>
  </si>
  <si>
    <t>T5.2</t>
  </si>
  <si>
    <t>T6</t>
  </si>
  <si>
    <t>T6.1</t>
  </si>
  <si>
    <t>T6.2</t>
  </si>
  <si>
    <t>T6.3</t>
  </si>
  <si>
    <t>T6.4</t>
  </si>
  <si>
    <t>T6.5</t>
  </si>
  <si>
    <t>T7</t>
  </si>
  <si>
    <t>T7.1</t>
  </si>
  <si>
    <t>T7.2</t>
  </si>
  <si>
    <t>T7.3</t>
  </si>
  <si>
    <t>T7.4</t>
  </si>
  <si>
    <t>T8</t>
  </si>
  <si>
    <t>T8.1</t>
  </si>
  <si>
    <t>T8.2</t>
  </si>
  <si>
    <t>T9</t>
  </si>
  <si>
    <t>T9.1</t>
  </si>
  <si>
    <t>T9.2</t>
  </si>
  <si>
    <t>T9.3</t>
  </si>
  <si>
    <t>T9.4</t>
  </si>
  <si>
    <t>T10</t>
  </si>
  <si>
    <t>T10.1</t>
  </si>
  <si>
    <t>T10.2</t>
  </si>
  <si>
    <t>T10.3</t>
  </si>
  <si>
    <t>T10.4</t>
  </si>
  <si>
    <t>T11</t>
  </si>
  <si>
    <t>T11.1</t>
  </si>
  <si>
    <t>T11.2</t>
  </si>
  <si>
    <t>T12</t>
  </si>
  <si>
    <t>T12.1</t>
  </si>
  <si>
    <t>T13</t>
  </si>
  <si>
    <t>T13.1</t>
  </si>
  <si>
    <t>T13.2</t>
  </si>
  <si>
    <t>T14</t>
  </si>
  <si>
    <t>T14.1</t>
  </si>
  <si>
    <t>T14.2</t>
  </si>
  <si>
    <t>T15</t>
  </si>
  <si>
    <t>T15.1</t>
  </si>
  <si>
    <t>T15.2</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</si>
  <si>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</si>
  <si>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</si>
  <si>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</si>
  <si>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</si>
  <si>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</si>
  <si>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</si>
  <si>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</si>
  <si>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</si>
  <si>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</si>
  <si>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</si>
  <si>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</si>
  <si>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</si>
  <si>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</si>
  <si>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</si>
  <si>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</si>
  <si>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</si>
  <si>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</si>
  <si>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</si>
  <si>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</si>
  <si>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</si>
  <si>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</si>
  <si>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</si>
  <si>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</si>
  <si>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</si>
  <si>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</si>
  <si>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</si>
  <si>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</si>
  <si>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</si>
  <si>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</si>
  <si>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</si>
  <si>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</si>
  <si>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</si>
  <si>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</si>
  <si>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</si>
  <si>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</si>
  <si>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</si>
  <si>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</si>
  <si>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</si>
  <si>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</si>
  <si>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</si>
  <si>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</si>
  <si>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</si>
  <si>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</si>
  <si>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</si>
  <si>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</si>
  <si>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</si>
  <si>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</si>
  <si>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</si>
  <si>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</si>
  <si>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</si>
  <si>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</si>
  <si>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</si>
  <si>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</si>
  <si>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</si>
  <si>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</si>
  <si>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</si>
  <si>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</si>
  <si>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</si>
  <si>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</si>
  <si>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</si>
  <si>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</si>
  <si>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</si>
  <si>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</si>
  <si>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</si>
  <si>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</si>
  <si>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</si>
  <si>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</si>
  <si>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</si>
  <si>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</si>
  <si>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</si>
  <si>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T86</t>
  </si>
  <si>
    <t>T87</t>
  </si>
  <si>
    <t>T88</t>
  </si>
  <si>
    <t>T89</t>
  </si>
  <si>
    <t>T90</t>
  </si>
  <si>
    <t>T91</t>
  </si>
  <si>
    <t>T92</t>
  </si>
  <si>
    <t>T93</t>
  </si>
  <si>
    <t>T94</t>
  </si>
  <si>
    <t>T95</t>
  </si>
  <si>
    <t>T96</t>
  </si>
  <si>
    <t>T97</t>
  </si>
  <si>
    <t>T98</t>
  </si>
  <si>
    <t>T99</t>
  </si>
  <si>
    <t>T100</t>
  </si>
  <si>
    <t>T101</t>
  </si>
  <si>
    <t>T102</t>
  </si>
  <si>
    <t>T103</t>
  </si>
  <si>
    <t>T104</t>
  </si>
  <si>
    <t>T105</t>
  </si>
  <si>
    <t>T106</t>
  </si>
  <si>
    <t>T107</t>
  </si>
  <si>
    <t>T108</t>
  </si>
  <si>
    <t>T109</t>
  </si>
  <si>
    <t>T110</t>
  </si>
  <si>
    <t>T111</t>
  </si>
  <si>
    <t>T112</t>
  </si>
  <si>
    <t>T113</t>
  </si>
  <si>
    <t>T114</t>
  </si>
  <si>
    <t>Held excl one at Gopalpur
05 x HHTI fwd to W2 on 15 Oct 2025 for Getter Activation.</t>
  </si>
  <si>
    <t>Held excl two at Gopalpur
Incl 08 x TI Sights ex ACSFP Stores.
02 x TI IGLA Sights fwd to W2 on 15 Oct 2025 for Getter Activation.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</si>
</sst>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0"/>
      <name val="Arial"/>
      <family val="2"/>
    </font>
    <font>
      <sz val="11"/>
      <color theme="1"/>
      <name val="Calibri"/>
      <family val="2"/>
      <scheme val="minor"/>
    </font>
    <font>
      <sz val="12"/>
      <name val="Arial"/>
      <family val="2"/>
    </font>
    <font>
      <b/>
      <sz val="12"/>
      <name val="Arial"/>
      <family val="2"/>
    </font>
    <font>
      <b/>
      <u/>
      <sz val="12"/>
      <name val="Arial"/>
      <family val="2"/>
    </font>
    <font>
      <u/>
      <sz val="12"/>
      <name val="Arial"/>
      <family val="2"/>
    </font>
    <font>
      <sz val="12"/>
      <name val="Calibri"/>
      <family val="2"/>
      <scheme val="minor"/>
    </font>
    <font>
      <b/>
      <sz val="12"/>
      <name val="Calibri"/>
      <family val="2"/>
      <scheme val="minor"/>
    </font>
    <font>
      <sz val="12"/>
      <color theme="1"/>
      <name val="Arial"/>
      <family val="2"/>
    </font>
    <font>
      <b/>
      <u/>
      <sz val="12"/>
      <color theme="1"/>
      <name val="Arial"/>
      <family val="2"/>
    </font>
    <font>
      <b/>
      <sz val="12"/>
      <color theme="1"/>
      <name val="Arial"/>
      <family val="2"/>
    </font>
    <font>
      <b/>
      <sz val="13"/>
      <name val="Arial"/>
      <family val="2"/>
    </font>
    <font>
      <sz val="11"/>
      <color indexed="8"/>
      <name val="Calibri"/>
      <family val="2"/>
    </font>
    <font>
      <sz val="11"/>
      <name val="Calibri"/>
      <family val="2"/>
      <scheme val="minor"/>
    </font>
    <font>
      <sz val="12"/>
      <color rgb="FFFF0000"/>
      <name val="Arial"/>
      <family val="2"/>
    </font>
    <font>
      <sz val="13"/>
      <color theme="1"/>
      <name val="Arial"/>
      <family val="2"/>
    </font>
    <font>
      <sz val="12"/>
      <name val="Arial Narrow"/>
      <family val="2"/>
    </font>
    <font>
      <sz val="12"/>
      <color theme="1"/>
      <name val="Arial Narrow"/>
      <family val="2"/>
    </font>
    <font>
      <sz val="11"/>
      <name val="Arial"/>
      <family val="2"/>
    </font>
    <font>
      <sz val="10"/>
      <name val="Arial Narrow"/>
      <family val="2"/>
    </font>
    <font>
      <sz val="10"/>
      <color theme="1"/>
      <name val="Arial Narrow"/>
      <family val="2"/>
    </font>
    <font>
      <sz val="10"/>
      <color theme="1"/>
      <name val="Arial"/>
      <family val="2"/>
    </font>
    <font>
      <sz val="11"/>
      <color theme="1"/>
      <name val="Arial"/>
      <family val="2"/>
    </font>
    <font>
      <b/>
      <sz val="12"/>
      <color rgb="FF00B050"/>
      <name val="Arial"/>
      <family val="2"/>
    </font>
    <font>
      <sz val="12"/>
      <color rgb="FF00B050"/>
      <name val="Arial"/>
      <family val="2"/>
    </font>
    <font>
      <sz val="8"/>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diagonal/>
    </border>
  </borders>
  <cellStyleXfs count="10">
    <xf numFmtId="0" fontId="0" fillId="0" borderId="0"/>
    <xf numFmtId="0" fontId="1" fillId="0" borderId="0"/>
    <xf numFmtId="0" fontId="1" fillId="0" borderId="0"/>
    <xf numFmtId="9" fontId="2" fillId="0" borderId="0" applyFont="0" applyFill="0" applyBorder="0" applyAlignment="0" applyProtection="0"/>
    <xf numFmtId="0" fontId="2" fillId="0" borderId="0"/>
    <xf numFmtId="0" fontId="1" fillId="0" borderId="0"/>
    <xf numFmtId="0" fontId="1" fillId="0" borderId="0"/>
    <xf numFmtId="0" fontId="1" fillId="0" borderId="0"/>
    <xf numFmtId="0" fontId="13" fillId="0" borderId="0"/>
    <xf numFmtId="0" fontId="1" fillId="0" borderId="0"/>
  </cellStyleXfs>
  <cellXfs count="249">
    <xf numFmtId="0" fontId="0" fillId="0" borderId="0" xfId="0"/>
    <xf numFmtId="0" fontId="3" fillId="2" borderId="1" xfId="0" applyFont="1" applyFill="1" applyBorder="1" applyAlignment="1">
      <alignment horizontal="center" vertical="center"/>
    </xf>
    <xf numFmtId="0" fontId="3" fillId="2" borderId="0" xfId="0" applyFont="1" applyFill="1" applyAlignment="1">
      <alignment horizontal="left" vertical="center"/>
    </xf>
    <xf numFmtId="0" fontId="3" fillId="2" borderId="0" xfId="0" applyFont="1" applyFill="1" applyAlignment="1">
      <alignment horizontal="center" vertical="center"/>
    </xf>
    <xf numFmtId="0" fontId="4" fillId="2" borderId="0" xfId="0" applyFont="1" applyFill="1" applyAlignment="1">
      <alignment horizontal="left" indent="2"/>
    </xf>
    <xf numFmtId="0" fontId="3" fillId="2" borderId="0" xfId="0" applyFont="1" applyFill="1" applyAlignment="1">
      <alignment horizontal="left" indent="2"/>
    </xf>
    <xf numFmtId="0" fontId="3" fillId="2" borderId="0" xfId="0" applyFont="1" applyFill="1" applyAlignment="1">
      <alignment horizontal="center"/>
    </xf>
    <xf numFmtId="0" fontId="3" fillId="2" borderId="0" xfId="0" applyFont="1" applyFill="1" applyAlignment="1">
      <alignment horizontal="left"/>
    </xf>
    <xf numFmtId="0" fontId="3" fillId="2" borderId="0" xfId="0" applyFont="1" applyFill="1"/>
    <xf numFmtId="0" fontId="3" fillId="2" borderId="0" xfId="0" applyFont="1" applyFill="1" applyAlignment="1">
      <alignment vertical="center"/>
    </xf>
    <xf numFmtId="0" fontId="7" fillId="2" borderId="0" xfId="0" applyFont="1" applyFill="1"/>
    <xf numFmtId="0" fontId="8" fillId="2" borderId="0" xfId="0" applyFont="1" applyFill="1"/>
    <xf numFmtId="0" fontId="3" fillId="2" borderId="0" xfId="5" applyFont="1" applyFill="1" applyAlignment="1">
      <alignment vertical="center"/>
    </xf>
    <xf numFmtId="0" fontId="4" fillId="2" borderId="0" xfId="0" applyFont="1" applyFill="1" applyAlignment="1">
      <alignment horizontal="center" vertical="center" wrapText="1" readingOrder="1"/>
    </xf>
    <xf numFmtId="0" fontId="3" fillId="2" borderId="0" xfId="0" applyFont="1" applyFill="1" applyAlignment="1">
      <alignment horizontal="left" vertical="top"/>
    </xf>
    <xf numFmtId="0" fontId="9" fillId="2" borderId="1" xfId="0" applyFont="1" applyFill="1" applyBorder="1" applyAlignment="1">
      <alignment horizontal="center" vertical="center"/>
    </xf>
    <xf numFmtId="0" fontId="9" fillId="2" borderId="1" xfId="0" applyFont="1" applyFill="1" applyBorder="1" applyAlignment="1" applyProtection="1">
      <alignment horizontal="center" vertical="center"/>
      <protection locked="0"/>
    </xf>
    <xf numFmtId="0" fontId="9" fillId="2" borderId="1" xfId="0" applyFont="1" applyFill="1" applyBorder="1" applyAlignment="1" applyProtection="1">
      <alignment horizontal="left" vertical="center" wrapText="1"/>
      <protection locked="0"/>
    </xf>
    <xf numFmtId="0" fontId="12" fillId="2" borderId="0" xfId="0" applyFont="1" applyFill="1" applyAlignment="1">
      <alignment horizontal="center" vertical="center"/>
    </xf>
    <xf numFmtId="0" fontId="7" fillId="2" borderId="0" xfId="0" applyFont="1" applyFill="1" applyAlignment="1">
      <alignment vertical="center"/>
    </xf>
    <xf numFmtId="0" fontId="4" fillId="2" borderId="0" xfId="0" applyFont="1" applyFill="1"/>
    <xf numFmtId="0" fontId="3" fillId="2" borderId="0" xfId="0" applyFont="1" applyFill="1" applyAlignment="1">
      <alignment horizontal="center" vertical="top"/>
    </xf>
    <xf numFmtId="0" fontId="4" fillId="2" borderId="1" xfId="0" applyFont="1" applyFill="1" applyBorder="1" applyAlignment="1" applyProtection="1">
      <alignment horizontal="left" vertical="center" wrapText="1"/>
      <protection locked="0"/>
    </xf>
    <xf numFmtId="0" fontId="3" fillId="2" borderId="1" xfId="0" applyFont="1" applyFill="1" applyBorder="1" applyAlignment="1">
      <alignment vertical="center" wrapText="1"/>
    </xf>
    <xf numFmtId="1" fontId="3" fillId="2" borderId="1" xfId="0" applyNumberFormat="1" applyFont="1" applyFill="1" applyBorder="1" applyAlignment="1">
      <alignment horizontal="center" vertical="center"/>
    </xf>
    <xf numFmtId="0" fontId="3" fillId="2" borderId="1" xfId="0" applyFont="1" applyFill="1" applyBorder="1" applyAlignment="1" applyProtection="1">
      <alignment horizontal="center" vertical="center"/>
      <protection locked="0"/>
    </xf>
    <xf numFmtId="1" fontId="3" fillId="2" borderId="1" xfId="0"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xf>
    <xf numFmtId="0" fontId="3" fillId="2" borderId="1" xfId="0" applyFont="1" applyFill="1" applyBorder="1" applyAlignment="1" applyProtection="1">
      <alignment horizontal="left" vertical="center"/>
      <protection locked="0"/>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5" fillId="2" borderId="1" xfId="0" applyFont="1" applyFill="1" applyBorder="1" applyAlignment="1">
      <alignment vertical="center"/>
    </xf>
    <xf numFmtId="0" fontId="3" fillId="2" borderId="1" xfId="0" applyFont="1" applyFill="1" applyBorder="1" applyAlignment="1">
      <alignment horizontal="left" vertical="top" wrapText="1"/>
    </xf>
    <xf numFmtId="0" fontId="3" fillId="2" borderId="1" xfId="2" applyFont="1" applyFill="1" applyBorder="1" applyAlignment="1">
      <alignment horizontal="left" vertical="center" wrapText="1"/>
    </xf>
    <xf numFmtId="0" fontId="5" fillId="2" borderId="1" xfId="0" applyFont="1" applyFill="1" applyBorder="1" applyAlignment="1">
      <alignment vertical="center" wrapText="1"/>
    </xf>
    <xf numFmtId="0" fontId="3" fillId="2" borderId="1" xfId="0" applyFont="1" applyFill="1" applyBorder="1" applyAlignment="1" applyProtection="1">
      <alignment horizontal="left" vertical="center" wrapText="1"/>
      <protection locked="0"/>
    </xf>
    <xf numFmtId="0" fontId="4" fillId="2" borderId="1" xfId="0" applyFont="1" applyFill="1" applyBorder="1" applyAlignment="1" applyProtection="1">
      <alignment horizontal="left" vertical="top" wrapText="1"/>
      <protection locked="0"/>
    </xf>
    <xf numFmtId="0" fontId="3" fillId="2" borderId="2" xfId="0" applyFont="1" applyFill="1" applyBorder="1" applyAlignment="1">
      <alignment horizontal="center" vertical="center"/>
    </xf>
    <xf numFmtId="0" fontId="3" fillId="2" borderId="2" xfId="0" applyFont="1" applyFill="1" applyBorder="1" applyAlignment="1" applyProtection="1">
      <alignment horizontal="center" vertical="center"/>
      <protection locked="0"/>
    </xf>
    <xf numFmtId="0" fontId="5" fillId="2" borderId="1" xfId="0" applyFont="1" applyFill="1" applyBorder="1" applyAlignment="1">
      <alignment vertical="top" wrapText="1"/>
    </xf>
    <xf numFmtId="0" fontId="3" fillId="2" borderId="1" xfId="0" applyFont="1" applyFill="1" applyBorder="1" applyAlignment="1">
      <alignment horizontal="left" indent="2"/>
    </xf>
    <xf numFmtId="0" fontId="5" fillId="2" borderId="4" xfId="0" applyFont="1" applyFill="1" applyBorder="1" applyAlignment="1">
      <alignment vertical="center"/>
    </xf>
    <xf numFmtId="0" fontId="3" fillId="2" borderId="1" xfId="0" applyFont="1" applyFill="1" applyBorder="1" applyAlignment="1">
      <alignment horizontal="center" vertical="top" wrapText="1"/>
    </xf>
    <xf numFmtId="0" fontId="5" fillId="2" borderId="1" xfId="0" applyFont="1" applyFill="1" applyBorder="1" applyAlignment="1" applyProtection="1">
      <alignment horizontal="left" vertical="center" wrapText="1"/>
      <protection locked="0"/>
    </xf>
    <xf numFmtId="0" fontId="3" fillId="2" borderId="1" xfId="0" applyFont="1" applyFill="1" applyBorder="1" applyAlignment="1" applyProtection="1">
      <alignment vertical="center" wrapText="1"/>
      <protection locked="0"/>
    </xf>
    <xf numFmtId="0" fontId="4" fillId="2" borderId="1" xfId="0" applyFont="1" applyFill="1" applyBorder="1" applyAlignment="1" applyProtection="1">
      <alignment vertical="center" wrapText="1"/>
      <protection locked="0"/>
    </xf>
    <xf numFmtId="0" fontId="4" fillId="2" borderId="1" xfId="0" applyFont="1" applyFill="1" applyBorder="1" applyAlignment="1">
      <alignment horizontal="left" vertical="center"/>
    </xf>
    <xf numFmtId="0" fontId="7" fillId="2" borderId="1" xfId="0" applyFont="1" applyFill="1" applyBorder="1" applyAlignment="1">
      <alignment horizontal="center" vertical="center"/>
    </xf>
    <xf numFmtId="0" fontId="7" fillId="2" borderId="0" xfId="0" applyFont="1" applyFill="1" applyAlignment="1">
      <alignment horizontal="center" vertical="center"/>
    </xf>
    <xf numFmtId="0" fontId="3" fillId="2" borderId="1" xfId="0" applyFont="1" applyFill="1" applyBorder="1" applyAlignment="1" applyProtection="1">
      <alignment horizontal="left" vertical="top" wrapText="1"/>
      <protection locked="0"/>
    </xf>
    <xf numFmtId="0" fontId="3" fillId="2" borderId="1" xfId="0" applyFont="1" applyFill="1" applyBorder="1" applyAlignment="1" applyProtection="1">
      <alignment vertical="top" wrapText="1"/>
      <protection locked="0"/>
    </xf>
    <xf numFmtId="0" fontId="5" fillId="2" borderId="1" xfId="0" applyFont="1" applyFill="1" applyBorder="1" applyAlignment="1" applyProtection="1">
      <alignment horizontal="left" vertical="top" wrapText="1"/>
      <protection locked="0"/>
    </xf>
    <xf numFmtId="0" fontId="3" fillId="2" borderId="0" xfId="0" applyFont="1" applyFill="1" applyAlignment="1">
      <alignment horizontal="left" vertical="top" indent="2"/>
    </xf>
    <xf numFmtId="0" fontId="4" fillId="2" borderId="0" xfId="0" applyFont="1" applyFill="1" applyAlignment="1">
      <alignment horizontal="center"/>
    </xf>
    <xf numFmtId="0" fontId="5" fillId="2" borderId="12" xfId="0" applyFont="1" applyFill="1" applyBorder="1" applyAlignment="1">
      <alignment vertical="top"/>
    </xf>
    <xf numFmtId="0" fontId="5" fillId="2" borderId="5" xfId="0" applyFont="1" applyFill="1" applyBorder="1" applyAlignment="1">
      <alignment vertical="top"/>
    </xf>
    <xf numFmtId="0" fontId="3" fillId="2" borderId="1" xfId="0" applyFont="1" applyFill="1" applyBorder="1" applyAlignment="1">
      <alignment horizontal="center" vertical="top"/>
    </xf>
    <xf numFmtId="0" fontId="8" fillId="2" borderId="0" xfId="0" applyFont="1" applyFill="1" applyAlignment="1">
      <alignment vertical="center"/>
    </xf>
    <xf numFmtId="0" fontId="5" fillId="2" borderId="0" xfId="0" applyFont="1" applyFill="1" applyAlignment="1">
      <alignment vertical="center"/>
    </xf>
    <xf numFmtId="0" fontId="3" fillId="2" borderId="5" xfId="0" applyFont="1" applyFill="1" applyBorder="1" applyAlignment="1">
      <alignment vertical="top"/>
    </xf>
    <xf numFmtId="0" fontId="3" fillId="2" borderId="1" xfId="0" applyFont="1" applyFill="1" applyBorder="1" applyAlignment="1" applyProtection="1">
      <alignment horizontal="left" indent="2"/>
      <protection locked="0"/>
    </xf>
    <xf numFmtId="0" fontId="3" fillId="2" borderId="1" xfId="0" applyFont="1" applyFill="1" applyBorder="1" applyAlignment="1" applyProtection="1">
      <alignment horizontal="left" wrapText="1"/>
      <protection locked="0"/>
    </xf>
    <xf numFmtId="0" fontId="4" fillId="2" borderId="1" xfId="0" applyFont="1" applyFill="1" applyBorder="1" applyAlignment="1">
      <alignment horizontal="center" vertical="center" textRotation="90"/>
    </xf>
    <xf numFmtId="1" fontId="4" fillId="2" borderId="1" xfId="0" applyNumberFormat="1" applyFont="1" applyFill="1" applyBorder="1" applyAlignment="1">
      <alignment horizontal="center" vertical="center" wrapText="1"/>
    </xf>
    <xf numFmtId="0" fontId="14" fillId="2" borderId="0" xfId="0" applyFont="1" applyFill="1"/>
    <xf numFmtId="0" fontId="14" fillId="2" borderId="0" xfId="0" applyFont="1" applyFill="1" applyAlignment="1">
      <alignment vertical="center"/>
    </xf>
    <xf numFmtId="10" fontId="3" fillId="2" borderId="2" xfId="3" applyNumberFormat="1" applyFont="1" applyFill="1" applyBorder="1" applyAlignment="1" applyProtection="1">
      <alignment horizontal="center" vertical="center"/>
    </xf>
    <xf numFmtId="0" fontId="5" fillId="2" borderId="0" xfId="0" applyFont="1" applyFill="1" applyAlignment="1">
      <alignment vertical="top"/>
    </xf>
    <xf numFmtId="0" fontId="4" fillId="2" borderId="3" xfId="0" applyFont="1" applyFill="1" applyBorder="1" applyAlignment="1">
      <alignment vertical="center" wrapText="1"/>
    </xf>
    <xf numFmtId="0" fontId="5" fillId="2" borderId="12" xfId="0" applyFont="1" applyFill="1" applyBorder="1" applyAlignment="1">
      <alignment vertical="top" wrapText="1"/>
    </xf>
    <xf numFmtId="0" fontId="5" fillId="2" borderId="12" xfId="0" applyFont="1" applyFill="1" applyBorder="1" applyAlignment="1">
      <alignment horizontal="center" vertical="center" wrapText="1"/>
    </xf>
    <xf numFmtId="0" fontId="5" fillId="2" borderId="12" xfId="0" applyFont="1" applyFill="1" applyBorder="1" applyAlignment="1">
      <alignment vertical="center" wrapText="1"/>
    </xf>
    <xf numFmtId="1" fontId="3" fillId="2" borderId="1" xfId="0" applyNumberFormat="1" applyFont="1" applyFill="1" applyBorder="1" applyAlignment="1">
      <alignment horizontal="center" vertical="top"/>
    </xf>
    <xf numFmtId="0" fontId="6" fillId="2" borderId="12" xfId="0" applyFont="1" applyFill="1" applyBorder="1" applyAlignment="1">
      <alignment horizontal="center" vertical="center" wrapText="1"/>
    </xf>
    <xf numFmtId="0" fontId="4" fillId="2" borderId="0" xfId="0" applyFont="1" applyFill="1" applyAlignment="1">
      <alignment horizontal="center" vertical="center"/>
    </xf>
    <xf numFmtId="0" fontId="3" fillId="2" borderId="1" xfId="0" applyFont="1" applyFill="1" applyBorder="1" applyAlignment="1">
      <alignment vertical="center"/>
    </xf>
    <xf numFmtId="0" fontId="5" fillId="2" borderId="12" xfId="0" applyFont="1" applyFill="1" applyBorder="1" applyAlignment="1">
      <alignment vertical="center"/>
    </xf>
    <xf numFmtId="0" fontId="5" fillId="2" borderId="5" xfId="0" applyFont="1" applyFill="1" applyBorder="1" applyAlignment="1">
      <alignment vertical="center"/>
    </xf>
    <xf numFmtId="0" fontId="5" fillId="2" borderId="12" xfId="0" applyFont="1" applyFill="1" applyBorder="1" applyAlignment="1" applyProtection="1">
      <alignment vertical="center"/>
      <protection locked="0"/>
    </xf>
    <xf numFmtId="0" fontId="5" fillId="2" borderId="5" xfId="0" applyFont="1" applyFill="1" applyBorder="1" applyAlignment="1" applyProtection="1">
      <alignment vertical="center"/>
      <protection locked="0"/>
    </xf>
    <xf numFmtId="0" fontId="3" fillId="2" borderId="1" xfId="0" applyFont="1" applyFill="1" applyBorder="1" applyProtection="1">
      <protection locked="0"/>
    </xf>
    <xf numFmtId="0" fontId="3" fillId="2" borderId="0" xfId="0" applyFont="1" applyFill="1" applyAlignment="1" applyProtection="1">
      <alignment horizontal="center"/>
      <protection locked="0"/>
    </xf>
    <xf numFmtId="0" fontId="5" fillId="2" borderId="1" xfId="0" applyFont="1" applyFill="1" applyBorder="1" applyAlignment="1" applyProtection="1">
      <alignment vertical="center"/>
      <protection locked="0"/>
    </xf>
    <xf numFmtId="0" fontId="4" fillId="2" borderId="1" xfId="0" applyFont="1" applyFill="1" applyBorder="1" applyAlignment="1" applyProtection="1">
      <alignment horizontal="center" wrapText="1"/>
      <protection locked="0"/>
    </xf>
    <xf numFmtId="0" fontId="14" fillId="2" borderId="1" xfId="0" applyFont="1" applyFill="1" applyBorder="1" applyAlignment="1" applyProtection="1">
      <alignment vertical="top" wrapText="1"/>
      <protection locked="0"/>
    </xf>
    <xf numFmtId="0" fontId="3" fillId="2" borderId="0" xfId="0" applyFont="1" applyFill="1" applyProtection="1">
      <protection locked="0"/>
    </xf>
    <xf numFmtId="0" fontId="4" fillId="2" borderId="1" xfId="0" applyFont="1" applyFill="1" applyBorder="1" applyAlignment="1" applyProtection="1">
      <alignment horizontal="left" wrapText="1"/>
      <protection locked="0"/>
    </xf>
    <xf numFmtId="0" fontId="5" fillId="2" borderId="5" xfId="0" applyFont="1" applyFill="1" applyBorder="1" applyAlignment="1">
      <alignment vertical="top" wrapText="1"/>
    </xf>
    <xf numFmtId="0" fontId="4" fillId="2" borderId="1" xfId="0" applyFont="1" applyFill="1" applyBorder="1" applyAlignment="1">
      <alignment wrapText="1"/>
    </xf>
    <xf numFmtId="0" fontId="4" fillId="2" borderId="1" xfId="0" applyFont="1" applyFill="1" applyBorder="1" applyAlignment="1">
      <alignment horizontal="left" wrapText="1"/>
    </xf>
    <xf numFmtId="0" fontId="3" fillId="2" borderId="1" xfId="0" applyFont="1" applyFill="1" applyBorder="1" applyAlignment="1">
      <alignment vertical="top" wrapText="1"/>
    </xf>
    <xf numFmtId="0" fontId="3" fillId="2" borderId="1" xfId="0" applyFont="1" applyFill="1" applyBorder="1" applyAlignment="1">
      <alignment wrapText="1"/>
    </xf>
    <xf numFmtId="0" fontId="6" fillId="2" borderId="1" xfId="0" applyFont="1" applyFill="1" applyBorder="1" applyAlignment="1">
      <alignment vertical="top" wrapText="1"/>
    </xf>
    <xf numFmtId="0" fontId="4" fillId="2" borderId="1" xfId="0" applyFont="1" applyFill="1" applyBorder="1" applyAlignment="1">
      <alignment horizontal="left" wrapText="1" indent="2"/>
    </xf>
    <xf numFmtId="0" fontId="3" fillId="2" borderId="1" xfId="0" applyFont="1" applyFill="1" applyBorder="1" applyAlignment="1">
      <alignment horizontal="left" wrapText="1"/>
    </xf>
    <xf numFmtId="0" fontId="4" fillId="2" borderId="1" xfId="0" applyFont="1" applyFill="1" applyBorder="1" applyAlignment="1">
      <alignment horizontal="left" vertical="center" wrapText="1"/>
    </xf>
    <xf numFmtId="0" fontId="5" fillId="2" borderId="12" xfId="0" applyFont="1" applyFill="1" applyBorder="1" applyAlignment="1" applyProtection="1">
      <alignment horizontal="center" vertical="center"/>
      <protection locked="0"/>
    </xf>
    <xf numFmtId="0" fontId="5" fillId="2" borderId="12" xfId="0" applyFont="1" applyFill="1" applyBorder="1" applyAlignment="1">
      <alignment horizontal="center" vertical="center"/>
    </xf>
    <xf numFmtId="0" fontId="3" fillId="2" borderId="0" xfId="0" applyFont="1" applyFill="1" applyAlignment="1" applyProtection="1">
      <alignment horizontal="center" vertical="center"/>
      <protection locked="0"/>
    </xf>
    <xf numFmtId="1" fontId="3" fillId="2" borderId="12" xfId="0" applyNumberFormat="1" applyFont="1" applyFill="1" applyBorder="1" applyAlignment="1">
      <alignment horizontal="center" vertical="center"/>
    </xf>
    <xf numFmtId="1" fontId="3" fillId="2" borderId="5" xfId="0" applyNumberFormat="1" applyFont="1" applyFill="1" applyBorder="1" applyAlignment="1">
      <alignment vertical="top" wrapText="1"/>
    </xf>
    <xf numFmtId="1" fontId="3" fillId="2" borderId="5" xfId="0" applyNumberFormat="1" applyFont="1" applyFill="1" applyBorder="1" applyAlignment="1">
      <alignment vertical="center" wrapText="1"/>
    </xf>
    <xf numFmtId="0" fontId="3" fillId="2" borderId="2" xfId="0" applyFont="1" applyFill="1" applyBorder="1" applyAlignment="1">
      <alignment horizontal="center" vertical="top"/>
    </xf>
    <xf numFmtId="0" fontId="3" fillId="2" borderId="3" xfId="0" applyFont="1" applyFill="1" applyBorder="1" applyAlignment="1">
      <alignment horizontal="center" vertical="center"/>
    </xf>
    <xf numFmtId="0" fontId="5" fillId="2" borderId="12" xfId="0" applyFont="1" applyFill="1" applyBorder="1" applyAlignment="1">
      <alignment horizontal="left" vertical="center"/>
    </xf>
    <xf numFmtId="0" fontId="5" fillId="2" borderId="4" xfId="0" applyFont="1" applyFill="1" applyBorder="1" applyAlignment="1">
      <alignment horizontal="left" vertical="center"/>
    </xf>
    <xf numFmtId="0" fontId="5" fillId="2" borderId="5" xfId="0" applyFont="1" applyFill="1" applyBorder="1" applyAlignment="1">
      <alignment horizontal="left" vertical="center"/>
    </xf>
    <xf numFmtId="0" fontId="4" fillId="2" borderId="1" xfId="0" applyFont="1" applyFill="1" applyBorder="1" applyAlignment="1">
      <alignment horizontal="center" vertical="center" wrapText="1"/>
    </xf>
    <xf numFmtId="0" fontId="3" fillId="2" borderId="12" xfId="0" applyFont="1" applyFill="1" applyBorder="1" applyAlignment="1">
      <alignment horizontal="center" vertical="center"/>
    </xf>
    <xf numFmtId="0" fontId="3" fillId="3" borderId="0" xfId="0" applyFont="1" applyFill="1" applyAlignment="1">
      <alignment horizontal="center" vertical="center"/>
    </xf>
    <xf numFmtId="0" fontId="15" fillId="2" borderId="1" xfId="0" applyFont="1" applyFill="1" applyBorder="1" applyAlignment="1" applyProtection="1">
      <alignment horizontal="left" vertical="top" wrapText="1"/>
      <protection locked="0"/>
    </xf>
    <xf numFmtId="0" fontId="4" fillId="4" borderId="0" xfId="0" applyFont="1" applyFill="1" applyAlignment="1">
      <alignment horizontal="center" vertical="center"/>
    </xf>
    <xf numFmtId="0" fontId="3" fillId="4" borderId="0" xfId="0" applyFont="1" applyFill="1" applyAlignment="1">
      <alignment horizontal="center" vertical="center"/>
    </xf>
    <xf numFmtId="0" fontId="14" fillId="4" borderId="0" xfId="0" applyFont="1" applyFill="1" applyAlignment="1">
      <alignment vertical="center"/>
    </xf>
    <xf numFmtId="0" fontId="3" fillId="4" borderId="0" xfId="5" applyFont="1" applyFill="1" applyAlignment="1">
      <alignment vertical="center"/>
    </xf>
    <xf numFmtId="0" fontId="4" fillId="4" borderId="0" xfId="0" applyFont="1" applyFill="1" applyAlignment="1">
      <alignment horizontal="center" vertical="center" wrapText="1" readingOrder="1"/>
    </xf>
    <xf numFmtId="0" fontId="15" fillId="2" borderId="1" xfId="0" applyFont="1" applyFill="1" applyBorder="1" applyAlignment="1" applyProtection="1">
      <alignment horizontal="left" vertical="center" wrapText="1"/>
      <protection locked="0"/>
    </xf>
    <xf numFmtId="0" fontId="15" fillId="2" borderId="1" xfId="0" applyFont="1" applyFill="1" applyBorder="1" applyAlignment="1" applyProtection="1">
      <alignment horizontal="left" vertical="center"/>
      <protection locked="0"/>
    </xf>
    <xf numFmtId="0" fontId="3" fillId="4" borderId="0" xfId="0" applyFont="1" applyFill="1"/>
    <xf numFmtId="0" fontId="3" fillId="4" borderId="0" xfId="0" applyFont="1" applyFill="1" applyAlignment="1">
      <alignment vertical="center"/>
    </xf>
    <xf numFmtId="0" fontId="14" fillId="4" borderId="0" xfId="0" applyFont="1" applyFill="1"/>
    <xf numFmtId="0" fontId="3" fillId="2" borderId="4" xfId="0" applyFont="1" applyFill="1" applyBorder="1" applyAlignment="1">
      <alignment horizontal="center" vertical="center" wrapText="1"/>
    </xf>
    <xf numFmtId="0" fontId="15" fillId="2" borderId="1" xfId="0" applyFont="1" applyFill="1" applyBorder="1" applyAlignment="1" applyProtection="1">
      <alignment horizontal="left" wrapText="1"/>
      <protection locked="0"/>
    </xf>
    <xf numFmtId="0" fontId="15" fillId="2" borderId="1" xfId="0" applyFont="1" applyFill="1" applyBorder="1" applyAlignment="1">
      <alignment horizontal="left" vertical="center" wrapText="1"/>
    </xf>
    <xf numFmtId="0" fontId="15" fillId="2" borderId="1" xfId="0" applyFont="1" applyFill="1" applyBorder="1" applyAlignment="1" applyProtection="1">
      <alignment vertical="center" wrapText="1"/>
      <protection locked="0"/>
    </xf>
    <xf numFmtId="0" fontId="15" fillId="2" borderId="1" xfId="0" applyFont="1" applyFill="1" applyBorder="1" applyAlignment="1">
      <alignment vertical="top" wrapText="1"/>
    </xf>
    <xf numFmtId="1" fontId="15" fillId="2" borderId="5" xfId="0" applyNumberFormat="1" applyFont="1" applyFill="1" applyBorder="1" applyAlignment="1">
      <alignment vertical="top" wrapText="1"/>
    </xf>
    <xf numFmtId="0" fontId="15" fillId="2" borderId="1" xfId="0" applyFont="1" applyFill="1" applyBorder="1" applyAlignment="1">
      <alignment horizontal="left" vertical="top" wrapText="1"/>
    </xf>
    <xf numFmtId="0" fontId="15" fillId="2" borderId="1" xfId="0" applyFont="1" applyFill="1" applyBorder="1" applyAlignment="1">
      <alignment wrapText="1"/>
    </xf>
    <xf numFmtId="0" fontId="4" fillId="2" borderId="1" xfId="0" applyFont="1" applyFill="1" applyBorder="1" applyAlignment="1">
      <alignment horizontal="center" vertical="top"/>
    </xf>
    <xf numFmtId="0" fontId="4" fillId="2" borderId="1" xfId="0" applyFont="1" applyFill="1" applyBorder="1" applyAlignment="1">
      <alignment horizontal="center" vertical="top" wrapText="1"/>
    </xf>
    <xf numFmtId="0" fontId="4" fillId="2" borderId="2" xfId="0" applyFont="1" applyFill="1" applyBorder="1" applyAlignment="1">
      <alignment horizontal="center" vertical="top" wrapText="1"/>
    </xf>
    <xf numFmtId="0" fontId="15" fillId="2" borderId="1" xfId="0" applyFont="1" applyFill="1" applyBorder="1" applyAlignment="1">
      <alignment vertical="center" wrapText="1"/>
    </xf>
    <xf numFmtId="0" fontId="4" fillId="2" borderId="2" xfId="0" applyFont="1" applyFill="1" applyBorder="1" applyAlignment="1">
      <alignment horizontal="left" vertical="center" wrapText="1"/>
    </xf>
    <xf numFmtId="10" fontId="3" fillId="2" borderId="0" xfId="3" applyNumberFormat="1" applyFont="1" applyFill="1" applyBorder="1" applyAlignment="1" applyProtection="1">
      <alignment horizontal="center" vertical="center"/>
    </xf>
    <xf numFmtId="0" fontId="3" fillId="2" borderId="0" xfId="0" applyFont="1" applyFill="1" applyAlignment="1" applyProtection="1">
      <alignment vertical="center" wrapText="1"/>
      <protection locked="0"/>
    </xf>
    <xf numFmtId="0" fontId="3" fillId="0" borderId="1" xfId="0" applyFont="1" applyBorder="1" applyAlignment="1">
      <alignment horizontal="center" vertical="center"/>
    </xf>
    <xf numFmtId="0" fontId="3" fillId="0" borderId="1" xfId="0" applyFont="1" applyBorder="1" applyAlignment="1" applyProtection="1">
      <alignment horizontal="center" vertical="center"/>
      <protection locked="0"/>
    </xf>
    <xf numFmtId="0" fontId="3" fillId="0" borderId="0" xfId="0" applyFont="1" applyAlignment="1">
      <alignment horizontal="center" vertical="center"/>
    </xf>
    <xf numFmtId="0" fontId="12" fillId="0" borderId="0" xfId="0" applyFont="1" applyAlignment="1">
      <alignment horizontal="center" vertical="center"/>
    </xf>
    <xf numFmtId="0" fontId="4" fillId="2" borderId="1" xfId="0" applyFont="1" applyFill="1" applyBorder="1" applyAlignment="1">
      <alignment horizontal="center" vertical="center"/>
    </xf>
    <xf numFmtId="0" fontId="5" fillId="2" borderId="0" xfId="0" applyFont="1" applyFill="1" applyAlignment="1">
      <alignment horizontal="center" vertical="top"/>
    </xf>
    <xf numFmtId="0" fontId="4" fillId="2" borderId="4" xfId="0" applyFont="1" applyFill="1" applyBorder="1" applyAlignment="1">
      <alignment horizontal="center" vertical="top"/>
    </xf>
    <xf numFmtId="0" fontId="4" fillId="2" borderId="5" xfId="0" applyFont="1" applyFill="1" applyBorder="1" applyAlignment="1">
      <alignment horizontal="center" vertical="top"/>
    </xf>
    <xf numFmtId="0" fontId="3" fillId="2" borderId="4"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3" fillId="2" borderId="3" xfId="0" applyFont="1" applyFill="1" applyBorder="1" applyAlignment="1">
      <alignment vertical="center" wrapText="1"/>
    </xf>
    <xf numFmtId="0" fontId="4" fillId="2" borderId="3" xfId="0" applyFont="1" applyFill="1" applyBorder="1" applyAlignment="1">
      <alignment vertical="center"/>
    </xf>
    <xf numFmtId="10" fontId="15" fillId="2" borderId="1" xfId="3" applyNumberFormat="1" applyFont="1" applyFill="1" applyBorder="1" applyAlignment="1" applyProtection="1">
      <alignment horizontal="left" vertical="center" wrapText="1"/>
    </xf>
    <xf numFmtId="0" fontId="3" fillId="2" borderId="11" xfId="0" applyFont="1" applyFill="1" applyBorder="1" applyAlignment="1">
      <alignment horizontal="center" vertical="top"/>
    </xf>
    <xf numFmtId="0" fontId="3" fillId="2" borderId="3" xfId="0" applyFont="1" applyFill="1" applyBorder="1" applyAlignment="1">
      <alignment horizontal="center" vertical="top"/>
    </xf>
    <xf numFmtId="0" fontId="4" fillId="2" borderId="0" xfId="0" applyFont="1" applyFill="1" applyAlignment="1">
      <alignment vertical="top"/>
    </xf>
    <xf numFmtId="0" fontId="4" fillId="2" borderId="3" xfId="0" applyFont="1" applyFill="1" applyBorder="1" applyAlignment="1">
      <alignment vertical="top"/>
    </xf>
    <xf numFmtId="0" fontId="9" fillId="2" borderId="1" xfId="5" applyFont="1" applyFill="1" applyBorder="1" applyAlignment="1" applyProtection="1">
      <alignment horizontal="left" vertical="center" wrapText="1"/>
      <protection locked="0"/>
    </xf>
    <xf numFmtId="0" fontId="9" fillId="2" borderId="1" xfId="5" applyFont="1" applyFill="1" applyBorder="1" applyAlignment="1" applyProtection="1">
      <alignment horizontal="left" vertical="top" wrapText="1"/>
      <protection locked="0"/>
    </xf>
    <xf numFmtId="0" fontId="9" fillId="2" borderId="1" xfId="0" applyFont="1" applyFill="1" applyBorder="1" applyAlignment="1" applyProtection="1">
      <alignment horizontal="left" vertical="top" wrapText="1"/>
      <protection locked="0"/>
    </xf>
    <xf numFmtId="0" fontId="9" fillId="2" borderId="1" xfId="0" applyFont="1" applyFill="1" applyBorder="1" applyAlignment="1" applyProtection="1">
      <alignment horizontal="center" vertical="top"/>
      <protection locked="0"/>
    </xf>
    <xf numFmtId="0" fontId="10" fillId="2" borderId="1" xfId="0" applyFont="1" applyFill="1" applyBorder="1" applyAlignment="1" applyProtection="1">
      <alignment horizontal="left" vertical="top" wrapText="1"/>
      <protection locked="0"/>
    </xf>
    <xf numFmtId="0" fontId="10" fillId="2" borderId="1" xfId="0" applyFont="1" applyFill="1" applyBorder="1" applyAlignment="1" applyProtection="1">
      <alignment vertical="center" wrapText="1"/>
      <protection locked="0"/>
    </xf>
    <xf numFmtId="0" fontId="10" fillId="2" borderId="5" xfId="0" applyFont="1" applyFill="1" applyBorder="1" applyAlignment="1" applyProtection="1">
      <alignment vertical="center"/>
      <protection locked="0"/>
    </xf>
    <xf numFmtId="0" fontId="10" fillId="2" borderId="1" xfId="0" applyFont="1" applyFill="1" applyBorder="1" applyAlignment="1" applyProtection="1">
      <alignment horizontal="center" vertical="top"/>
      <protection locked="0"/>
    </xf>
    <xf numFmtId="0" fontId="9" fillId="2" borderId="1" xfId="0" applyFont="1" applyFill="1" applyBorder="1" applyAlignment="1">
      <alignment horizontal="left" vertical="center" wrapText="1"/>
    </xf>
    <xf numFmtId="0" fontId="9" fillId="2" borderId="1" xfId="0" applyFont="1" applyFill="1" applyBorder="1" applyAlignment="1" applyProtection="1">
      <alignment horizontal="left" vertical="center"/>
      <protection locked="0"/>
    </xf>
    <xf numFmtId="0" fontId="11" fillId="2" borderId="1" xfId="0" applyFont="1" applyFill="1" applyBorder="1" applyAlignment="1" applyProtection="1">
      <alignment horizontal="center" vertical="top"/>
      <protection locked="0"/>
    </xf>
    <xf numFmtId="0" fontId="9" fillId="2" borderId="1" xfId="0" applyFont="1" applyFill="1" applyBorder="1" applyAlignment="1" applyProtection="1">
      <alignment horizontal="left" vertical="top"/>
      <protection locked="0"/>
    </xf>
    <xf numFmtId="0" fontId="9" fillId="2" borderId="1" xfId="0" applyFont="1" applyFill="1" applyBorder="1" applyProtection="1">
      <protection locked="0"/>
    </xf>
    <xf numFmtId="0" fontId="9" fillId="2" borderId="1" xfId="0" applyFont="1" applyFill="1" applyBorder="1" applyAlignment="1" applyProtection="1">
      <alignment vertical="center" wrapText="1"/>
      <protection locked="0"/>
    </xf>
    <xf numFmtId="0" fontId="16" fillId="0" borderId="1" xfId="0" applyFont="1" applyBorder="1" applyAlignment="1" applyProtection="1">
      <alignment horizontal="left" vertical="center"/>
      <protection locked="0"/>
    </xf>
    <xf numFmtId="0" fontId="16" fillId="0" borderId="1" xfId="0" applyFont="1" applyBorder="1" applyAlignment="1" applyProtection="1">
      <alignment horizontal="left" vertical="top" wrapText="1"/>
      <protection locked="0"/>
    </xf>
    <xf numFmtId="0" fontId="9" fillId="0" borderId="1" xfId="0" applyFont="1" applyBorder="1" applyAlignment="1" applyProtection="1">
      <alignment horizontal="center" vertical="top"/>
      <protection locked="0"/>
    </xf>
    <xf numFmtId="0" fontId="10" fillId="2" borderId="5" xfId="0" applyFont="1" applyFill="1" applyBorder="1" applyAlignment="1">
      <alignment horizontal="left" vertical="center"/>
    </xf>
    <xf numFmtId="0" fontId="9" fillId="2" borderId="1" xfId="0" applyFont="1" applyFill="1" applyBorder="1" applyAlignment="1">
      <alignment horizontal="left" vertical="top" wrapText="1"/>
    </xf>
    <xf numFmtId="0" fontId="9" fillId="2" borderId="1" xfId="5" applyFont="1" applyFill="1" applyBorder="1" applyAlignment="1">
      <alignment horizontal="left" vertical="center" wrapText="1"/>
    </xf>
    <xf numFmtId="0" fontId="9" fillId="2" borderId="1" xfId="5" applyFont="1" applyFill="1" applyBorder="1" applyAlignment="1">
      <alignment vertical="center" wrapText="1"/>
    </xf>
    <xf numFmtId="0" fontId="11" fillId="2" borderId="1" xfId="0" applyFont="1" applyFill="1" applyBorder="1" applyAlignment="1" applyProtection="1">
      <alignment horizontal="left" vertical="top" wrapText="1"/>
      <protection locked="0"/>
    </xf>
    <xf numFmtId="0" fontId="11" fillId="2" borderId="1" xfId="5" applyFont="1" applyFill="1" applyBorder="1" applyAlignment="1" applyProtection="1">
      <alignment vertical="top" wrapText="1"/>
      <protection locked="0"/>
    </xf>
    <xf numFmtId="0" fontId="9" fillId="2" borderId="1" xfId="0" applyFont="1" applyFill="1" applyBorder="1" applyAlignment="1" applyProtection="1">
      <alignment vertical="top" wrapText="1"/>
      <protection locked="0"/>
    </xf>
    <xf numFmtId="0" fontId="10" fillId="2" borderId="1" xfId="0" applyFont="1" applyFill="1" applyBorder="1" applyAlignment="1" applyProtection="1">
      <alignment vertical="center"/>
      <protection locked="0"/>
    </xf>
    <xf numFmtId="0" fontId="9" fillId="2" borderId="1" xfId="0" applyFont="1" applyFill="1" applyBorder="1" applyAlignment="1" applyProtection="1">
      <alignment horizontal="center" vertical="top" wrapText="1"/>
      <protection locked="0"/>
    </xf>
    <xf numFmtId="0" fontId="9" fillId="2" borderId="1" xfId="5" applyFont="1" applyFill="1" applyBorder="1" applyAlignment="1" applyProtection="1">
      <alignment vertical="center" wrapText="1"/>
      <protection locked="0"/>
    </xf>
    <xf numFmtId="0" fontId="16" fillId="2" borderId="1" xfId="0" applyFont="1" applyFill="1" applyBorder="1" applyAlignment="1" applyProtection="1">
      <alignment horizontal="left" vertical="top" wrapText="1"/>
      <protection locked="0"/>
    </xf>
    <xf numFmtId="0" fontId="16" fillId="2" borderId="1" xfId="0" applyFont="1" applyFill="1" applyBorder="1" applyAlignment="1" applyProtection="1">
      <alignment horizontal="left" vertical="center"/>
      <protection locked="0"/>
    </xf>
    <xf numFmtId="0" fontId="9" fillId="2" borderId="1" xfId="5" applyFont="1" applyFill="1" applyBorder="1" applyAlignment="1" applyProtection="1">
      <alignment vertical="top"/>
      <protection locked="0"/>
    </xf>
    <xf numFmtId="0" fontId="17" fillId="2" borderId="1" xfId="0" applyFont="1" applyFill="1" applyBorder="1" applyAlignment="1">
      <alignment horizontal="left" vertical="top" wrapText="1"/>
    </xf>
    <xf numFmtId="0" fontId="18" fillId="2" borderId="1" xfId="0" applyFont="1" applyFill="1" applyBorder="1" applyAlignment="1" applyProtection="1">
      <alignment horizontal="left" vertical="center" wrapText="1"/>
      <protection locked="0"/>
    </xf>
    <xf numFmtId="0" fontId="17" fillId="2" borderId="1" xfId="0" applyFont="1" applyFill="1" applyBorder="1" applyAlignment="1" applyProtection="1">
      <alignment horizontal="left"/>
      <protection locked="0"/>
    </xf>
    <xf numFmtId="1" fontId="19" fillId="2" borderId="1" xfId="0" applyNumberFormat="1" applyFont="1" applyFill="1" applyBorder="1" applyAlignment="1" applyProtection="1">
      <alignment horizontal="center" vertical="top"/>
      <protection locked="0"/>
    </xf>
    <xf numFmtId="2" fontId="20" fillId="2" borderId="1" xfId="0" applyNumberFormat="1" applyFont="1" applyFill="1" applyBorder="1" applyAlignment="1">
      <alignment horizontal="left" vertical="center" wrapText="1"/>
    </xf>
    <xf numFmtId="0" fontId="5" fillId="2" borderId="4" xfId="0" applyFont="1" applyFill="1" applyBorder="1" applyAlignment="1">
      <alignment horizontal="left" vertical="top"/>
    </xf>
    <xf numFmtId="0" fontId="19" fillId="2" borderId="1" xfId="0" applyFont="1" applyFill="1" applyBorder="1" applyAlignment="1">
      <alignment horizontal="left" vertical="center"/>
    </xf>
    <xf numFmtId="0" fontId="1" fillId="2" borderId="1" xfId="0" applyFont="1" applyFill="1" applyBorder="1" applyAlignment="1">
      <alignment horizontal="left" vertical="center" wrapText="1"/>
    </xf>
    <xf numFmtId="1" fontId="9" fillId="2" borderId="1" xfId="0" applyNumberFormat="1" applyFont="1" applyFill="1" applyBorder="1" applyAlignment="1">
      <alignment horizontal="center" vertical="center"/>
    </xf>
    <xf numFmtId="10" fontId="9" fillId="2" borderId="1" xfId="3" applyNumberFormat="1" applyFont="1" applyFill="1" applyBorder="1" applyAlignment="1" applyProtection="1">
      <alignment horizontal="center" vertical="center"/>
    </xf>
    <xf numFmtId="10" fontId="9" fillId="2" borderId="2" xfId="3" applyNumberFormat="1" applyFont="1" applyFill="1" applyBorder="1" applyAlignment="1" applyProtection="1">
      <alignment horizontal="center" vertical="center"/>
    </xf>
    <xf numFmtId="0" fontId="9" fillId="0" borderId="1" xfId="0" applyFont="1" applyBorder="1" applyAlignment="1" applyProtection="1">
      <alignment horizontal="center" vertical="center"/>
      <protection locked="0"/>
    </xf>
    <xf numFmtId="0" fontId="23" fillId="2" borderId="1" xfId="0" applyFont="1" applyFill="1" applyBorder="1" applyAlignment="1" applyProtection="1">
      <alignment horizontal="left" vertical="center" wrapText="1"/>
      <protection locked="0"/>
    </xf>
    <xf numFmtId="0" fontId="22" fillId="2" borderId="1" xfId="0" applyFont="1" applyFill="1" applyBorder="1" applyAlignment="1">
      <alignment horizontal="left" vertical="center" wrapText="1"/>
    </xf>
    <xf numFmtId="0" fontId="15" fillId="0" borderId="1" xfId="0" applyFont="1" applyBorder="1" applyAlignment="1" applyProtection="1">
      <alignment horizontal="center" vertical="center"/>
      <protection locked="0"/>
    </xf>
    <xf numFmtId="0" fontId="15" fillId="2" borderId="1" xfId="0" applyFont="1" applyFill="1" applyBorder="1" applyAlignment="1">
      <alignment horizontal="center" vertical="center"/>
    </xf>
    <xf numFmtId="0" fontId="15" fillId="2" borderId="1" xfId="0" applyFont="1" applyFill="1" applyBorder="1" applyAlignment="1" applyProtection="1">
      <alignment horizontal="center" vertical="center"/>
      <protection locked="0"/>
    </xf>
    <xf numFmtId="1" fontId="15" fillId="2" borderId="1" xfId="0" applyNumberFormat="1" applyFont="1" applyFill="1" applyBorder="1" applyAlignment="1">
      <alignment horizontal="center" vertical="center" wrapText="1"/>
    </xf>
    <xf numFmtId="10" fontId="15" fillId="2" borderId="1" xfId="3" applyNumberFormat="1" applyFont="1" applyFill="1" applyBorder="1" applyAlignment="1" applyProtection="1">
      <alignment horizontal="center" vertical="center"/>
    </xf>
    <xf numFmtId="1" fontId="9" fillId="2" borderId="1" xfId="0" applyNumberFormat="1" applyFont="1" applyFill="1" applyBorder="1" applyAlignment="1">
      <alignment horizontal="center" vertical="center" wrapText="1"/>
    </xf>
    <xf numFmtId="2" fontId="21" fillId="2" borderId="1" xfId="0" applyNumberFormat="1" applyFont="1" applyFill="1" applyBorder="1" applyAlignment="1">
      <alignment horizontal="left" vertical="center" wrapText="1"/>
    </xf>
    <xf numFmtId="0" fontId="5" fillId="2" borderId="4" xfId="0" applyFont="1" applyFill="1" applyBorder="1" applyAlignment="1">
      <alignment horizontal="left"/>
    </xf>
    <xf numFmtId="0" fontId="9" fillId="2" borderId="5" xfId="0" applyFont="1" applyFill="1" applyBorder="1" applyAlignment="1" applyProtection="1">
      <alignment horizontal="center" vertical="top"/>
      <protection locked="0"/>
    </xf>
    <xf numFmtId="0" fontId="4" fillId="0" borderId="1" xfId="0" applyFont="1" applyBorder="1" applyAlignment="1">
      <alignment horizontal="center" vertical="center" wrapText="1"/>
    </xf>
    <xf numFmtId="0" fontId="4" fillId="2" borderId="1" xfId="0" applyFont="1" applyFill="1" applyBorder="1" applyAlignment="1">
      <alignment vertical="center" wrapText="1"/>
    </xf>
    <xf numFmtId="0" fontId="24" fillId="2" borderId="1" xfId="0" applyFont="1" applyFill="1" applyBorder="1" applyAlignment="1">
      <alignment horizontal="left" vertical="center" wrapText="1"/>
    </xf>
    <xf numFmtId="0" fontId="25" fillId="2" borderId="1" xfId="0" applyFont="1" applyFill="1" applyBorder="1" applyAlignment="1">
      <alignment horizontal="left" vertical="center" wrapText="1"/>
    </xf>
    <xf numFmtId="0" fontId="24" fillId="2" borderId="1" xfId="0" applyFont="1" applyFill="1" applyBorder="1" applyAlignment="1">
      <alignment horizontal="left" vertical="top" wrapText="1"/>
    </xf>
    <xf numFmtId="0" fontId="24" fillId="2" borderId="1" xfId="2" applyFont="1" applyFill="1" applyBorder="1" applyAlignment="1">
      <alignment horizontal="left" vertical="center" wrapText="1"/>
    </xf>
    <xf numFmtId="0" fontId="25" fillId="2" borderId="1" xfId="2" applyFont="1" applyFill="1" applyBorder="1" applyAlignment="1">
      <alignment horizontal="left" vertical="center" wrapText="1"/>
    </xf>
    <xf numFmtId="0" fontId="25" fillId="2" borderId="5" xfId="0" applyFont="1" applyFill="1" applyBorder="1" applyAlignment="1">
      <alignment horizontal="left" vertical="center"/>
    </xf>
    <xf numFmtId="0" fontId="4" fillId="2" borderId="1" xfId="0" applyFont="1" applyFill="1" applyBorder="1" applyAlignment="1">
      <alignment vertical="top"/>
    </xf>
    <xf numFmtId="0" fontId="5" fillId="2" borderId="1" xfId="0" applyFont="1" applyFill="1" applyBorder="1" applyAlignment="1">
      <alignment vertical="top"/>
    </xf>
    <xf numFmtId="0" fontId="3" fillId="2" borderId="1" xfId="0" applyFont="1" applyFill="1" applyBorder="1" applyAlignment="1">
      <alignment horizontal="justify" vertical="center"/>
    </xf>
    <xf numFmtId="0" fontId="3" fillId="2" borderId="1" xfId="0" applyFont="1" applyFill="1" applyBorder="1" applyAlignment="1">
      <alignment horizontal="justify" vertical="top"/>
    </xf>
    <xf numFmtId="0" fontId="7" fillId="2" borderId="1" xfId="0" applyFont="1" applyFill="1" applyBorder="1"/>
    <xf numFmtId="0" fontId="7" fillId="2" borderId="2" xfId="0" applyFont="1" applyFill="1" applyBorder="1"/>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top"/>
    </xf>
    <xf numFmtId="0" fontId="4" fillId="2" borderId="4" xfId="0" applyFont="1" applyFill="1" applyBorder="1" applyAlignment="1">
      <alignment horizontal="center" vertical="top"/>
    </xf>
    <xf numFmtId="0" fontId="4" fillId="2" borderId="12" xfId="0" applyFont="1" applyFill="1" applyBorder="1" applyAlignment="1">
      <alignment horizontal="center" vertical="top"/>
    </xf>
    <xf numFmtId="0" fontId="4" fillId="2" borderId="5" xfId="0" applyFont="1" applyFill="1" applyBorder="1" applyAlignment="1">
      <alignment horizontal="center" vertical="top"/>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6" xfId="0" applyFont="1" applyFill="1" applyBorder="1" applyAlignment="1">
      <alignment horizontal="center" vertical="top"/>
    </xf>
    <xf numFmtId="0" fontId="4" fillId="2" borderId="10" xfId="0" applyFont="1" applyFill="1" applyBorder="1" applyAlignment="1">
      <alignment horizontal="center" vertical="top"/>
    </xf>
    <xf numFmtId="0" fontId="4" fillId="2" borderId="3" xfId="0" applyFont="1" applyFill="1" applyBorder="1" applyAlignment="1">
      <alignment horizontal="center" vertical="top"/>
    </xf>
    <xf numFmtId="0" fontId="4" fillId="2" borderId="9" xfId="0" applyFont="1" applyFill="1" applyBorder="1" applyAlignment="1">
      <alignment horizontal="center" vertical="top"/>
    </xf>
    <xf numFmtId="0" fontId="4" fillId="2" borderId="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5" fillId="2" borderId="4" xfId="0" applyFont="1" applyFill="1" applyBorder="1" applyAlignment="1">
      <alignment horizontal="left" vertical="center"/>
    </xf>
    <xf numFmtId="0" fontId="5" fillId="2" borderId="12" xfId="0" applyFont="1" applyFill="1" applyBorder="1" applyAlignment="1">
      <alignment horizontal="left" vertical="center"/>
    </xf>
    <xf numFmtId="0" fontId="4" fillId="2" borderId="7"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8" xfId="0" applyFont="1" applyFill="1" applyBorder="1" applyAlignment="1">
      <alignment horizontal="center" vertical="center"/>
    </xf>
    <xf numFmtId="0" fontId="5" fillId="2" borderId="5" xfId="0" applyFont="1" applyFill="1" applyBorder="1" applyAlignment="1">
      <alignment horizontal="left" vertical="center"/>
    </xf>
    <xf numFmtId="0" fontId="4" fillId="2" borderId="0" xfId="0" applyFont="1" applyFill="1" applyAlignment="1">
      <alignment horizontal="center" vertical="top"/>
    </xf>
    <xf numFmtId="0" fontId="5" fillId="2" borderId="6" xfId="0" applyFont="1" applyFill="1" applyBorder="1" applyAlignment="1">
      <alignment horizontal="left" vertical="top"/>
    </xf>
    <xf numFmtId="0" fontId="4" fillId="2" borderId="6" xfId="0" applyFont="1" applyFill="1" applyBorder="1" applyAlignment="1">
      <alignment horizontal="left" vertical="top"/>
    </xf>
    <xf numFmtId="0" fontId="4" fillId="2" borderId="1" xfId="0" applyFont="1" applyFill="1" applyBorder="1" applyAlignment="1">
      <alignment horizontal="center" vertical="top"/>
    </xf>
    <xf numFmtId="0" fontId="4" fillId="2" borderId="1" xfId="0" applyFont="1" applyFill="1" applyBorder="1" applyAlignment="1">
      <alignment horizontal="center" vertical="top" wrapText="1"/>
    </xf>
    <xf numFmtId="0" fontId="4" fillId="2" borderId="2" xfId="0" applyFont="1" applyFill="1" applyBorder="1" applyAlignment="1">
      <alignment horizontal="center" vertical="top"/>
    </xf>
    <xf numFmtId="0" fontId="4" fillId="2" borderId="1" xfId="0" applyFont="1" applyFill="1" applyBorder="1" applyAlignment="1">
      <alignment horizontal="center" vertical="center" wrapText="1"/>
    </xf>
  </cellXfs>
  <cellStyles count="10">
    <cellStyle name="Normal" xfId="0" builtinId="0"/>
    <cellStyle name="Normal 2" xfId="1" xr:uid="{00000000-0005-0000-0000-000001000000}"/>
    <cellStyle name="Normal 2 2 2" xfId="6" xr:uid="{00000000-0005-0000-0000-000002000000}"/>
    <cellStyle name="Normal 2 4" xfId="7" xr:uid="{00000000-0005-0000-0000-000003000000}"/>
    <cellStyle name="Normal 3" xfId="8" xr:uid="{00000000-0005-0000-0000-000004000000}"/>
    <cellStyle name="Normal 3 2" xfId="9" xr:uid="{00000000-0005-0000-0000-000005000000}"/>
    <cellStyle name="Normal 4" xfId="2" xr:uid="{00000000-0005-0000-0000-000006000000}"/>
    <cellStyle name="Normal 4 2" xfId="4" xr:uid="{00000000-0005-0000-0000-000007000000}"/>
    <cellStyle name="Normal 55" xfId="5" xr:uid="{00000000-0005-0000-0000-000008000000}"/>
    <cellStyle name="Percent" xfId="3" builtinId="5"/>
  </cellStyles>
  <dxfs count="0"/>
  <tableStyles count="0" defaultTableStyle="TableStyleMedium9" defaultPivotStyle="PivotStyleLight16"/>
  <colors>
    <mruColors>
      <color rgb="FF147216"/>
      <color rgb="FF0000FF"/>
      <color rgb="FF1DA3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7216"/>
    <pageSetUpPr fitToPage="1"/>
  </sheetPr>
  <dimension ref="A1:AL137"/>
  <sheetViews>
    <sheetView view="pageBreakPreview" zoomScale="70" zoomScaleNormal="70" zoomScaleSheetLayoutView="70" workbookViewId="0">
      <pane ySplit="3" topLeftCell="A4" activePane="bottomLeft" state="frozen"/>
      <selection activeCell="C137" sqref="C137"/>
      <selection pane="bottomLeft" activeCell="J7" sqref="J7"/>
    </sheetView>
  </sheetViews>
  <sheetFormatPr defaultColWidth="9.109375" defaultRowHeight="15" x14ac:dyDescent="0.25"/>
  <cols>
    <col min="1" max="1" width="6.33203125" style="6" customWidth="1"/>
    <col min="2" max="2" width="48.5546875" style="7" customWidth="1"/>
    <col min="3" max="3" width="11.44140625" style="6" customWidth="1"/>
    <col min="4" max="4" width="11.109375" style="6" customWidth="1"/>
    <col min="5" max="5" width="7.33203125" style="6" customWidth="1"/>
    <col min="6" max="6" width="5.6640625" style="6" customWidth="1"/>
    <col min="7" max="7" width="7.109375" style="6" customWidth="1"/>
    <col min="8" max="8" width="6.88671875" style="6" bestFit="1" customWidth="1"/>
    <col min="9" max="9" width="6.33203125" style="6" bestFit="1" customWidth="1"/>
    <col min="10" max="10" width="38.6640625" style="21" customWidth="1"/>
    <col min="11" max="11" width="6.109375" style="6" customWidth="1"/>
    <col min="12" max="30" width="9.109375" style="6"/>
    <col min="31" max="31" width="9.109375" style="6" customWidth="1"/>
    <col min="32" max="16384" width="9.109375" style="6"/>
  </cols>
  <sheetData>
    <row r="1" spans="1:38" ht="24.75" customHeight="1" x14ac:dyDescent="0.25">
      <c r="A1" s="230" t="s">
        <v>112</v>
      </c>
      <c r="B1" s="231"/>
      <c r="C1" s="231"/>
      <c r="D1" s="231"/>
      <c r="E1" s="231"/>
      <c r="F1" s="231"/>
      <c r="G1" s="231"/>
      <c r="H1" s="231"/>
      <c r="I1" s="231"/>
      <c r="J1" s="232"/>
    </row>
    <row r="2" spans="1:38" s="1" customFormat="1" ht="31.2" x14ac:dyDescent="0.3">
      <c r="A2" s="145" t="s">
        <v>55</v>
      </c>
      <c r="B2" s="207" t="s">
        <v>14</v>
      </c>
      <c r="C2" s="234" t="s">
        <v>17</v>
      </c>
      <c r="D2" s="235"/>
      <c r="E2" s="233"/>
      <c r="F2" s="233"/>
      <c r="G2" s="233"/>
      <c r="H2" s="233"/>
      <c r="I2" s="146" t="s">
        <v>33</v>
      </c>
      <c r="J2" s="145" t="s">
        <v>80</v>
      </c>
      <c r="K2" s="3"/>
      <c r="L2" s="3"/>
      <c r="M2" s="3"/>
      <c r="N2" s="3"/>
      <c r="O2" s="3"/>
      <c r="P2" s="3"/>
      <c r="Q2" s="3"/>
      <c r="R2" s="3"/>
      <c r="S2" s="3"/>
      <c r="T2" s="3"/>
      <c r="U2" s="3"/>
      <c r="V2" s="3"/>
      <c r="W2" s="3"/>
      <c r="X2" s="3"/>
      <c r="Y2" s="3"/>
      <c r="Z2" s="3"/>
      <c r="AA2" s="3"/>
      <c r="AB2" s="3"/>
      <c r="AC2" s="3"/>
      <c r="AD2" s="3"/>
      <c r="AE2" s="3"/>
      <c r="AF2" s="3"/>
      <c r="AG2" s="3"/>
      <c r="AH2" s="3"/>
      <c r="AI2" s="3"/>
      <c r="AJ2" s="3"/>
      <c r="AK2" s="3"/>
      <c r="AL2" s="3"/>
    </row>
    <row r="3" spans="1:38" s="1" customFormat="1" ht="15.6" x14ac:dyDescent="0.3">
      <c r="A3" s="68"/>
      <c r="B3" s="208"/>
      <c r="C3" s="140" t="s">
        <v>25</v>
      </c>
      <c r="D3" s="140" t="s">
        <v>26</v>
      </c>
      <c r="E3" s="140" t="s">
        <v>34</v>
      </c>
      <c r="F3" s="140" t="s">
        <v>35</v>
      </c>
      <c r="G3" s="140" t="s">
        <v>38</v>
      </c>
      <c r="H3" s="46" t="s">
        <v>54</v>
      </c>
      <c r="I3" s="148"/>
      <c r="J3" s="153"/>
      <c r="K3" s="3"/>
      <c r="L3" s="3"/>
      <c r="M3" s="3"/>
      <c r="N3" s="3"/>
      <c r="O3" s="3"/>
      <c r="P3" s="3"/>
      <c r="Q3" s="3"/>
      <c r="R3" s="3"/>
      <c r="S3" s="3"/>
      <c r="T3" s="3"/>
      <c r="U3" s="3"/>
      <c r="V3" s="3"/>
      <c r="W3" s="3"/>
      <c r="X3" s="3"/>
      <c r="Y3" s="3"/>
      <c r="Z3" s="3"/>
      <c r="AA3" s="3"/>
      <c r="AB3" s="3"/>
      <c r="AC3" s="3"/>
      <c r="AD3" s="3"/>
      <c r="AE3" s="3"/>
      <c r="AF3" s="3"/>
      <c r="AG3" s="3"/>
      <c r="AH3" s="3"/>
      <c r="AI3" s="3"/>
      <c r="AJ3" s="3"/>
      <c r="AK3" s="3"/>
      <c r="AL3" s="3"/>
    </row>
    <row r="4" spans="1:38" s="3" customFormat="1" x14ac:dyDescent="0.3">
      <c r="A4" s="1" t="s">
        <v>1</v>
      </c>
      <c r="B4" s="30" t="s">
        <v>2</v>
      </c>
      <c r="C4" s="1" t="s">
        <v>3</v>
      </c>
      <c r="D4" s="1" t="s">
        <v>4</v>
      </c>
      <c r="E4" s="1" t="s">
        <v>6</v>
      </c>
      <c r="F4" s="1" t="s">
        <v>8</v>
      </c>
      <c r="G4" s="1" t="s">
        <v>11</v>
      </c>
      <c r="H4" s="1" t="s">
        <v>12</v>
      </c>
      <c r="I4" s="1" t="s">
        <v>30</v>
      </c>
      <c r="J4" s="56" t="s">
        <v>43</v>
      </c>
    </row>
    <row r="5" spans="1:38" s="3" customFormat="1" ht="15.6" x14ac:dyDescent="0.3">
      <c r="A5" s="31" t="s">
        <v>82</v>
      </c>
      <c r="B5" s="41"/>
      <c r="C5" s="76"/>
      <c r="D5" s="76"/>
      <c r="E5" s="76"/>
      <c r="F5" s="76"/>
      <c r="G5" s="76"/>
      <c r="H5" s="76"/>
      <c r="I5" s="76"/>
      <c r="J5" s="77"/>
    </row>
    <row r="6" spans="1:38" s="111" customFormat="1" ht="15.6" x14ac:dyDescent="0.3">
      <c r="A6" s="1">
        <v>1</v>
      </c>
      <c r="B6" s="162" t="s">
        <v>119</v>
      </c>
      <c r="C6" s="1">
        <f>SUM(18+1)</f>
        <v>19</v>
      </c>
      <c r="D6" s="137">
        <f>SUM(14-2+2)</f>
        <v>14</v>
      </c>
      <c r="E6" s="25"/>
      <c r="F6" s="25"/>
      <c r="G6" s="25"/>
      <c r="H6" s="1">
        <f>SUM(E6:G6)</f>
        <v>0</v>
      </c>
      <c r="I6" s="1">
        <f>D6-H6</f>
        <v>14</v>
      </c>
      <c r="J6" s="154" t="s">
        <v>85</v>
      </c>
    </row>
    <row r="7" spans="1:38" s="112" customFormat="1" ht="30" x14ac:dyDescent="0.3">
      <c r="A7" s="30">
        <v>2</v>
      </c>
      <c r="B7" s="162" t="s">
        <v>120</v>
      </c>
      <c r="C7" s="1">
        <f>SUM(51+2)</f>
        <v>53</v>
      </c>
      <c r="D7" s="137">
        <f>SUM(39-6+2)</f>
        <v>35</v>
      </c>
      <c r="E7" s="200">
        <v>1</v>
      </c>
      <c r="F7" s="25"/>
      <c r="G7" s="200"/>
      <c r="H7" s="199">
        <f t="shared" ref="H7:H15" si="0">SUM(E7:G7)</f>
        <v>1</v>
      </c>
      <c r="I7" s="199">
        <f t="shared" ref="I7:I15" si="1">D7-H7</f>
        <v>34</v>
      </c>
      <c r="J7" s="154" t="s">
        <v>114</v>
      </c>
    </row>
    <row r="8" spans="1:38" s="138" customFormat="1" x14ac:dyDescent="0.3">
      <c r="A8" s="136">
        <v>3</v>
      </c>
      <c r="B8" s="162" t="s">
        <v>121</v>
      </c>
      <c r="C8" s="1">
        <f>SUM(28+1+7)</f>
        <v>36</v>
      </c>
      <c r="D8" s="137">
        <f>SUM(26+1-4+7)</f>
        <v>30</v>
      </c>
      <c r="E8" s="137"/>
      <c r="F8" s="137"/>
      <c r="G8" s="198"/>
      <c r="H8" s="15">
        <f t="shared" si="0"/>
        <v>0</v>
      </c>
      <c r="I8" s="15">
        <f t="shared" si="1"/>
        <v>30</v>
      </c>
      <c r="J8" s="154" t="s">
        <v>113</v>
      </c>
    </row>
    <row r="9" spans="1:38" s="3" customFormat="1" x14ac:dyDescent="0.3">
      <c r="A9" s="30">
        <v>4</v>
      </c>
      <c r="B9" s="162" t="s">
        <v>122</v>
      </c>
      <c r="C9" s="1">
        <f t="shared" ref="C9:D15" si="2">SUM(0+0)</f>
        <v>0</v>
      </c>
      <c r="D9" s="137">
        <f t="shared" si="2"/>
        <v>0</v>
      </c>
      <c r="E9" s="25"/>
      <c r="F9" s="25"/>
      <c r="G9" s="25"/>
      <c r="H9" s="1">
        <f t="shared" si="0"/>
        <v>0</v>
      </c>
      <c r="I9" s="1">
        <f t="shared" si="1"/>
        <v>0</v>
      </c>
      <c r="J9" s="156"/>
    </row>
    <row r="10" spans="1:38" s="3" customFormat="1" x14ac:dyDescent="0.3">
      <c r="A10" s="1">
        <v>5</v>
      </c>
      <c r="B10" s="162" t="s">
        <v>123</v>
      </c>
      <c r="C10" s="1">
        <f t="shared" si="2"/>
        <v>0</v>
      </c>
      <c r="D10" s="137">
        <f t="shared" si="2"/>
        <v>0</v>
      </c>
      <c r="E10" s="25"/>
      <c r="F10" s="25"/>
      <c r="G10" s="25"/>
      <c r="H10" s="1">
        <f t="shared" si="0"/>
        <v>0</v>
      </c>
      <c r="I10" s="1">
        <f t="shared" si="1"/>
        <v>0</v>
      </c>
      <c r="J10" s="156"/>
    </row>
    <row r="11" spans="1:38" s="3" customFormat="1" x14ac:dyDescent="0.3">
      <c r="A11" s="30">
        <v>6</v>
      </c>
      <c r="B11" s="162" t="s">
        <v>124</v>
      </c>
      <c r="C11" s="1">
        <f t="shared" si="2"/>
        <v>0</v>
      </c>
      <c r="D11" s="137">
        <f t="shared" si="2"/>
        <v>0</v>
      </c>
      <c r="E11" s="25"/>
      <c r="F11" s="25"/>
      <c r="G11" s="25"/>
      <c r="H11" s="1">
        <f t="shared" si="0"/>
        <v>0</v>
      </c>
      <c r="I11" s="1">
        <f t="shared" si="1"/>
        <v>0</v>
      </c>
      <c r="J11" s="157"/>
    </row>
    <row r="12" spans="1:38" s="3" customFormat="1" x14ac:dyDescent="0.3">
      <c r="A12" s="1">
        <v>7</v>
      </c>
      <c r="B12" s="162" t="s">
        <v>125</v>
      </c>
      <c r="C12" s="1">
        <f t="shared" si="2"/>
        <v>0</v>
      </c>
      <c r="D12" s="137">
        <f t="shared" si="2"/>
        <v>0</v>
      </c>
      <c r="E12" s="25"/>
      <c r="F12" s="25"/>
      <c r="G12" s="25"/>
      <c r="H12" s="1">
        <f t="shared" si="0"/>
        <v>0</v>
      </c>
      <c r="I12" s="1">
        <f t="shared" si="1"/>
        <v>0</v>
      </c>
      <c r="J12" s="157"/>
    </row>
    <row r="13" spans="1:38" s="3" customFormat="1" ht="15.6" x14ac:dyDescent="0.3">
      <c r="A13" s="30">
        <v>8</v>
      </c>
      <c r="B13" s="162" t="s">
        <v>126</v>
      </c>
      <c r="C13" s="1">
        <f t="shared" si="2"/>
        <v>0</v>
      </c>
      <c r="D13" s="137">
        <f t="shared" si="2"/>
        <v>0</v>
      </c>
      <c r="E13" s="25"/>
      <c r="F13" s="25"/>
      <c r="G13" s="25"/>
      <c r="H13" s="1">
        <f t="shared" si="0"/>
        <v>0</v>
      </c>
      <c r="I13" s="1">
        <f t="shared" si="1"/>
        <v>0</v>
      </c>
      <c r="J13" s="158"/>
    </row>
    <row r="14" spans="1:38" s="64" customFormat="1" ht="15.6" x14ac:dyDescent="0.3">
      <c r="A14" s="1">
        <v>9</v>
      </c>
      <c r="B14" s="162" t="s">
        <v>127</v>
      </c>
      <c r="C14" s="1">
        <f t="shared" si="2"/>
        <v>0</v>
      </c>
      <c r="D14" s="137">
        <f t="shared" si="2"/>
        <v>0</v>
      </c>
      <c r="E14" s="25"/>
      <c r="F14" s="25"/>
      <c r="G14" s="25"/>
      <c r="H14" s="1">
        <f t="shared" si="0"/>
        <v>0</v>
      </c>
      <c r="I14" s="1">
        <f t="shared" si="1"/>
        <v>0</v>
      </c>
      <c r="J14" s="159"/>
    </row>
    <row r="15" spans="1:38" s="64" customFormat="1" ht="15.6" x14ac:dyDescent="0.3">
      <c r="A15" s="30">
        <v>10</v>
      </c>
      <c r="B15" s="162" t="s">
        <v>128</v>
      </c>
      <c r="C15" s="1">
        <f t="shared" si="2"/>
        <v>0</v>
      </c>
      <c r="D15" s="137">
        <f t="shared" si="2"/>
        <v>0</v>
      </c>
      <c r="E15" s="25"/>
      <c r="F15" s="25"/>
      <c r="G15" s="25"/>
      <c r="H15" s="1">
        <f t="shared" si="0"/>
        <v>0</v>
      </c>
      <c r="I15" s="1">
        <f t="shared" si="1"/>
        <v>0</v>
      </c>
      <c r="J15" s="159"/>
    </row>
    <row r="16" spans="1:38" s="64" customFormat="1" ht="15.6" x14ac:dyDescent="0.3">
      <c r="A16" s="41" t="s">
        <v>61</v>
      </c>
      <c r="B16" s="76"/>
      <c r="C16" s="96"/>
      <c r="D16" s="78"/>
      <c r="E16" s="78"/>
      <c r="F16" s="78"/>
      <c r="G16" s="78"/>
      <c r="H16" s="76"/>
      <c r="I16" s="76"/>
      <c r="J16" s="160"/>
    </row>
    <row r="17" spans="1:10" s="3" customFormat="1" ht="15.6" x14ac:dyDescent="0.3">
      <c r="A17" s="1">
        <v>11</v>
      </c>
      <c r="B17" s="209" t="s">
        <v>129</v>
      </c>
      <c r="C17" s="1">
        <f t="shared" ref="C17:D35" si="3">SUM(0+0)</f>
        <v>0</v>
      </c>
      <c r="D17" s="137">
        <f t="shared" si="3"/>
        <v>0</v>
      </c>
      <c r="E17" s="25"/>
      <c r="F17" s="25"/>
      <c r="G17" s="25"/>
      <c r="H17" s="1">
        <f t="shared" ref="H17" si="4">SUM(E17:G17)</f>
        <v>0</v>
      </c>
      <c r="I17" s="1">
        <f t="shared" ref="I17" si="5">D17-H17</f>
        <v>0</v>
      </c>
      <c r="J17" s="155"/>
    </row>
    <row r="18" spans="1:10" s="3" customFormat="1" ht="15.6" x14ac:dyDescent="0.3">
      <c r="A18" s="1">
        <v>12</v>
      </c>
      <c r="B18" s="209" t="s">
        <v>130</v>
      </c>
      <c r="C18" s="1">
        <f t="shared" si="3"/>
        <v>0</v>
      </c>
      <c r="D18" s="137">
        <f t="shared" si="3"/>
        <v>0</v>
      </c>
      <c r="E18" s="25"/>
      <c r="F18" s="25"/>
      <c r="G18" s="25"/>
      <c r="H18" s="1">
        <f t="shared" ref="H18:H60" si="6">SUM(E18:G18)</f>
        <v>0</v>
      </c>
      <c r="I18" s="1">
        <f t="shared" ref="I18:I60" si="7">D18-H18</f>
        <v>0</v>
      </c>
      <c r="J18" s="155"/>
    </row>
    <row r="19" spans="1:10" s="3" customFormat="1" ht="15.6" x14ac:dyDescent="0.3">
      <c r="A19" s="1">
        <v>13</v>
      </c>
      <c r="B19" s="209" t="s">
        <v>131</v>
      </c>
      <c r="C19" s="1">
        <f t="shared" si="3"/>
        <v>0</v>
      </c>
      <c r="D19" s="137">
        <f t="shared" si="3"/>
        <v>0</v>
      </c>
      <c r="E19" s="25"/>
      <c r="F19" s="25"/>
      <c r="G19" s="25"/>
      <c r="H19" s="1">
        <f t="shared" si="6"/>
        <v>0</v>
      </c>
      <c r="I19" s="1">
        <f t="shared" si="7"/>
        <v>0</v>
      </c>
      <c r="J19" s="158"/>
    </row>
    <row r="20" spans="1:10" s="3" customFormat="1" ht="15.6" x14ac:dyDescent="0.3">
      <c r="A20" s="1">
        <v>14</v>
      </c>
      <c r="B20" s="209" t="s">
        <v>132</v>
      </c>
      <c r="C20" s="1">
        <f t="shared" si="3"/>
        <v>0</v>
      </c>
      <c r="D20" s="137">
        <f t="shared" si="3"/>
        <v>0</v>
      </c>
      <c r="E20" s="25"/>
      <c r="F20" s="25"/>
      <c r="G20" s="25"/>
      <c r="H20" s="1">
        <f t="shared" si="6"/>
        <v>0</v>
      </c>
      <c r="I20" s="1">
        <f t="shared" si="7"/>
        <v>0</v>
      </c>
      <c r="J20" s="15"/>
    </row>
    <row r="21" spans="1:10" s="3" customFormat="1" ht="15.6" x14ac:dyDescent="0.3">
      <c r="A21" s="1">
        <v>15</v>
      </c>
      <c r="B21" s="209" t="s">
        <v>133</v>
      </c>
      <c r="C21" s="1">
        <f t="shared" si="3"/>
        <v>0</v>
      </c>
      <c r="D21" s="137">
        <f t="shared" si="3"/>
        <v>0</v>
      </c>
      <c r="E21" s="25"/>
      <c r="F21" s="25"/>
      <c r="G21" s="25"/>
      <c r="H21" s="1">
        <f t="shared" si="6"/>
        <v>0</v>
      </c>
      <c r="I21" s="1">
        <f t="shared" si="7"/>
        <v>0</v>
      </c>
      <c r="J21" s="161"/>
    </row>
    <row r="22" spans="1:10" s="3" customFormat="1" ht="15.6" x14ac:dyDescent="0.3">
      <c r="A22" s="1">
        <v>16</v>
      </c>
      <c r="B22" s="209" t="s">
        <v>134</v>
      </c>
      <c r="C22" s="1">
        <f t="shared" si="3"/>
        <v>0</v>
      </c>
      <c r="D22" s="137">
        <f t="shared" si="3"/>
        <v>0</v>
      </c>
      <c r="E22" s="25"/>
      <c r="F22" s="25"/>
      <c r="G22" s="25"/>
      <c r="H22" s="1">
        <f t="shared" si="6"/>
        <v>0</v>
      </c>
      <c r="I22" s="1">
        <f t="shared" si="7"/>
        <v>0</v>
      </c>
      <c r="J22" s="161"/>
    </row>
    <row r="23" spans="1:10" s="112" customFormat="1" ht="15.6" x14ac:dyDescent="0.3">
      <c r="A23" s="1">
        <v>17</v>
      </c>
      <c r="B23" s="209" t="s">
        <v>135</v>
      </c>
      <c r="C23" s="1">
        <f t="shared" si="3"/>
        <v>0</v>
      </c>
      <c r="D23" s="137">
        <f t="shared" si="3"/>
        <v>0</v>
      </c>
      <c r="E23" s="25"/>
      <c r="F23" s="25"/>
      <c r="G23" s="25"/>
      <c r="H23" s="1">
        <f t="shared" si="6"/>
        <v>0</v>
      </c>
      <c r="I23" s="1">
        <f t="shared" si="7"/>
        <v>0</v>
      </c>
      <c r="J23" s="162"/>
    </row>
    <row r="24" spans="1:10" s="3" customFormat="1" ht="15.6" x14ac:dyDescent="0.3">
      <c r="A24" s="1">
        <v>18</v>
      </c>
      <c r="B24" s="209" t="s">
        <v>136</v>
      </c>
      <c r="C24" s="1">
        <f t="shared" si="3"/>
        <v>0</v>
      </c>
      <c r="D24" s="137">
        <f t="shared" si="3"/>
        <v>0</v>
      </c>
      <c r="E24" s="25"/>
      <c r="F24" s="25"/>
      <c r="G24" s="25"/>
      <c r="H24" s="1">
        <f t="shared" si="6"/>
        <v>0</v>
      </c>
      <c r="I24" s="1">
        <f t="shared" si="7"/>
        <v>0</v>
      </c>
      <c r="J24" s="163"/>
    </row>
    <row r="25" spans="1:10" s="3" customFormat="1" ht="15.6" x14ac:dyDescent="0.3">
      <c r="A25" s="1">
        <v>19</v>
      </c>
      <c r="B25" s="209" t="s">
        <v>137</v>
      </c>
      <c r="C25" s="1">
        <f t="shared" si="3"/>
        <v>0</v>
      </c>
      <c r="D25" s="137">
        <f t="shared" si="3"/>
        <v>0</v>
      </c>
      <c r="E25" s="25"/>
      <c r="F25" s="25"/>
      <c r="G25" s="25"/>
      <c r="H25" s="1">
        <f t="shared" si="6"/>
        <v>0</v>
      </c>
      <c r="I25" s="1">
        <f t="shared" si="7"/>
        <v>0</v>
      </c>
      <c r="J25" s="16"/>
    </row>
    <row r="26" spans="1:10" s="3" customFormat="1" ht="15.6" x14ac:dyDescent="0.3">
      <c r="A26" s="1">
        <v>20</v>
      </c>
      <c r="B26" s="209" t="s">
        <v>138</v>
      </c>
      <c r="C26" s="1">
        <f t="shared" si="3"/>
        <v>0</v>
      </c>
      <c r="D26" s="137">
        <f t="shared" si="3"/>
        <v>0</v>
      </c>
      <c r="E26" s="25"/>
      <c r="F26" s="25"/>
      <c r="G26" s="25"/>
      <c r="H26" s="1">
        <f t="shared" si="6"/>
        <v>0</v>
      </c>
      <c r="I26" s="1">
        <f t="shared" si="7"/>
        <v>0</v>
      </c>
      <c r="J26" s="16"/>
    </row>
    <row r="27" spans="1:10" s="111" customFormat="1" ht="15.6" x14ac:dyDescent="0.3">
      <c r="A27" s="1">
        <v>21</v>
      </c>
      <c r="B27" s="209" t="s">
        <v>139</v>
      </c>
      <c r="C27" s="1">
        <f t="shared" si="3"/>
        <v>0</v>
      </c>
      <c r="D27" s="137">
        <f t="shared" si="3"/>
        <v>0</v>
      </c>
      <c r="E27" s="25"/>
      <c r="F27" s="25"/>
      <c r="G27" s="25"/>
      <c r="H27" s="1">
        <f t="shared" si="6"/>
        <v>0</v>
      </c>
      <c r="I27" s="1">
        <f t="shared" si="7"/>
        <v>0</v>
      </c>
      <c r="J27" s="162"/>
    </row>
    <row r="28" spans="1:10" s="74" customFormat="1" ht="15.6" x14ac:dyDescent="0.3">
      <c r="A28" s="1">
        <v>22</v>
      </c>
      <c r="B28" s="209" t="s">
        <v>140</v>
      </c>
      <c r="C28" s="1">
        <f t="shared" si="3"/>
        <v>0</v>
      </c>
      <c r="D28" s="137">
        <f t="shared" si="3"/>
        <v>0</v>
      </c>
      <c r="E28" s="25"/>
      <c r="F28" s="25"/>
      <c r="G28" s="25"/>
      <c r="H28" s="1">
        <f t="shared" si="6"/>
        <v>0</v>
      </c>
      <c r="I28" s="1">
        <f t="shared" si="7"/>
        <v>0</v>
      </c>
      <c r="J28" s="156"/>
    </row>
    <row r="29" spans="1:10" s="74" customFormat="1" ht="15.6" x14ac:dyDescent="0.3">
      <c r="A29" s="1">
        <v>23</v>
      </c>
      <c r="B29" s="209" t="s">
        <v>141</v>
      </c>
      <c r="C29" s="1">
        <f t="shared" si="3"/>
        <v>0</v>
      </c>
      <c r="D29" s="137">
        <f t="shared" si="3"/>
        <v>0</v>
      </c>
      <c r="E29" s="25"/>
      <c r="F29" s="25"/>
      <c r="G29" s="25"/>
      <c r="H29" s="1">
        <f t="shared" si="6"/>
        <v>0</v>
      </c>
      <c r="I29" s="1">
        <f t="shared" si="7"/>
        <v>0</v>
      </c>
      <c r="J29" s="156"/>
    </row>
    <row r="30" spans="1:10" s="74" customFormat="1" ht="15.6" x14ac:dyDescent="0.3">
      <c r="A30" s="1">
        <v>24</v>
      </c>
      <c r="B30" s="209" t="s">
        <v>142</v>
      </c>
      <c r="C30" s="1">
        <f t="shared" si="3"/>
        <v>0</v>
      </c>
      <c r="D30" s="137">
        <f t="shared" si="3"/>
        <v>0</v>
      </c>
      <c r="E30" s="25"/>
      <c r="F30" s="25"/>
      <c r="G30" s="25"/>
      <c r="H30" s="1">
        <f t="shared" si="6"/>
        <v>0</v>
      </c>
      <c r="I30" s="1">
        <f t="shared" si="7"/>
        <v>0</v>
      </c>
      <c r="J30" s="156"/>
    </row>
    <row r="31" spans="1:10" s="74" customFormat="1" ht="15.6" x14ac:dyDescent="0.3">
      <c r="A31" s="1">
        <v>25</v>
      </c>
      <c r="B31" s="209" t="s">
        <v>143</v>
      </c>
      <c r="C31" s="1">
        <f t="shared" si="3"/>
        <v>0</v>
      </c>
      <c r="D31" s="137">
        <f t="shared" si="3"/>
        <v>0</v>
      </c>
      <c r="E31" s="25"/>
      <c r="F31" s="25"/>
      <c r="G31" s="25"/>
      <c r="H31" s="1">
        <f t="shared" si="6"/>
        <v>0</v>
      </c>
      <c r="I31" s="1">
        <f t="shared" si="7"/>
        <v>0</v>
      </c>
      <c r="J31" s="156"/>
    </row>
    <row r="32" spans="1:10" s="74" customFormat="1" ht="15.6" x14ac:dyDescent="0.3">
      <c r="A32" s="1">
        <v>26</v>
      </c>
      <c r="B32" s="209" t="s">
        <v>144</v>
      </c>
      <c r="C32" s="1">
        <f t="shared" si="3"/>
        <v>0</v>
      </c>
      <c r="D32" s="137">
        <f t="shared" si="3"/>
        <v>0</v>
      </c>
      <c r="E32" s="25"/>
      <c r="F32" s="25"/>
      <c r="G32" s="25"/>
      <c r="H32" s="1">
        <f t="shared" si="6"/>
        <v>0</v>
      </c>
      <c r="I32" s="1">
        <f t="shared" si="7"/>
        <v>0</v>
      </c>
      <c r="J32" s="156"/>
    </row>
    <row r="33" spans="1:10" s="74" customFormat="1" ht="15.6" x14ac:dyDescent="0.3">
      <c r="A33" s="1">
        <v>27</v>
      </c>
      <c r="B33" s="209" t="s">
        <v>145</v>
      </c>
      <c r="C33" s="1">
        <f t="shared" si="3"/>
        <v>0</v>
      </c>
      <c r="D33" s="137">
        <f>SUM(0+0)</f>
        <v>0</v>
      </c>
      <c r="E33" s="25"/>
      <c r="F33" s="25"/>
      <c r="G33" s="25"/>
      <c r="H33" s="1">
        <f t="shared" si="6"/>
        <v>0</v>
      </c>
      <c r="I33" s="1">
        <f t="shared" si="7"/>
        <v>0</v>
      </c>
      <c r="J33" s="156"/>
    </row>
    <row r="34" spans="1:10" s="3" customFormat="1" ht="15.6" x14ac:dyDescent="0.3">
      <c r="A34" s="1">
        <v>28</v>
      </c>
      <c r="B34" s="209" t="s">
        <v>146</v>
      </c>
      <c r="C34" s="1">
        <f t="shared" si="3"/>
        <v>0</v>
      </c>
      <c r="D34" s="137">
        <f t="shared" si="3"/>
        <v>0</v>
      </c>
      <c r="E34" s="25"/>
      <c r="F34" s="25"/>
      <c r="G34" s="25"/>
      <c r="H34" s="1">
        <f t="shared" si="6"/>
        <v>0</v>
      </c>
      <c r="I34" s="1">
        <f t="shared" si="7"/>
        <v>0</v>
      </c>
      <c r="J34" s="164"/>
    </row>
    <row r="35" spans="1:10" s="3" customFormat="1" ht="15.6" x14ac:dyDescent="0.3">
      <c r="A35" s="1">
        <v>29</v>
      </c>
      <c r="B35" s="209" t="s">
        <v>147</v>
      </c>
      <c r="C35" s="1">
        <f t="shared" si="3"/>
        <v>0</v>
      </c>
      <c r="D35" s="137">
        <f t="shared" si="3"/>
        <v>0</v>
      </c>
      <c r="E35" s="25"/>
      <c r="F35" s="25"/>
      <c r="G35" s="25"/>
      <c r="H35" s="1">
        <f t="shared" si="6"/>
        <v>0</v>
      </c>
      <c r="I35" s="1">
        <f t="shared" si="7"/>
        <v>0</v>
      </c>
      <c r="J35" s="163"/>
    </row>
    <row r="36" spans="1:10" s="3" customFormat="1" ht="15.6" x14ac:dyDescent="0.3">
      <c r="A36" s="1">
        <v>30</v>
      </c>
      <c r="B36" s="209" t="s">
        <v>148</v>
      </c>
      <c r="C36" s="1">
        <f t="shared" ref="C36:D51" si="8">SUM(0+0)</f>
        <v>0</v>
      </c>
      <c r="D36" s="137">
        <f t="shared" si="8"/>
        <v>0</v>
      </c>
      <c r="E36" s="25"/>
      <c r="F36" s="25"/>
      <c r="G36" s="25"/>
      <c r="H36" s="1">
        <f t="shared" si="6"/>
        <v>0</v>
      </c>
      <c r="I36" s="1">
        <f t="shared" si="7"/>
        <v>0</v>
      </c>
      <c r="J36" s="165"/>
    </row>
    <row r="37" spans="1:10" s="64" customFormat="1" ht="15.6" x14ac:dyDescent="0.3">
      <c r="A37" s="1">
        <v>31</v>
      </c>
      <c r="B37" s="209" t="s">
        <v>149</v>
      </c>
      <c r="C37" s="1">
        <f t="shared" si="8"/>
        <v>0</v>
      </c>
      <c r="D37" s="137">
        <f t="shared" si="8"/>
        <v>0</v>
      </c>
      <c r="E37" s="25"/>
      <c r="F37" s="25"/>
      <c r="G37" s="25"/>
      <c r="H37" s="1">
        <f t="shared" si="6"/>
        <v>0</v>
      </c>
      <c r="I37" s="1">
        <f t="shared" si="7"/>
        <v>0</v>
      </c>
      <c r="J37" s="166"/>
    </row>
    <row r="38" spans="1:10" s="113" customFormat="1" ht="15.6" x14ac:dyDescent="0.3">
      <c r="A38" s="1">
        <v>32</v>
      </c>
      <c r="B38" s="209" t="s">
        <v>150</v>
      </c>
      <c r="C38" s="1">
        <f t="shared" si="8"/>
        <v>0</v>
      </c>
      <c r="D38" s="137">
        <f t="shared" si="8"/>
        <v>0</v>
      </c>
      <c r="E38" s="25"/>
      <c r="F38" s="25"/>
      <c r="G38" s="25"/>
      <c r="H38" s="1">
        <f t="shared" si="6"/>
        <v>0</v>
      </c>
      <c r="I38" s="1">
        <f t="shared" si="7"/>
        <v>0</v>
      </c>
      <c r="J38" s="167"/>
    </row>
    <row r="39" spans="1:10" s="64" customFormat="1" ht="15.6" x14ac:dyDescent="0.3">
      <c r="A39" s="1">
        <v>33</v>
      </c>
      <c r="B39" s="209" t="s">
        <v>151</v>
      </c>
      <c r="C39" s="1">
        <f t="shared" si="8"/>
        <v>0</v>
      </c>
      <c r="D39" s="137">
        <f t="shared" si="8"/>
        <v>0</v>
      </c>
      <c r="E39" s="25"/>
      <c r="F39" s="25"/>
      <c r="G39" s="25"/>
      <c r="H39" s="1">
        <f t="shared" si="6"/>
        <v>0</v>
      </c>
      <c r="I39" s="1">
        <f t="shared" si="7"/>
        <v>0</v>
      </c>
      <c r="J39" s="159"/>
    </row>
    <row r="40" spans="1:10" s="74" customFormat="1" ht="15.6" x14ac:dyDescent="0.3">
      <c r="A40" s="1">
        <v>34</v>
      </c>
      <c r="B40" s="209" t="s">
        <v>152</v>
      </c>
      <c r="C40" s="1">
        <f t="shared" si="8"/>
        <v>0</v>
      </c>
      <c r="D40" s="137">
        <f>SUM(1+0)</f>
        <v>1</v>
      </c>
      <c r="E40" s="25"/>
      <c r="F40" s="25"/>
      <c r="G40" s="25"/>
      <c r="H40" s="1">
        <f t="shared" si="6"/>
        <v>0</v>
      </c>
      <c r="I40" s="1">
        <f t="shared" si="7"/>
        <v>1</v>
      </c>
      <c r="J40" s="156" t="s">
        <v>104</v>
      </c>
    </row>
    <row r="41" spans="1:10" s="74" customFormat="1" ht="15.6" x14ac:dyDescent="0.3">
      <c r="A41" s="1">
        <v>35</v>
      </c>
      <c r="B41" s="209" t="s">
        <v>153</v>
      </c>
      <c r="C41" s="1">
        <f t="shared" si="8"/>
        <v>0</v>
      </c>
      <c r="D41" s="137">
        <f t="shared" si="8"/>
        <v>0</v>
      </c>
      <c r="E41" s="25"/>
      <c r="F41" s="25"/>
      <c r="G41" s="25"/>
      <c r="H41" s="1">
        <f t="shared" si="6"/>
        <v>0</v>
      </c>
      <c r="I41" s="1">
        <f t="shared" si="7"/>
        <v>0</v>
      </c>
      <c r="J41" s="156"/>
    </row>
    <row r="42" spans="1:10" s="74" customFormat="1" ht="15.6" x14ac:dyDescent="0.3">
      <c r="A42" s="1">
        <v>36</v>
      </c>
      <c r="B42" s="209" t="s">
        <v>154</v>
      </c>
      <c r="C42" s="1">
        <f t="shared" si="8"/>
        <v>0</v>
      </c>
      <c r="D42" s="137">
        <f t="shared" si="8"/>
        <v>0</v>
      </c>
      <c r="E42" s="25"/>
      <c r="F42" s="25"/>
      <c r="G42" s="25"/>
      <c r="H42" s="1">
        <f t="shared" si="6"/>
        <v>0</v>
      </c>
      <c r="I42" s="1">
        <f t="shared" si="7"/>
        <v>0</v>
      </c>
      <c r="J42" s="156"/>
    </row>
    <row r="43" spans="1:10" s="74" customFormat="1" ht="15.6" x14ac:dyDescent="0.3">
      <c r="A43" s="1">
        <v>37</v>
      </c>
      <c r="B43" s="209" t="s">
        <v>155</v>
      </c>
      <c r="C43" s="1">
        <f t="shared" si="8"/>
        <v>0</v>
      </c>
      <c r="D43" s="137">
        <f t="shared" si="8"/>
        <v>0</v>
      </c>
      <c r="E43" s="25"/>
      <c r="F43" s="25"/>
      <c r="G43" s="25"/>
      <c r="H43" s="1">
        <f t="shared" si="6"/>
        <v>0</v>
      </c>
      <c r="I43" s="1">
        <f t="shared" si="7"/>
        <v>0</v>
      </c>
      <c r="J43" s="156"/>
    </row>
    <row r="44" spans="1:10" s="74" customFormat="1" ht="15.6" x14ac:dyDescent="0.3">
      <c r="A44" s="1">
        <v>38</v>
      </c>
      <c r="B44" s="209" t="s">
        <v>156</v>
      </c>
      <c r="C44" s="1">
        <f t="shared" si="8"/>
        <v>0</v>
      </c>
      <c r="D44" s="137">
        <f t="shared" si="8"/>
        <v>0</v>
      </c>
      <c r="E44" s="25"/>
      <c r="F44" s="25"/>
      <c r="G44" s="25"/>
      <c r="H44" s="1">
        <f t="shared" si="6"/>
        <v>0</v>
      </c>
      <c r="I44" s="1">
        <f t="shared" si="7"/>
        <v>0</v>
      </c>
      <c r="J44" s="156"/>
    </row>
    <row r="45" spans="1:10" s="74" customFormat="1" ht="15.6" x14ac:dyDescent="0.3">
      <c r="A45" s="1">
        <v>39</v>
      </c>
      <c r="B45" s="209" t="s">
        <v>157</v>
      </c>
      <c r="C45" s="1">
        <f t="shared" si="8"/>
        <v>0</v>
      </c>
      <c r="D45" s="137">
        <f t="shared" si="8"/>
        <v>0</v>
      </c>
      <c r="E45" s="25"/>
      <c r="F45" s="25"/>
      <c r="G45" s="25"/>
      <c r="H45" s="1">
        <f t="shared" si="6"/>
        <v>0</v>
      </c>
      <c r="I45" s="1">
        <f t="shared" si="7"/>
        <v>0</v>
      </c>
      <c r="J45" s="156"/>
    </row>
    <row r="46" spans="1:10" s="64" customFormat="1" ht="15.6" x14ac:dyDescent="0.3">
      <c r="A46" s="1">
        <v>40</v>
      </c>
      <c r="B46" s="209" t="s">
        <v>158</v>
      </c>
      <c r="C46" s="1">
        <f t="shared" si="8"/>
        <v>0</v>
      </c>
      <c r="D46" s="137">
        <f>SUM(0+2)</f>
        <v>2</v>
      </c>
      <c r="E46" s="25"/>
      <c r="F46" s="25"/>
      <c r="G46" s="25"/>
      <c r="H46" s="1">
        <f t="shared" si="6"/>
        <v>0</v>
      </c>
      <c r="I46" s="1">
        <f t="shared" si="7"/>
        <v>2</v>
      </c>
      <c r="J46" s="159"/>
    </row>
    <row r="47" spans="1:10" s="3" customFormat="1" ht="15.6" x14ac:dyDescent="0.3">
      <c r="A47" s="1">
        <v>41</v>
      </c>
      <c r="B47" s="209" t="s">
        <v>159</v>
      </c>
      <c r="C47" s="1">
        <f t="shared" si="8"/>
        <v>0</v>
      </c>
      <c r="D47" s="137">
        <f t="shared" si="8"/>
        <v>0</v>
      </c>
      <c r="E47" s="25"/>
      <c r="F47" s="25"/>
      <c r="G47" s="25"/>
      <c r="H47" s="1">
        <f t="shared" si="6"/>
        <v>0</v>
      </c>
      <c r="I47" s="1">
        <f t="shared" si="7"/>
        <v>0</v>
      </c>
      <c r="J47" s="164"/>
    </row>
    <row r="48" spans="1:10" s="3" customFormat="1" ht="15.6" x14ac:dyDescent="0.3">
      <c r="A48" s="1">
        <v>42</v>
      </c>
      <c r="B48" s="209" t="s">
        <v>160</v>
      </c>
      <c r="C48" s="1">
        <f t="shared" si="8"/>
        <v>0</v>
      </c>
      <c r="D48" s="137">
        <f t="shared" si="8"/>
        <v>0</v>
      </c>
      <c r="E48" s="25"/>
      <c r="F48" s="25"/>
      <c r="G48" s="25"/>
      <c r="H48" s="1">
        <f t="shared" si="6"/>
        <v>0</v>
      </c>
      <c r="I48" s="1">
        <f t="shared" si="7"/>
        <v>0</v>
      </c>
      <c r="J48" s="161"/>
    </row>
    <row r="49" spans="1:10" s="3" customFormat="1" ht="15.6" x14ac:dyDescent="0.3">
      <c r="A49" s="1">
        <v>43</v>
      </c>
      <c r="B49" s="209" t="s">
        <v>161</v>
      </c>
      <c r="C49" s="1">
        <f t="shared" si="8"/>
        <v>0</v>
      </c>
      <c r="D49" s="137">
        <f t="shared" si="8"/>
        <v>0</v>
      </c>
      <c r="E49" s="25"/>
      <c r="F49" s="25"/>
      <c r="G49" s="25"/>
      <c r="H49" s="1">
        <f t="shared" si="6"/>
        <v>0</v>
      </c>
      <c r="I49" s="1">
        <f t="shared" si="7"/>
        <v>0</v>
      </c>
      <c r="J49" s="161"/>
    </row>
    <row r="50" spans="1:10" s="3" customFormat="1" ht="15.6" x14ac:dyDescent="0.3">
      <c r="A50" s="1">
        <v>44</v>
      </c>
      <c r="B50" s="209" t="s">
        <v>162</v>
      </c>
      <c r="C50" s="1">
        <f t="shared" si="8"/>
        <v>0</v>
      </c>
      <c r="D50" s="137">
        <f t="shared" si="8"/>
        <v>0</v>
      </c>
      <c r="E50" s="25"/>
      <c r="F50" s="25"/>
      <c r="G50" s="25"/>
      <c r="H50" s="1">
        <f t="shared" si="6"/>
        <v>0</v>
      </c>
      <c r="I50" s="1">
        <f t="shared" si="7"/>
        <v>0</v>
      </c>
      <c r="J50" s="161"/>
    </row>
    <row r="51" spans="1:10" s="3" customFormat="1" ht="15.6" x14ac:dyDescent="0.3">
      <c r="A51" s="1">
        <v>45</v>
      </c>
      <c r="B51" s="209" t="s">
        <v>163</v>
      </c>
      <c r="C51" s="1">
        <f t="shared" si="8"/>
        <v>0</v>
      </c>
      <c r="D51" s="137">
        <f t="shared" si="8"/>
        <v>0</v>
      </c>
      <c r="E51" s="25"/>
      <c r="F51" s="25"/>
      <c r="G51" s="25"/>
      <c r="H51" s="1">
        <f t="shared" si="6"/>
        <v>0</v>
      </c>
      <c r="I51" s="1">
        <f t="shared" si="7"/>
        <v>0</v>
      </c>
      <c r="J51" s="161"/>
    </row>
    <row r="52" spans="1:10" s="3" customFormat="1" ht="15.6" x14ac:dyDescent="0.3">
      <c r="A52" s="1">
        <v>46</v>
      </c>
      <c r="B52" s="209" t="s">
        <v>164</v>
      </c>
      <c r="C52" s="1">
        <f t="shared" ref="C52:D67" si="9">SUM(0+0)</f>
        <v>0</v>
      </c>
      <c r="D52" s="137">
        <f>SUM(7+0)</f>
        <v>7</v>
      </c>
      <c r="E52" s="25"/>
      <c r="F52" s="25"/>
      <c r="G52" s="25"/>
      <c r="H52" s="1">
        <f t="shared" si="6"/>
        <v>0</v>
      </c>
      <c r="I52" s="1">
        <f t="shared" si="7"/>
        <v>7</v>
      </c>
      <c r="J52" s="17"/>
    </row>
    <row r="53" spans="1:10" s="3" customFormat="1" ht="15.6" x14ac:dyDescent="0.3">
      <c r="A53" s="1">
        <v>47</v>
      </c>
      <c r="B53" s="209" t="s">
        <v>165</v>
      </c>
      <c r="C53" s="1">
        <f t="shared" si="9"/>
        <v>0</v>
      </c>
      <c r="D53" s="137">
        <f>SUM(0+2)</f>
        <v>2</v>
      </c>
      <c r="E53" s="25"/>
      <c r="F53" s="25"/>
      <c r="G53" s="25"/>
      <c r="H53" s="1">
        <f t="shared" si="6"/>
        <v>0</v>
      </c>
      <c r="I53" s="1">
        <f t="shared" si="7"/>
        <v>2</v>
      </c>
      <c r="J53" s="17"/>
    </row>
    <row r="54" spans="1:10" s="112" customFormat="1" ht="15.6" x14ac:dyDescent="0.3">
      <c r="A54" s="1">
        <v>48</v>
      </c>
      <c r="B54" s="209" t="s">
        <v>166</v>
      </c>
      <c r="C54" s="1">
        <f>SUM(32+0)</f>
        <v>32</v>
      </c>
      <c r="D54" s="195">
        <f>SUM(28-9+0)</f>
        <v>19</v>
      </c>
      <c r="E54" s="16"/>
      <c r="F54" s="16"/>
      <c r="G54" s="16"/>
      <c r="H54" s="15">
        <f t="shared" si="6"/>
        <v>0</v>
      </c>
      <c r="I54" s="15">
        <f t="shared" si="7"/>
        <v>19</v>
      </c>
      <c r="J54" s="162" t="s">
        <v>106</v>
      </c>
    </row>
    <row r="55" spans="1:10" s="112" customFormat="1" ht="15.6" x14ac:dyDescent="0.3">
      <c r="A55" s="1">
        <v>49</v>
      </c>
      <c r="B55" s="209" t="s">
        <v>167</v>
      </c>
      <c r="C55" s="1">
        <f t="shared" si="9"/>
        <v>0</v>
      </c>
      <c r="D55" s="137">
        <f t="shared" si="9"/>
        <v>0</v>
      </c>
      <c r="E55" s="25"/>
      <c r="F55" s="25"/>
      <c r="G55" s="25"/>
      <c r="H55" s="1">
        <f t="shared" si="6"/>
        <v>0</v>
      </c>
      <c r="I55" s="1">
        <f t="shared" si="7"/>
        <v>0</v>
      </c>
      <c r="J55" s="163"/>
    </row>
    <row r="56" spans="1:10" s="3" customFormat="1" ht="15.6" x14ac:dyDescent="0.3">
      <c r="A56" s="1">
        <v>50</v>
      </c>
      <c r="B56" s="209" t="s">
        <v>168</v>
      </c>
      <c r="C56" s="1">
        <f t="shared" si="9"/>
        <v>0</v>
      </c>
      <c r="D56" s="137">
        <f t="shared" si="9"/>
        <v>0</v>
      </c>
      <c r="E56" s="25"/>
      <c r="F56" s="25"/>
      <c r="G56" s="25"/>
      <c r="H56" s="1">
        <f t="shared" si="6"/>
        <v>0</v>
      </c>
      <c r="I56" s="1">
        <f t="shared" si="7"/>
        <v>0</v>
      </c>
      <c r="J56" s="157"/>
    </row>
    <row r="57" spans="1:10" s="139" customFormat="1" ht="16.8" x14ac:dyDescent="0.3">
      <c r="A57" s="136">
        <v>51</v>
      </c>
      <c r="B57" s="209" t="s">
        <v>169</v>
      </c>
      <c r="C57" s="1">
        <f t="shared" si="9"/>
        <v>0</v>
      </c>
      <c r="D57" s="137">
        <f t="shared" si="9"/>
        <v>0</v>
      </c>
      <c r="E57" s="137"/>
      <c r="F57" s="137"/>
      <c r="G57" s="137"/>
      <c r="H57" s="1">
        <f t="shared" si="6"/>
        <v>0</v>
      </c>
      <c r="I57" s="1">
        <f t="shared" si="7"/>
        <v>0</v>
      </c>
      <c r="J57" s="168"/>
    </row>
    <row r="58" spans="1:10" s="139" customFormat="1" ht="16.8" x14ac:dyDescent="0.3">
      <c r="A58" s="136">
        <v>52</v>
      </c>
      <c r="B58" s="209" t="s">
        <v>170</v>
      </c>
      <c r="C58" s="1">
        <f>SUM(0+0)</f>
        <v>0</v>
      </c>
      <c r="D58" s="137">
        <f t="shared" si="9"/>
        <v>0</v>
      </c>
      <c r="E58" s="137"/>
      <c r="F58" s="137"/>
      <c r="G58" s="137"/>
      <c r="H58" s="1">
        <f t="shared" si="6"/>
        <v>0</v>
      </c>
      <c r="I58" s="1">
        <f t="shared" si="7"/>
        <v>0</v>
      </c>
      <c r="J58" s="168"/>
    </row>
    <row r="59" spans="1:10" s="139" customFormat="1" ht="16.8" x14ac:dyDescent="0.3">
      <c r="A59" s="136">
        <v>53</v>
      </c>
      <c r="B59" s="209" t="s">
        <v>171</v>
      </c>
      <c r="C59" s="1">
        <f>SUM(0+1)</f>
        <v>1</v>
      </c>
      <c r="D59" s="137">
        <f>SUM(0+1)</f>
        <v>1</v>
      </c>
      <c r="E59" s="137"/>
      <c r="F59" s="137"/>
      <c r="G59" s="137"/>
      <c r="H59" s="1">
        <f t="shared" si="6"/>
        <v>0</v>
      </c>
      <c r="I59" s="1">
        <f t="shared" si="7"/>
        <v>1</v>
      </c>
      <c r="J59" s="169"/>
    </row>
    <row r="60" spans="1:10" s="138" customFormat="1" ht="15.6" x14ac:dyDescent="0.3">
      <c r="A60" s="136">
        <v>54</v>
      </c>
      <c r="B60" s="209" t="s">
        <v>172</v>
      </c>
      <c r="C60" s="1">
        <f t="shared" si="9"/>
        <v>0</v>
      </c>
      <c r="D60" s="137">
        <f t="shared" si="9"/>
        <v>0</v>
      </c>
      <c r="E60" s="137"/>
      <c r="F60" s="137"/>
      <c r="G60" s="137"/>
      <c r="H60" s="1">
        <f t="shared" si="6"/>
        <v>0</v>
      </c>
      <c r="I60" s="1">
        <f t="shared" si="7"/>
        <v>0</v>
      </c>
      <c r="J60" s="170"/>
    </row>
    <row r="61" spans="1:10" s="18" customFormat="1" ht="16.8" x14ac:dyDescent="0.3">
      <c r="A61" s="41" t="s">
        <v>62</v>
      </c>
      <c r="B61" s="76"/>
      <c r="C61" s="96"/>
      <c r="D61" s="78"/>
      <c r="E61" s="78"/>
      <c r="F61" s="78"/>
      <c r="G61" s="78"/>
      <c r="H61" s="76"/>
      <c r="I61" s="76"/>
      <c r="J61" s="160"/>
    </row>
    <row r="62" spans="1:10" s="109" customFormat="1" x14ac:dyDescent="0.3">
      <c r="A62" s="30">
        <v>55</v>
      </c>
      <c r="B62" s="210" t="s">
        <v>173</v>
      </c>
      <c r="C62" s="1">
        <f t="shared" si="9"/>
        <v>0</v>
      </c>
      <c r="D62" s="137">
        <f t="shared" si="9"/>
        <v>0</v>
      </c>
      <c r="E62" s="25"/>
      <c r="F62" s="25"/>
      <c r="G62" s="25"/>
      <c r="H62" s="1">
        <f t="shared" ref="H62:H68" si="10">SUM(E62:G62)</f>
        <v>0</v>
      </c>
      <c r="I62" s="1">
        <f t="shared" ref="I62:I68" si="11">D62-H62</f>
        <v>0</v>
      </c>
      <c r="J62" s="17"/>
    </row>
    <row r="63" spans="1:10" s="109" customFormat="1" x14ac:dyDescent="0.3">
      <c r="A63" s="1">
        <v>56</v>
      </c>
      <c r="B63" s="210" t="s">
        <v>174</v>
      </c>
      <c r="C63" s="1">
        <f t="shared" si="9"/>
        <v>0</v>
      </c>
      <c r="D63" s="137">
        <f t="shared" si="9"/>
        <v>0</v>
      </c>
      <c r="E63" s="25"/>
      <c r="F63" s="25"/>
      <c r="G63" s="25"/>
      <c r="H63" s="1">
        <f t="shared" si="10"/>
        <v>0</v>
      </c>
      <c r="I63" s="1">
        <f t="shared" si="11"/>
        <v>0</v>
      </c>
      <c r="J63" s="17"/>
    </row>
    <row r="64" spans="1:10" s="112" customFormat="1" x14ac:dyDescent="0.3">
      <c r="A64" s="30">
        <v>57</v>
      </c>
      <c r="B64" s="210" t="s">
        <v>175</v>
      </c>
      <c r="C64" s="1">
        <f t="shared" si="9"/>
        <v>0</v>
      </c>
      <c r="D64" s="137">
        <f t="shared" si="9"/>
        <v>0</v>
      </c>
      <c r="E64" s="25"/>
      <c r="F64" s="25"/>
      <c r="G64" s="25"/>
      <c r="H64" s="1">
        <f t="shared" si="10"/>
        <v>0</v>
      </c>
      <c r="I64" s="1">
        <f t="shared" si="11"/>
        <v>0</v>
      </c>
      <c r="J64" s="17"/>
    </row>
    <row r="65" spans="1:10" s="109" customFormat="1" x14ac:dyDescent="0.3">
      <c r="A65" s="1">
        <v>58</v>
      </c>
      <c r="B65" s="210" t="s">
        <v>176</v>
      </c>
      <c r="C65" s="1">
        <f t="shared" si="9"/>
        <v>0</v>
      </c>
      <c r="D65" s="137">
        <f t="shared" si="9"/>
        <v>0</v>
      </c>
      <c r="E65" s="25"/>
      <c r="F65" s="25"/>
      <c r="G65" s="25"/>
      <c r="H65" s="1">
        <f t="shared" si="10"/>
        <v>0</v>
      </c>
      <c r="I65" s="1">
        <f t="shared" si="11"/>
        <v>0</v>
      </c>
      <c r="J65" s="154"/>
    </row>
    <row r="66" spans="1:10" s="109" customFormat="1" x14ac:dyDescent="0.3">
      <c r="A66" s="30">
        <v>59</v>
      </c>
      <c r="B66" s="210" t="s">
        <v>177</v>
      </c>
      <c r="C66" s="1">
        <f t="shared" si="9"/>
        <v>0</v>
      </c>
      <c r="D66" s="137">
        <f t="shared" si="9"/>
        <v>0</v>
      </c>
      <c r="E66" s="25"/>
      <c r="F66" s="25"/>
      <c r="G66" s="25"/>
      <c r="H66" s="1">
        <f t="shared" si="10"/>
        <v>0</v>
      </c>
      <c r="I66" s="1">
        <f t="shared" si="11"/>
        <v>0</v>
      </c>
      <c r="J66" s="163"/>
    </row>
    <row r="67" spans="1:10" s="3" customFormat="1" x14ac:dyDescent="0.3">
      <c r="A67" s="1">
        <v>60</v>
      </c>
      <c r="B67" s="210" t="s">
        <v>178</v>
      </c>
      <c r="C67" s="1">
        <f t="shared" si="9"/>
        <v>0</v>
      </c>
      <c r="D67" s="137">
        <f t="shared" si="9"/>
        <v>0</v>
      </c>
      <c r="E67" s="25"/>
      <c r="F67" s="25"/>
      <c r="G67" s="25"/>
      <c r="H67" s="1">
        <f t="shared" si="10"/>
        <v>0</v>
      </c>
      <c r="I67" s="1">
        <f t="shared" si="11"/>
        <v>0</v>
      </c>
      <c r="J67" s="154"/>
    </row>
    <row r="68" spans="1:10" s="64" customFormat="1" ht="15.6" x14ac:dyDescent="0.3">
      <c r="A68" s="30">
        <v>61</v>
      </c>
      <c r="B68" s="210" t="s">
        <v>179</v>
      </c>
      <c r="C68" s="1">
        <f t="shared" ref="C68:D83" si="12">SUM(0+0)</f>
        <v>0</v>
      </c>
      <c r="D68" s="137">
        <f t="shared" si="12"/>
        <v>0</v>
      </c>
      <c r="E68" s="25"/>
      <c r="F68" s="25"/>
      <c r="G68" s="25"/>
      <c r="H68" s="1">
        <f t="shared" si="10"/>
        <v>0</v>
      </c>
      <c r="I68" s="1">
        <f t="shared" si="11"/>
        <v>0</v>
      </c>
      <c r="J68" s="166"/>
    </row>
    <row r="69" spans="1:10" s="3" customFormat="1" ht="15.6" x14ac:dyDescent="0.3">
      <c r="A69" s="41" t="s">
        <v>63</v>
      </c>
      <c r="B69" s="76"/>
      <c r="C69" s="96"/>
      <c r="D69" s="78"/>
      <c r="E69" s="78"/>
      <c r="F69" s="78"/>
      <c r="G69" s="78"/>
      <c r="H69" s="76"/>
      <c r="I69" s="76"/>
      <c r="J69" s="160"/>
    </row>
    <row r="70" spans="1:10" s="3" customFormat="1" x14ac:dyDescent="0.3">
      <c r="A70" s="1">
        <v>62</v>
      </c>
      <c r="B70" s="210" t="s">
        <v>180</v>
      </c>
      <c r="C70" s="1">
        <f t="shared" si="12"/>
        <v>0</v>
      </c>
      <c r="D70" s="137">
        <f t="shared" si="12"/>
        <v>0</v>
      </c>
      <c r="E70" s="25"/>
      <c r="F70" s="25"/>
      <c r="G70" s="25"/>
      <c r="H70" s="1">
        <f t="shared" ref="H70:H72" si="13">SUM(E70:G70)</f>
        <v>0</v>
      </c>
      <c r="I70" s="1">
        <f t="shared" ref="I70:I72" si="14">D70-H70</f>
        <v>0</v>
      </c>
      <c r="J70" s="17"/>
    </row>
    <row r="71" spans="1:10" s="112" customFormat="1" x14ac:dyDescent="0.3">
      <c r="A71" s="30">
        <v>63</v>
      </c>
      <c r="B71" s="210" t="s">
        <v>181</v>
      </c>
      <c r="C71" s="1">
        <f>SUM(0+1)</f>
        <v>1</v>
      </c>
      <c r="D71" s="137">
        <f>SUM(0+1)</f>
        <v>1</v>
      </c>
      <c r="E71" s="25"/>
      <c r="F71" s="25"/>
      <c r="G71" s="25"/>
      <c r="H71" s="1">
        <f t="shared" si="13"/>
        <v>0</v>
      </c>
      <c r="I71" s="1">
        <f t="shared" si="14"/>
        <v>1</v>
      </c>
      <c r="J71" s="162"/>
    </row>
    <row r="72" spans="1:10" s="64" customFormat="1" ht="15.6" x14ac:dyDescent="0.3">
      <c r="A72" s="1">
        <v>64</v>
      </c>
      <c r="B72" s="210" t="s">
        <v>182</v>
      </c>
      <c r="C72" s="1">
        <f t="shared" si="12"/>
        <v>0</v>
      </c>
      <c r="D72" s="137">
        <f t="shared" si="12"/>
        <v>0</v>
      </c>
      <c r="E72" s="25"/>
      <c r="F72" s="25"/>
      <c r="G72" s="25"/>
      <c r="H72" s="1">
        <f t="shared" si="13"/>
        <v>0</v>
      </c>
      <c r="I72" s="1">
        <f t="shared" si="14"/>
        <v>0</v>
      </c>
      <c r="J72" s="166"/>
    </row>
    <row r="73" spans="1:10" s="3" customFormat="1" ht="15.6" x14ac:dyDescent="0.3">
      <c r="A73" s="236" t="s">
        <v>79</v>
      </c>
      <c r="B73" s="237"/>
      <c r="C73" s="97"/>
      <c r="D73" s="104"/>
      <c r="E73" s="104"/>
      <c r="F73" s="104"/>
      <c r="G73" s="104"/>
      <c r="H73" s="104"/>
      <c r="I73" s="104"/>
      <c r="J73" s="171"/>
    </row>
    <row r="74" spans="1:10" s="112" customFormat="1" ht="60" x14ac:dyDescent="0.3">
      <c r="A74" s="1">
        <v>65</v>
      </c>
      <c r="B74" s="211" t="s">
        <v>183</v>
      </c>
      <c r="C74" s="1">
        <f t="shared" si="12"/>
        <v>0</v>
      </c>
      <c r="D74" s="137">
        <f>SUM(4-1+0)</f>
        <v>3</v>
      </c>
      <c r="E74" s="25"/>
      <c r="F74" s="25"/>
      <c r="G74" s="16">
        <v>1</v>
      </c>
      <c r="H74" s="15">
        <f t="shared" ref="H74:H75" si="15">SUM(E74:G74)</f>
        <v>1</v>
      </c>
      <c r="I74" s="15">
        <f t="shared" ref="I74:I75" si="16">D74-H74</f>
        <v>2</v>
      </c>
      <c r="J74" s="162" t="s">
        <v>107</v>
      </c>
    </row>
    <row r="75" spans="1:10" s="112" customFormat="1" ht="15.6" x14ac:dyDescent="0.3">
      <c r="A75" s="1">
        <v>66</v>
      </c>
      <c r="B75" s="209" t="s">
        <v>184</v>
      </c>
      <c r="C75" s="1">
        <f>SUM(5+1)</f>
        <v>6</v>
      </c>
      <c r="D75" s="137">
        <f>SUM(1+1)</f>
        <v>2</v>
      </c>
      <c r="E75" s="25"/>
      <c r="F75" s="25"/>
      <c r="G75" s="25"/>
      <c r="H75" s="1">
        <f t="shared" si="15"/>
        <v>0</v>
      </c>
      <c r="I75" s="1">
        <f t="shared" si="16"/>
        <v>2</v>
      </c>
      <c r="J75" s="172"/>
    </row>
    <row r="76" spans="1:10" s="64" customFormat="1" ht="15.6" x14ac:dyDescent="0.3">
      <c r="A76" s="41" t="s">
        <v>64</v>
      </c>
      <c r="B76" s="76"/>
      <c r="C76" s="96"/>
      <c r="D76" s="78"/>
      <c r="E76" s="78"/>
      <c r="F76" s="78"/>
      <c r="G76" s="78"/>
      <c r="H76" s="76"/>
      <c r="I76" s="76"/>
      <c r="J76" s="160"/>
    </row>
    <row r="77" spans="1:10" s="112" customFormat="1" x14ac:dyDescent="0.3">
      <c r="A77" s="1">
        <v>67</v>
      </c>
      <c r="B77" s="210" t="s">
        <v>185</v>
      </c>
      <c r="C77" s="1">
        <f t="shared" si="12"/>
        <v>0</v>
      </c>
      <c r="D77" s="137">
        <f t="shared" si="12"/>
        <v>0</v>
      </c>
      <c r="E77" s="25"/>
      <c r="F77" s="25"/>
      <c r="G77" s="25"/>
      <c r="H77" s="1">
        <f t="shared" ref="H77:H94" si="17">SUM(E77:G77)</f>
        <v>0</v>
      </c>
      <c r="I77" s="1">
        <f t="shared" ref="I77:I94" si="18">D77-H77</f>
        <v>0</v>
      </c>
      <c r="J77" s="173"/>
    </row>
    <row r="78" spans="1:10" s="112" customFormat="1" x14ac:dyDescent="0.3">
      <c r="A78" s="30">
        <v>68</v>
      </c>
      <c r="B78" s="210" t="s">
        <v>186</v>
      </c>
      <c r="C78" s="1">
        <f t="shared" si="12"/>
        <v>0</v>
      </c>
      <c r="D78" s="137">
        <f>SUM(1+0)</f>
        <v>1</v>
      </c>
      <c r="E78" s="25"/>
      <c r="F78" s="25"/>
      <c r="G78" s="25"/>
      <c r="H78" s="1">
        <f t="shared" si="17"/>
        <v>0</v>
      </c>
      <c r="I78" s="1">
        <f t="shared" si="18"/>
        <v>1</v>
      </c>
      <c r="J78" s="173" t="s">
        <v>87</v>
      </c>
    </row>
    <row r="79" spans="1:10" s="112" customFormat="1" x14ac:dyDescent="0.3">
      <c r="A79" s="1">
        <v>69</v>
      </c>
      <c r="B79" s="210" t="s">
        <v>187</v>
      </c>
      <c r="C79" s="1">
        <f>SUM(2+2)</f>
        <v>4</v>
      </c>
      <c r="D79" s="137">
        <f>SUM(4-1+2)</f>
        <v>5</v>
      </c>
      <c r="E79" s="25"/>
      <c r="F79" s="25"/>
      <c r="G79" s="25"/>
      <c r="H79" s="1">
        <f t="shared" si="17"/>
        <v>0</v>
      </c>
      <c r="I79" s="1">
        <f t="shared" si="18"/>
        <v>5</v>
      </c>
      <c r="J79" s="174" t="s">
        <v>86</v>
      </c>
    </row>
    <row r="80" spans="1:10" s="3" customFormat="1" ht="15.6" x14ac:dyDescent="0.3">
      <c r="A80" s="30">
        <v>70</v>
      </c>
      <c r="B80" s="210" t="s">
        <v>188</v>
      </c>
      <c r="C80" s="1">
        <f t="shared" si="12"/>
        <v>0</v>
      </c>
      <c r="D80" s="137">
        <f t="shared" si="12"/>
        <v>0</v>
      </c>
      <c r="E80" s="25"/>
      <c r="F80" s="25"/>
      <c r="G80" s="25"/>
      <c r="H80" s="1">
        <f t="shared" si="17"/>
        <v>0</v>
      </c>
      <c r="I80" s="1">
        <f t="shared" si="18"/>
        <v>0</v>
      </c>
      <c r="J80" s="175"/>
    </row>
    <row r="81" spans="1:38" s="3" customFormat="1" x14ac:dyDescent="0.3">
      <c r="A81" s="1">
        <v>71</v>
      </c>
      <c r="B81" s="210" t="s">
        <v>189</v>
      </c>
      <c r="C81" s="1">
        <f t="shared" si="12"/>
        <v>0</v>
      </c>
      <c r="D81" s="137">
        <f t="shared" si="12"/>
        <v>0</v>
      </c>
      <c r="E81" s="25"/>
      <c r="F81" s="25"/>
      <c r="G81" s="25"/>
      <c r="H81" s="1">
        <f t="shared" si="17"/>
        <v>0</v>
      </c>
      <c r="I81" s="1">
        <f t="shared" si="18"/>
        <v>0</v>
      </c>
      <c r="J81" s="174"/>
    </row>
    <row r="82" spans="1:38" s="3" customFormat="1" x14ac:dyDescent="0.3">
      <c r="A82" s="30">
        <v>72</v>
      </c>
      <c r="B82" s="210" t="s">
        <v>190</v>
      </c>
      <c r="C82" s="1">
        <f t="shared" si="12"/>
        <v>0</v>
      </c>
      <c r="D82" s="137">
        <f>SUM(1+0)</f>
        <v>1</v>
      </c>
      <c r="E82" s="25"/>
      <c r="F82" s="25"/>
      <c r="G82" s="25"/>
      <c r="H82" s="1">
        <f t="shared" si="17"/>
        <v>0</v>
      </c>
      <c r="I82" s="1">
        <f t="shared" si="18"/>
        <v>1</v>
      </c>
      <c r="J82" s="174"/>
    </row>
    <row r="83" spans="1:38" s="3" customFormat="1" x14ac:dyDescent="0.3">
      <c r="A83" s="1">
        <v>73</v>
      </c>
      <c r="B83" s="210" t="s">
        <v>191</v>
      </c>
      <c r="C83" s="1">
        <f t="shared" si="12"/>
        <v>0</v>
      </c>
      <c r="D83" s="137">
        <f t="shared" si="12"/>
        <v>0</v>
      </c>
      <c r="E83" s="25"/>
      <c r="F83" s="25"/>
      <c r="G83" s="25"/>
      <c r="H83" s="1">
        <f t="shared" si="17"/>
        <v>0</v>
      </c>
      <c r="I83" s="1">
        <f t="shared" si="18"/>
        <v>0</v>
      </c>
      <c r="J83" s="157"/>
    </row>
    <row r="84" spans="1:38" s="3" customFormat="1" x14ac:dyDescent="0.3">
      <c r="A84" s="30">
        <v>74</v>
      </c>
      <c r="B84" s="210" t="s">
        <v>192</v>
      </c>
      <c r="C84" s="1">
        <f t="shared" ref="C84:D94" si="19">SUM(0+0)</f>
        <v>0</v>
      </c>
      <c r="D84" s="137">
        <f t="shared" si="19"/>
        <v>0</v>
      </c>
      <c r="E84" s="25"/>
      <c r="F84" s="25"/>
      <c r="G84" s="25"/>
      <c r="H84" s="1">
        <f t="shared" si="17"/>
        <v>0</v>
      </c>
      <c r="I84" s="1">
        <f t="shared" si="18"/>
        <v>0</v>
      </c>
      <c r="J84" s="157"/>
    </row>
    <row r="85" spans="1:38" s="64" customFormat="1" ht="15.6" x14ac:dyDescent="0.3">
      <c r="A85" s="1">
        <v>75</v>
      </c>
      <c r="B85" s="210" t="s">
        <v>193</v>
      </c>
      <c r="C85" s="1">
        <f t="shared" si="19"/>
        <v>0</v>
      </c>
      <c r="D85" s="137">
        <f t="shared" si="19"/>
        <v>0</v>
      </c>
      <c r="E85" s="25"/>
      <c r="F85" s="25"/>
      <c r="G85" s="25"/>
      <c r="H85" s="1">
        <f t="shared" si="17"/>
        <v>0</v>
      </c>
      <c r="I85" s="1">
        <f t="shared" si="18"/>
        <v>0</v>
      </c>
      <c r="J85" s="166"/>
    </row>
    <row r="86" spans="1:38" s="64" customFormat="1" ht="15.6" x14ac:dyDescent="0.3">
      <c r="A86" s="30">
        <v>76</v>
      </c>
      <c r="B86" s="210" t="s">
        <v>194</v>
      </c>
      <c r="C86" s="1">
        <f t="shared" si="19"/>
        <v>0</v>
      </c>
      <c r="D86" s="137">
        <f t="shared" si="19"/>
        <v>0</v>
      </c>
      <c r="E86" s="25"/>
      <c r="F86" s="25"/>
      <c r="G86" s="25"/>
      <c r="H86" s="1">
        <f t="shared" si="17"/>
        <v>0</v>
      </c>
      <c r="I86" s="1">
        <f t="shared" si="18"/>
        <v>0</v>
      </c>
      <c r="J86" s="166"/>
    </row>
    <row r="87" spans="1:38" s="109" customFormat="1" x14ac:dyDescent="0.3">
      <c r="A87" s="1">
        <v>77</v>
      </c>
      <c r="B87" s="210" t="s">
        <v>195</v>
      </c>
      <c r="C87" s="1">
        <f t="shared" si="19"/>
        <v>0</v>
      </c>
      <c r="D87" s="137">
        <f t="shared" si="19"/>
        <v>0</v>
      </c>
      <c r="E87" s="25"/>
      <c r="F87" s="25"/>
      <c r="G87" s="25"/>
      <c r="H87" s="1">
        <f t="shared" si="17"/>
        <v>0</v>
      </c>
      <c r="I87" s="1">
        <f t="shared" si="18"/>
        <v>0</v>
      </c>
      <c r="J87" s="17"/>
    </row>
    <row r="88" spans="1:38" s="3" customFormat="1" x14ac:dyDescent="0.3">
      <c r="A88" s="30">
        <v>78</v>
      </c>
      <c r="B88" s="210" t="s">
        <v>196</v>
      </c>
      <c r="C88" s="1">
        <f t="shared" si="19"/>
        <v>0</v>
      </c>
      <c r="D88" s="137">
        <f>SUM(2+0)</f>
        <v>2</v>
      </c>
      <c r="E88" s="25"/>
      <c r="F88" s="25"/>
      <c r="G88" s="25"/>
      <c r="H88" s="1">
        <f t="shared" si="17"/>
        <v>0</v>
      </c>
      <c r="I88" s="1">
        <f t="shared" si="18"/>
        <v>2</v>
      </c>
      <c r="J88" s="173"/>
    </row>
    <row r="89" spans="1:38" s="3" customFormat="1" ht="15.6" x14ac:dyDescent="0.3">
      <c r="A89" s="1">
        <v>79</v>
      </c>
      <c r="B89" s="210" t="s">
        <v>197</v>
      </c>
      <c r="C89" s="1">
        <f t="shared" si="19"/>
        <v>0</v>
      </c>
      <c r="D89" s="137">
        <f t="shared" si="19"/>
        <v>0</v>
      </c>
      <c r="E89" s="25"/>
      <c r="F89" s="25"/>
      <c r="G89" s="25"/>
      <c r="H89" s="1">
        <f t="shared" si="17"/>
        <v>0</v>
      </c>
      <c r="I89" s="1">
        <f t="shared" si="18"/>
        <v>0</v>
      </c>
      <c r="J89" s="176"/>
    </row>
    <row r="90" spans="1:38" s="3" customFormat="1" x14ac:dyDescent="0.3">
      <c r="A90" s="30">
        <v>80</v>
      </c>
      <c r="B90" s="210" t="s">
        <v>198</v>
      </c>
      <c r="C90" s="1">
        <f t="shared" si="19"/>
        <v>0</v>
      </c>
      <c r="D90" s="137">
        <f t="shared" si="19"/>
        <v>0</v>
      </c>
      <c r="E90" s="25"/>
      <c r="F90" s="25"/>
      <c r="G90" s="25"/>
      <c r="H90" s="1">
        <f t="shared" si="17"/>
        <v>0</v>
      </c>
      <c r="I90" s="1">
        <f t="shared" si="18"/>
        <v>0</v>
      </c>
      <c r="J90" s="177"/>
    </row>
    <row r="91" spans="1:38" s="109" customFormat="1" x14ac:dyDescent="0.3">
      <c r="A91" s="1">
        <v>81</v>
      </c>
      <c r="B91" s="210" t="s">
        <v>199</v>
      </c>
      <c r="C91" s="1">
        <f t="shared" si="19"/>
        <v>0</v>
      </c>
      <c r="D91" s="137">
        <f t="shared" si="19"/>
        <v>0</v>
      </c>
      <c r="E91" s="25"/>
      <c r="F91" s="25"/>
      <c r="G91" s="25"/>
      <c r="H91" s="1">
        <f t="shared" si="17"/>
        <v>0</v>
      </c>
      <c r="I91" s="1">
        <f t="shared" si="18"/>
        <v>0</v>
      </c>
      <c r="J91" s="174"/>
    </row>
    <row r="92" spans="1:38" s="3" customFormat="1" x14ac:dyDescent="0.3">
      <c r="A92" s="30">
        <v>82</v>
      </c>
      <c r="B92" s="210" t="s">
        <v>200</v>
      </c>
      <c r="C92" s="1">
        <f>SUM(1+0)</f>
        <v>1</v>
      </c>
      <c r="D92" s="137">
        <f>SUM(1+0)</f>
        <v>1</v>
      </c>
      <c r="E92" s="25"/>
      <c r="F92" s="25"/>
      <c r="G92" s="25"/>
      <c r="H92" s="1">
        <f t="shared" si="17"/>
        <v>0</v>
      </c>
      <c r="I92" s="1">
        <f t="shared" si="18"/>
        <v>1</v>
      </c>
      <c r="J92" s="162"/>
    </row>
    <row r="93" spans="1:38" s="3" customFormat="1" x14ac:dyDescent="0.3">
      <c r="A93" s="1">
        <v>83</v>
      </c>
      <c r="B93" s="210" t="s">
        <v>201</v>
      </c>
      <c r="C93" s="1">
        <f t="shared" si="19"/>
        <v>0</v>
      </c>
      <c r="D93" s="137">
        <f t="shared" si="19"/>
        <v>0</v>
      </c>
      <c r="E93" s="25"/>
      <c r="F93" s="25"/>
      <c r="G93" s="25"/>
      <c r="H93" s="1">
        <f t="shared" si="17"/>
        <v>0</v>
      </c>
      <c r="I93" s="1">
        <f t="shared" si="18"/>
        <v>0</v>
      </c>
      <c r="J93" s="156"/>
    </row>
    <row r="94" spans="1:38" s="3" customFormat="1" x14ac:dyDescent="0.3">
      <c r="A94" s="30">
        <v>84</v>
      </c>
      <c r="B94" s="210" t="s">
        <v>202</v>
      </c>
      <c r="C94" s="1">
        <f t="shared" si="19"/>
        <v>0</v>
      </c>
      <c r="D94" s="137">
        <f t="shared" si="19"/>
        <v>0</v>
      </c>
      <c r="E94" s="25"/>
      <c r="F94" s="25"/>
      <c r="G94" s="25"/>
      <c r="H94" s="1">
        <f t="shared" si="17"/>
        <v>0</v>
      </c>
      <c r="I94" s="1">
        <f t="shared" si="18"/>
        <v>0</v>
      </c>
      <c r="J94" s="156"/>
    </row>
    <row r="95" spans="1:38" ht="15.6" x14ac:dyDescent="0.3">
      <c r="A95" s="205" t="s">
        <v>65</v>
      </c>
      <c r="C95" s="98"/>
      <c r="D95" s="81"/>
      <c r="E95" s="81"/>
      <c r="F95" s="81"/>
      <c r="G95" s="81"/>
      <c r="J95" s="206"/>
    </row>
    <row r="96" spans="1:38" s="41" customFormat="1" ht="15.6" x14ac:dyDescent="0.3">
      <c r="A96" s="1">
        <v>85</v>
      </c>
      <c r="B96" s="210" t="s">
        <v>203</v>
      </c>
      <c r="C96" s="1">
        <f t="shared" ref="C96:D97" si="20">SUM(0+0)</f>
        <v>0</v>
      </c>
      <c r="D96" s="137">
        <f t="shared" si="20"/>
        <v>0</v>
      </c>
      <c r="E96" s="25"/>
      <c r="F96" s="25"/>
      <c r="G96" s="25"/>
      <c r="H96" s="1">
        <f t="shared" ref="H96:H97" si="21">SUM(E96:G96)</f>
        <v>0</v>
      </c>
      <c r="I96" s="1">
        <f t="shared" ref="I96:I97" si="22">D96-H96</f>
        <v>0</v>
      </c>
      <c r="J96" s="17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row>
    <row r="97" spans="1:10" s="112" customFormat="1" x14ac:dyDescent="0.3">
      <c r="A97" s="1">
        <v>86</v>
      </c>
      <c r="B97" s="210" t="s">
        <v>204</v>
      </c>
      <c r="C97" s="1">
        <f t="shared" si="20"/>
        <v>0</v>
      </c>
      <c r="D97" s="137">
        <f t="shared" si="20"/>
        <v>0</v>
      </c>
      <c r="E97" s="25"/>
      <c r="F97" s="25"/>
      <c r="G97" s="25"/>
      <c r="H97" s="1">
        <f t="shared" si="21"/>
        <v>0</v>
      </c>
      <c r="I97" s="1">
        <f t="shared" si="22"/>
        <v>0</v>
      </c>
      <c r="J97" s="162"/>
    </row>
    <row r="98" spans="1:10" s="3" customFormat="1" ht="15.6" x14ac:dyDescent="0.3">
      <c r="A98" s="41" t="s">
        <v>66</v>
      </c>
      <c r="B98" s="76"/>
      <c r="C98" s="96"/>
      <c r="D98" s="78"/>
      <c r="E98" s="78"/>
      <c r="F98" s="78"/>
      <c r="G98" s="78"/>
      <c r="H98" s="76"/>
      <c r="I98" s="108"/>
      <c r="J98" s="160"/>
    </row>
    <row r="99" spans="1:10" s="3" customFormat="1" x14ac:dyDescent="0.3">
      <c r="A99" s="1">
        <v>87</v>
      </c>
      <c r="B99" s="210" t="s">
        <v>205</v>
      </c>
      <c r="C99" s="1">
        <f t="shared" ref="C99:D137" si="23">SUM(0+0)</f>
        <v>0</v>
      </c>
      <c r="D99" s="137">
        <f t="shared" si="23"/>
        <v>0</v>
      </c>
      <c r="E99" s="25"/>
      <c r="F99" s="25"/>
      <c r="G99" s="25"/>
      <c r="H99" s="1">
        <f t="shared" ref="H99:H137" si="24">SUM(E99:G99)</f>
        <v>0</v>
      </c>
      <c r="I99" s="1">
        <f t="shared" ref="I99:I137" si="25">D99-H99</f>
        <v>0</v>
      </c>
      <c r="J99" s="179"/>
    </row>
    <row r="100" spans="1:10" s="3" customFormat="1" x14ac:dyDescent="0.3">
      <c r="A100" s="1">
        <v>88</v>
      </c>
      <c r="B100" s="210" t="s">
        <v>206</v>
      </c>
      <c r="C100" s="1">
        <f t="shared" si="23"/>
        <v>0</v>
      </c>
      <c r="D100" s="137">
        <f t="shared" si="23"/>
        <v>0</v>
      </c>
      <c r="E100" s="25"/>
      <c r="F100" s="25"/>
      <c r="G100" s="25"/>
      <c r="H100" s="1">
        <f t="shared" si="24"/>
        <v>0</v>
      </c>
      <c r="I100" s="1">
        <f t="shared" si="25"/>
        <v>0</v>
      </c>
      <c r="J100" s="179"/>
    </row>
    <row r="101" spans="1:10" s="3" customFormat="1" x14ac:dyDescent="0.3">
      <c r="A101" s="1">
        <v>89</v>
      </c>
      <c r="B101" s="210" t="s">
        <v>207</v>
      </c>
      <c r="C101" s="1">
        <f t="shared" si="23"/>
        <v>0</v>
      </c>
      <c r="D101" s="137">
        <f t="shared" si="23"/>
        <v>0</v>
      </c>
      <c r="E101" s="25"/>
      <c r="F101" s="25"/>
      <c r="G101" s="25"/>
      <c r="H101" s="1">
        <f t="shared" si="24"/>
        <v>0</v>
      </c>
      <c r="I101" s="1">
        <f t="shared" si="25"/>
        <v>0</v>
      </c>
      <c r="J101" s="180"/>
    </row>
    <row r="102" spans="1:10" s="3" customFormat="1" x14ac:dyDescent="0.3">
      <c r="A102" s="1">
        <v>90</v>
      </c>
      <c r="B102" s="210" t="s">
        <v>208</v>
      </c>
      <c r="C102" s="1">
        <f t="shared" si="23"/>
        <v>0</v>
      </c>
      <c r="D102" s="137">
        <f t="shared" si="23"/>
        <v>0</v>
      </c>
      <c r="E102" s="25"/>
      <c r="F102" s="25"/>
      <c r="G102" s="25"/>
      <c r="H102" s="1">
        <f t="shared" si="24"/>
        <v>0</v>
      </c>
      <c r="I102" s="1">
        <f t="shared" si="25"/>
        <v>0</v>
      </c>
      <c r="J102" s="179"/>
    </row>
    <row r="103" spans="1:10" s="3" customFormat="1" x14ac:dyDescent="0.3">
      <c r="A103" s="1">
        <v>91</v>
      </c>
      <c r="B103" s="210" t="s">
        <v>209</v>
      </c>
      <c r="C103" s="1">
        <f t="shared" si="23"/>
        <v>0</v>
      </c>
      <c r="D103" s="137">
        <f t="shared" si="23"/>
        <v>0</v>
      </c>
      <c r="E103" s="25"/>
      <c r="F103" s="25"/>
      <c r="G103" s="25"/>
      <c r="H103" s="1">
        <f t="shared" si="24"/>
        <v>0</v>
      </c>
      <c r="I103" s="1">
        <f t="shared" si="25"/>
        <v>0</v>
      </c>
      <c r="J103" s="179"/>
    </row>
    <row r="104" spans="1:10" s="3" customFormat="1" x14ac:dyDescent="0.3">
      <c r="A104" s="1">
        <v>92</v>
      </c>
      <c r="B104" s="210" t="s">
        <v>210</v>
      </c>
      <c r="C104" s="1">
        <f t="shared" si="23"/>
        <v>0</v>
      </c>
      <c r="D104" s="137">
        <f t="shared" si="23"/>
        <v>0</v>
      </c>
      <c r="E104" s="25"/>
      <c r="F104" s="25"/>
      <c r="G104" s="25"/>
      <c r="H104" s="1">
        <f t="shared" si="24"/>
        <v>0</v>
      </c>
      <c r="I104" s="1">
        <f t="shared" si="25"/>
        <v>0</v>
      </c>
      <c r="J104" s="17"/>
    </row>
    <row r="105" spans="1:10" s="112" customFormat="1" x14ac:dyDescent="0.3">
      <c r="A105" s="1">
        <v>93</v>
      </c>
      <c r="B105" s="210" t="s">
        <v>211</v>
      </c>
      <c r="C105" s="1">
        <f t="shared" si="23"/>
        <v>0</v>
      </c>
      <c r="D105" s="137">
        <f t="shared" si="23"/>
        <v>0</v>
      </c>
      <c r="E105" s="25"/>
      <c r="F105" s="25"/>
      <c r="G105" s="25"/>
      <c r="H105" s="1">
        <f t="shared" si="24"/>
        <v>0</v>
      </c>
      <c r="I105" s="1">
        <f t="shared" si="25"/>
        <v>0</v>
      </c>
      <c r="J105" s="17"/>
    </row>
    <row r="106" spans="1:10" s="3" customFormat="1" x14ac:dyDescent="0.3">
      <c r="A106" s="1">
        <v>94</v>
      </c>
      <c r="B106" s="210" t="s">
        <v>212</v>
      </c>
      <c r="C106" s="1">
        <f t="shared" si="23"/>
        <v>0</v>
      </c>
      <c r="D106" s="137">
        <f t="shared" si="23"/>
        <v>0</v>
      </c>
      <c r="E106" s="25"/>
      <c r="F106" s="25"/>
      <c r="G106" s="25"/>
      <c r="H106" s="1">
        <f t="shared" si="24"/>
        <v>0</v>
      </c>
      <c r="I106" s="1">
        <f t="shared" si="25"/>
        <v>0</v>
      </c>
      <c r="J106" s="162"/>
    </row>
    <row r="107" spans="1:10" s="3" customFormat="1" x14ac:dyDescent="0.3">
      <c r="A107" s="1">
        <v>95</v>
      </c>
      <c r="B107" s="210" t="s">
        <v>213</v>
      </c>
      <c r="C107" s="1">
        <f t="shared" si="23"/>
        <v>0</v>
      </c>
      <c r="D107" s="137">
        <f t="shared" si="23"/>
        <v>0</v>
      </c>
      <c r="E107" s="25"/>
      <c r="F107" s="25"/>
      <c r="G107" s="25"/>
      <c r="H107" s="1">
        <f t="shared" si="24"/>
        <v>0</v>
      </c>
      <c r="I107" s="1">
        <f t="shared" si="25"/>
        <v>0</v>
      </c>
      <c r="J107" s="17"/>
    </row>
    <row r="108" spans="1:10" s="3" customFormat="1" x14ac:dyDescent="0.3">
      <c r="A108" s="1">
        <v>96</v>
      </c>
      <c r="B108" s="210" t="s">
        <v>214</v>
      </c>
      <c r="C108" s="1">
        <f t="shared" si="23"/>
        <v>0</v>
      </c>
      <c r="D108" s="137">
        <f t="shared" si="23"/>
        <v>0</v>
      </c>
      <c r="E108" s="25"/>
      <c r="F108" s="25"/>
      <c r="G108" s="25"/>
      <c r="H108" s="1">
        <f t="shared" si="24"/>
        <v>0</v>
      </c>
      <c r="I108" s="1">
        <f t="shared" si="25"/>
        <v>0</v>
      </c>
      <c r="J108" s="177"/>
    </row>
    <row r="109" spans="1:10" s="3" customFormat="1" x14ac:dyDescent="0.3">
      <c r="A109" s="1">
        <v>97</v>
      </c>
      <c r="B109" s="210" t="s">
        <v>215</v>
      </c>
      <c r="C109" s="1">
        <f t="shared" si="23"/>
        <v>0</v>
      </c>
      <c r="D109" s="137">
        <f t="shared" si="23"/>
        <v>0</v>
      </c>
      <c r="E109" s="25"/>
      <c r="F109" s="25"/>
      <c r="G109" s="25"/>
      <c r="H109" s="1">
        <f t="shared" si="24"/>
        <v>0</v>
      </c>
      <c r="I109" s="1">
        <f t="shared" si="25"/>
        <v>0</v>
      </c>
      <c r="J109" s="156"/>
    </row>
    <row r="110" spans="1:10" s="3" customFormat="1" ht="15.6" x14ac:dyDescent="0.3">
      <c r="A110" s="1">
        <v>98</v>
      </c>
      <c r="B110" s="210" t="s">
        <v>216</v>
      </c>
      <c r="C110" s="1">
        <f t="shared" si="23"/>
        <v>0</v>
      </c>
      <c r="D110" s="137">
        <f t="shared" si="23"/>
        <v>0</v>
      </c>
      <c r="E110" s="25"/>
      <c r="F110" s="25"/>
      <c r="G110" s="25"/>
      <c r="H110" s="1">
        <f t="shared" si="24"/>
        <v>0</v>
      </c>
      <c r="I110" s="1">
        <f t="shared" si="25"/>
        <v>0</v>
      </c>
      <c r="J110" s="176"/>
    </row>
    <row r="111" spans="1:10" s="18" customFormat="1" ht="16.8" x14ac:dyDescent="0.3">
      <c r="A111" s="1">
        <v>99</v>
      </c>
      <c r="B111" s="210" t="s">
        <v>217</v>
      </c>
      <c r="C111" s="1">
        <f>SUM(0+1)</f>
        <v>1</v>
      </c>
      <c r="D111" s="137">
        <f>SUM(0+1)</f>
        <v>1</v>
      </c>
      <c r="E111" s="25"/>
      <c r="F111" s="25"/>
      <c r="G111" s="25"/>
      <c r="H111" s="1">
        <f t="shared" si="24"/>
        <v>0</v>
      </c>
      <c r="I111" s="1">
        <f t="shared" si="25"/>
        <v>1</v>
      </c>
      <c r="J111" s="181"/>
    </row>
    <row r="112" spans="1:10" s="18" customFormat="1" ht="16.8" x14ac:dyDescent="0.3">
      <c r="A112" s="1">
        <v>100</v>
      </c>
      <c r="B112" s="210" t="s">
        <v>218</v>
      </c>
      <c r="C112" s="1">
        <f t="shared" si="23"/>
        <v>0</v>
      </c>
      <c r="D112" s="137">
        <f t="shared" si="23"/>
        <v>0</v>
      </c>
      <c r="E112" s="25"/>
      <c r="F112" s="25"/>
      <c r="G112" s="25"/>
      <c r="H112" s="1">
        <f t="shared" si="24"/>
        <v>0</v>
      </c>
      <c r="I112" s="1">
        <f t="shared" si="25"/>
        <v>0</v>
      </c>
      <c r="J112" s="182"/>
    </row>
    <row r="113" spans="1:13" s="18" customFormat="1" ht="16.8" x14ac:dyDescent="0.3">
      <c r="A113" s="1">
        <v>101</v>
      </c>
      <c r="B113" s="210" t="s">
        <v>219</v>
      </c>
      <c r="C113" s="1">
        <f>SUM(0+1)</f>
        <v>1</v>
      </c>
      <c r="D113" s="137">
        <f>SUM(0+1)</f>
        <v>1</v>
      </c>
      <c r="E113" s="25"/>
      <c r="F113" s="25"/>
      <c r="G113" s="25"/>
      <c r="H113" s="1">
        <f t="shared" si="24"/>
        <v>0</v>
      </c>
      <c r="I113" s="1">
        <f t="shared" si="25"/>
        <v>1</v>
      </c>
      <c r="J113" s="183" t="s">
        <v>105</v>
      </c>
    </row>
    <row r="114" spans="1:13" s="3" customFormat="1" x14ac:dyDescent="0.3">
      <c r="A114" s="1">
        <v>102</v>
      </c>
      <c r="B114" s="210" t="s">
        <v>220</v>
      </c>
      <c r="C114" s="1">
        <f>SUM(0+1)</f>
        <v>1</v>
      </c>
      <c r="D114" s="137">
        <f>SUM(0+1)</f>
        <v>1</v>
      </c>
      <c r="E114" s="25"/>
      <c r="F114" s="25"/>
      <c r="G114" s="25"/>
      <c r="H114" s="1">
        <f t="shared" si="24"/>
        <v>0</v>
      </c>
      <c r="I114" s="1">
        <f t="shared" si="25"/>
        <v>1</v>
      </c>
      <c r="J114" s="156"/>
    </row>
    <row r="115" spans="1:13" s="3" customFormat="1" x14ac:dyDescent="0.3">
      <c r="A115" s="1">
        <v>103</v>
      </c>
      <c r="B115" s="210" t="s">
        <v>221</v>
      </c>
      <c r="C115" s="1">
        <f t="shared" si="23"/>
        <v>0</v>
      </c>
      <c r="D115" s="137">
        <f t="shared" si="23"/>
        <v>0</v>
      </c>
      <c r="E115" s="25"/>
      <c r="F115" s="25"/>
      <c r="G115" s="25"/>
      <c r="H115" s="1">
        <f t="shared" si="24"/>
        <v>0</v>
      </c>
      <c r="I115" s="1">
        <f t="shared" si="25"/>
        <v>0</v>
      </c>
      <c r="J115" s="157"/>
    </row>
    <row r="116" spans="1:13" s="3" customFormat="1" x14ac:dyDescent="0.3">
      <c r="A116" s="1">
        <v>104</v>
      </c>
      <c r="B116" s="210" t="s">
        <v>222</v>
      </c>
      <c r="C116" s="1">
        <f t="shared" si="23"/>
        <v>0</v>
      </c>
      <c r="D116" s="137">
        <f t="shared" si="23"/>
        <v>0</v>
      </c>
      <c r="E116" s="25"/>
      <c r="F116" s="25"/>
      <c r="G116" s="25"/>
      <c r="H116" s="1">
        <f t="shared" si="24"/>
        <v>0</v>
      </c>
      <c r="I116" s="1">
        <f t="shared" si="25"/>
        <v>0</v>
      </c>
      <c r="J116" s="156"/>
    </row>
    <row r="117" spans="1:13" s="3" customFormat="1" x14ac:dyDescent="0.3">
      <c r="A117" s="1">
        <v>105</v>
      </c>
      <c r="B117" s="210" t="s">
        <v>223</v>
      </c>
      <c r="C117" s="1">
        <f t="shared" si="23"/>
        <v>0</v>
      </c>
      <c r="D117" s="137">
        <f t="shared" si="23"/>
        <v>0</v>
      </c>
      <c r="E117" s="25"/>
      <c r="F117" s="25"/>
      <c r="G117" s="25"/>
      <c r="H117" s="1">
        <f t="shared" si="24"/>
        <v>0</v>
      </c>
      <c r="I117" s="1">
        <f t="shared" si="25"/>
        <v>0</v>
      </c>
      <c r="J117" s="157"/>
    </row>
    <row r="118" spans="1:13" s="3" customFormat="1" x14ac:dyDescent="0.3">
      <c r="A118" s="1">
        <v>106</v>
      </c>
      <c r="B118" s="210" t="s">
        <v>224</v>
      </c>
      <c r="C118" s="1">
        <f t="shared" si="23"/>
        <v>0</v>
      </c>
      <c r="D118" s="137">
        <f t="shared" si="23"/>
        <v>0</v>
      </c>
      <c r="E118" s="25"/>
      <c r="F118" s="25"/>
      <c r="G118" s="25"/>
      <c r="H118" s="1">
        <f t="shared" si="24"/>
        <v>0</v>
      </c>
      <c r="I118" s="1">
        <f t="shared" si="25"/>
        <v>0</v>
      </c>
      <c r="J118" s="156"/>
    </row>
    <row r="119" spans="1:13" s="114" customFormat="1" ht="15.6" x14ac:dyDescent="0.3">
      <c r="A119" s="1">
        <v>107</v>
      </c>
      <c r="B119" s="210" t="s">
        <v>225</v>
      </c>
      <c r="C119" s="1">
        <f t="shared" si="23"/>
        <v>0</v>
      </c>
      <c r="D119" s="137">
        <f t="shared" si="23"/>
        <v>0</v>
      </c>
      <c r="E119" s="25"/>
      <c r="F119" s="25"/>
      <c r="G119" s="25"/>
      <c r="H119" s="1">
        <f t="shared" si="24"/>
        <v>0</v>
      </c>
      <c r="I119" s="1">
        <f t="shared" si="25"/>
        <v>0</v>
      </c>
      <c r="J119" s="183"/>
      <c r="M119" s="115"/>
    </row>
    <row r="120" spans="1:13" s="12" customFormat="1" ht="15.6" x14ac:dyDescent="0.3">
      <c r="A120" s="25">
        <v>108</v>
      </c>
      <c r="B120" s="210" t="s">
        <v>226</v>
      </c>
      <c r="C120" s="1">
        <f t="shared" si="23"/>
        <v>0</v>
      </c>
      <c r="D120" s="137">
        <f t="shared" si="23"/>
        <v>0</v>
      </c>
      <c r="E120" s="25"/>
      <c r="F120" s="25"/>
      <c r="G120" s="25"/>
      <c r="H120" s="1">
        <f t="shared" si="24"/>
        <v>0</v>
      </c>
      <c r="I120" s="1">
        <f t="shared" si="25"/>
        <v>0</v>
      </c>
      <c r="J120" s="183"/>
      <c r="M120" s="13"/>
    </row>
    <row r="121" spans="1:13" s="12" customFormat="1" ht="15.6" x14ac:dyDescent="0.3">
      <c r="A121" s="25">
        <v>109</v>
      </c>
      <c r="B121" s="210" t="s">
        <v>227</v>
      </c>
      <c r="C121" s="1">
        <f t="shared" si="23"/>
        <v>0</v>
      </c>
      <c r="D121" s="137">
        <f t="shared" si="23"/>
        <v>0</v>
      </c>
      <c r="E121" s="25"/>
      <c r="F121" s="25"/>
      <c r="G121" s="25"/>
      <c r="H121" s="1">
        <f t="shared" si="24"/>
        <v>0</v>
      </c>
      <c r="I121" s="1">
        <f t="shared" si="25"/>
        <v>0</v>
      </c>
      <c r="J121" s="183"/>
      <c r="M121" s="13"/>
    </row>
    <row r="122" spans="1:13" s="12" customFormat="1" ht="15.6" x14ac:dyDescent="0.3">
      <c r="A122" s="25">
        <v>110</v>
      </c>
      <c r="B122" s="210" t="s">
        <v>228</v>
      </c>
      <c r="C122" s="1">
        <f>SUM(0+1)</f>
        <v>1</v>
      </c>
      <c r="D122" s="137">
        <f t="shared" si="23"/>
        <v>0</v>
      </c>
      <c r="E122" s="25"/>
      <c r="F122" s="25"/>
      <c r="G122" s="25"/>
      <c r="H122" s="1">
        <f t="shared" si="24"/>
        <v>0</v>
      </c>
      <c r="I122" s="1">
        <f t="shared" si="25"/>
        <v>0</v>
      </c>
      <c r="J122" s="183"/>
      <c r="M122" s="13"/>
    </row>
    <row r="123" spans="1:13" s="12" customFormat="1" ht="15.6" x14ac:dyDescent="0.3">
      <c r="A123" s="25">
        <v>111</v>
      </c>
      <c r="B123" s="210" t="s">
        <v>229</v>
      </c>
      <c r="C123" s="1">
        <f>SUM(0+1)</f>
        <v>1</v>
      </c>
      <c r="D123" s="137">
        <f t="shared" si="23"/>
        <v>0</v>
      </c>
      <c r="E123" s="25"/>
      <c r="F123" s="25"/>
      <c r="G123" s="25"/>
      <c r="H123" s="1">
        <f t="shared" si="24"/>
        <v>0</v>
      </c>
      <c r="I123" s="1">
        <f t="shared" si="25"/>
        <v>0</v>
      </c>
      <c r="J123" s="183"/>
      <c r="M123" s="13"/>
    </row>
    <row r="124" spans="1:13" s="12" customFormat="1" ht="15.6" x14ac:dyDescent="0.3">
      <c r="A124" s="25">
        <v>112</v>
      </c>
      <c r="B124" s="210" t="s">
        <v>230</v>
      </c>
      <c r="C124" s="1">
        <f t="shared" si="23"/>
        <v>0</v>
      </c>
      <c r="D124" s="137">
        <f t="shared" si="23"/>
        <v>0</v>
      </c>
      <c r="E124" s="25"/>
      <c r="F124" s="25"/>
      <c r="G124" s="25"/>
      <c r="H124" s="1">
        <f t="shared" si="24"/>
        <v>0</v>
      </c>
      <c r="I124" s="1">
        <f t="shared" si="25"/>
        <v>0</v>
      </c>
      <c r="J124" s="183"/>
      <c r="M124" s="13"/>
    </row>
    <row r="125" spans="1:13" s="12" customFormat="1" ht="15.6" x14ac:dyDescent="0.3">
      <c r="A125" s="25">
        <v>113</v>
      </c>
      <c r="B125" s="210" t="s">
        <v>231</v>
      </c>
      <c r="C125" s="1">
        <f>SUM(0+2)</f>
        <v>2</v>
      </c>
      <c r="D125" s="137">
        <f t="shared" si="23"/>
        <v>0</v>
      </c>
      <c r="E125" s="25"/>
      <c r="F125" s="25"/>
      <c r="G125" s="25"/>
      <c r="H125" s="1">
        <f t="shared" si="24"/>
        <v>0</v>
      </c>
      <c r="I125" s="1">
        <f t="shared" si="25"/>
        <v>0</v>
      </c>
      <c r="J125" s="183"/>
      <c r="M125" s="13"/>
    </row>
    <row r="126" spans="1:13" s="12" customFormat="1" ht="15.6" x14ac:dyDescent="0.3">
      <c r="A126" s="25">
        <v>114</v>
      </c>
      <c r="B126" s="210" t="s">
        <v>232</v>
      </c>
      <c r="C126" s="1">
        <f>SUM(0+2)</f>
        <v>2</v>
      </c>
      <c r="D126" s="137">
        <f t="shared" si="23"/>
        <v>0</v>
      </c>
      <c r="E126" s="25"/>
      <c r="F126" s="25"/>
      <c r="G126" s="25"/>
      <c r="H126" s="1">
        <f t="shared" si="24"/>
        <v>0</v>
      </c>
      <c r="I126" s="1">
        <f t="shared" si="25"/>
        <v>0</v>
      </c>
      <c r="J126" s="183"/>
      <c r="M126" s="13"/>
    </row>
    <row r="127" spans="1:13" s="12" customFormat="1" ht="15.6" x14ac:dyDescent="0.3">
      <c r="A127" s="25">
        <v>115</v>
      </c>
      <c r="B127" s="210" t="s">
        <v>233</v>
      </c>
      <c r="C127" s="1">
        <f t="shared" si="23"/>
        <v>0</v>
      </c>
      <c r="D127" s="137">
        <f t="shared" si="23"/>
        <v>0</v>
      </c>
      <c r="E127" s="25"/>
      <c r="F127" s="25"/>
      <c r="G127" s="25"/>
      <c r="H127" s="1">
        <f t="shared" si="24"/>
        <v>0</v>
      </c>
      <c r="I127" s="1">
        <f t="shared" si="25"/>
        <v>0</v>
      </c>
      <c r="J127" s="183"/>
      <c r="M127" s="13"/>
    </row>
    <row r="128" spans="1:13" s="12" customFormat="1" ht="15.6" x14ac:dyDescent="0.3">
      <c r="A128" s="25">
        <v>116</v>
      </c>
      <c r="B128" s="210" t="s">
        <v>234</v>
      </c>
      <c r="C128" s="1">
        <f>SUM(0+2)</f>
        <v>2</v>
      </c>
      <c r="D128" s="137">
        <f>SUM(0+1)</f>
        <v>1</v>
      </c>
      <c r="E128" s="25"/>
      <c r="F128" s="25"/>
      <c r="G128" s="25"/>
      <c r="H128" s="1">
        <f t="shared" si="24"/>
        <v>0</v>
      </c>
      <c r="I128" s="1">
        <f t="shared" si="25"/>
        <v>1</v>
      </c>
      <c r="J128" s="183" t="s">
        <v>83</v>
      </c>
      <c r="M128" s="13"/>
    </row>
    <row r="129" spans="1:13" s="12" customFormat="1" ht="15.6" x14ac:dyDescent="0.3">
      <c r="A129" s="25">
        <v>117</v>
      </c>
      <c r="B129" s="210" t="s">
        <v>235</v>
      </c>
      <c r="C129" s="1">
        <f t="shared" si="23"/>
        <v>0</v>
      </c>
      <c r="D129" s="137">
        <f t="shared" si="23"/>
        <v>0</v>
      </c>
      <c r="E129" s="25"/>
      <c r="F129" s="25"/>
      <c r="G129" s="25"/>
      <c r="H129" s="1">
        <f t="shared" si="24"/>
        <v>0</v>
      </c>
      <c r="I129" s="1">
        <f t="shared" si="25"/>
        <v>0</v>
      </c>
      <c r="J129" s="183"/>
      <c r="M129" s="13"/>
    </row>
    <row r="130" spans="1:13" s="12" customFormat="1" ht="15.6" x14ac:dyDescent="0.3">
      <c r="A130" s="25">
        <v>118</v>
      </c>
      <c r="B130" s="210" t="s">
        <v>236</v>
      </c>
      <c r="C130" s="1">
        <f t="shared" si="23"/>
        <v>0</v>
      </c>
      <c r="D130" s="137">
        <f>SUM(0+1)</f>
        <v>1</v>
      </c>
      <c r="E130" s="25"/>
      <c r="F130" s="25"/>
      <c r="G130" s="25"/>
      <c r="H130" s="1">
        <f t="shared" si="24"/>
        <v>0</v>
      </c>
      <c r="I130" s="1">
        <f t="shared" si="25"/>
        <v>1</v>
      </c>
      <c r="J130" s="183"/>
      <c r="M130" s="13"/>
    </row>
    <row r="131" spans="1:13" s="12" customFormat="1" ht="15.6" x14ac:dyDescent="0.3">
      <c r="A131" s="25">
        <v>119</v>
      </c>
      <c r="B131" s="210" t="s">
        <v>237</v>
      </c>
      <c r="C131" s="1">
        <f t="shared" si="23"/>
        <v>0</v>
      </c>
      <c r="D131" s="137">
        <f t="shared" si="23"/>
        <v>0</v>
      </c>
      <c r="E131" s="25"/>
      <c r="F131" s="25"/>
      <c r="G131" s="25"/>
      <c r="H131" s="1">
        <f t="shared" si="24"/>
        <v>0</v>
      </c>
      <c r="I131" s="1">
        <f t="shared" si="25"/>
        <v>0</v>
      </c>
      <c r="J131" s="183"/>
      <c r="M131" s="13"/>
    </row>
    <row r="132" spans="1:13" s="12" customFormat="1" ht="15.6" x14ac:dyDescent="0.3">
      <c r="A132" s="25">
        <v>120</v>
      </c>
      <c r="B132" s="210" t="s">
        <v>238</v>
      </c>
      <c r="C132" s="1">
        <f t="shared" si="23"/>
        <v>0</v>
      </c>
      <c r="D132" s="137">
        <f t="shared" si="23"/>
        <v>0</v>
      </c>
      <c r="E132" s="25"/>
      <c r="F132" s="25"/>
      <c r="G132" s="25"/>
      <c r="H132" s="1">
        <f t="shared" si="24"/>
        <v>0</v>
      </c>
      <c r="I132" s="1">
        <f t="shared" si="25"/>
        <v>0</v>
      </c>
      <c r="J132" s="183"/>
      <c r="M132" s="13"/>
    </row>
    <row r="133" spans="1:13" s="12" customFormat="1" ht="15.6" x14ac:dyDescent="0.3">
      <c r="A133" s="25">
        <v>121</v>
      </c>
      <c r="B133" s="210" t="s">
        <v>239</v>
      </c>
      <c r="C133" s="1">
        <f t="shared" si="23"/>
        <v>0</v>
      </c>
      <c r="D133" s="137">
        <f t="shared" si="23"/>
        <v>0</v>
      </c>
      <c r="E133" s="25"/>
      <c r="F133" s="25"/>
      <c r="G133" s="25"/>
      <c r="H133" s="1">
        <f t="shared" si="24"/>
        <v>0</v>
      </c>
      <c r="I133" s="1">
        <f t="shared" si="25"/>
        <v>0</v>
      </c>
      <c r="J133" s="183"/>
      <c r="M133" s="13"/>
    </row>
    <row r="134" spans="1:13" s="12" customFormat="1" ht="15.6" x14ac:dyDescent="0.3">
      <c r="A134" s="25">
        <v>122</v>
      </c>
      <c r="B134" s="210" t="s">
        <v>240</v>
      </c>
      <c r="C134" s="1">
        <f t="shared" si="23"/>
        <v>0</v>
      </c>
      <c r="D134" s="137">
        <f t="shared" si="23"/>
        <v>0</v>
      </c>
      <c r="E134" s="25"/>
      <c r="F134" s="25"/>
      <c r="G134" s="25"/>
      <c r="H134" s="1">
        <f t="shared" si="24"/>
        <v>0</v>
      </c>
      <c r="I134" s="1">
        <f t="shared" si="25"/>
        <v>0</v>
      </c>
      <c r="J134" s="183"/>
      <c r="M134" s="13"/>
    </row>
    <row r="135" spans="1:13" s="12" customFormat="1" ht="15.6" x14ac:dyDescent="0.3">
      <c r="A135" s="25">
        <v>123</v>
      </c>
      <c r="B135" s="210" t="s">
        <v>241</v>
      </c>
      <c r="C135" s="1">
        <f t="shared" si="23"/>
        <v>0</v>
      </c>
      <c r="D135" s="137">
        <f t="shared" si="23"/>
        <v>0</v>
      </c>
      <c r="E135" s="25"/>
      <c r="F135" s="25"/>
      <c r="G135" s="25"/>
      <c r="H135" s="1">
        <f t="shared" si="24"/>
        <v>0</v>
      </c>
      <c r="I135" s="1">
        <f t="shared" si="25"/>
        <v>0</v>
      </c>
      <c r="J135" s="183"/>
      <c r="M135" s="13"/>
    </row>
    <row r="136" spans="1:13" s="12" customFormat="1" ht="15.6" x14ac:dyDescent="0.3">
      <c r="A136" s="25">
        <v>124</v>
      </c>
      <c r="B136" s="210" t="s">
        <v>242</v>
      </c>
      <c r="C136" s="1">
        <f t="shared" si="23"/>
        <v>0</v>
      </c>
      <c r="D136" s="137">
        <f t="shared" si="23"/>
        <v>0</v>
      </c>
      <c r="E136" s="25"/>
      <c r="F136" s="25"/>
      <c r="G136" s="25"/>
      <c r="H136" s="1">
        <f t="shared" si="24"/>
        <v>0</v>
      </c>
      <c r="I136" s="1">
        <f t="shared" si="25"/>
        <v>0</v>
      </c>
      <c r="J136" s="183"/>
      <c r="M136" s="13"/>
    </row>
    <row r="137" spans="1:13" s="12" customFormat="1" ht="15.6" x14ac:dyDescent="0.3">
      <c r="A137" s="25">
        <v>125</v>
      </c>
      <c r="B137" s="210" t="s">
        <v>243</v>
      </c>
      <c r="C137" s="1">
        <f t="shared" si="23"/>
        <v>0</v>
      </c>
      <c r="D137" s="137">
        <f t="shared" si="23"/>
        <v>0</v>
      </c>
      <c r="E137" s="25"/>
      <c r="F137" s="25"/>
      <c r="G137" s="25"/>
      <c r="H137" s="1">
        <f t="shared" si="24"/>
        <v>0</v>
      </c>
      <c r="I137" s="1">
        <f t="shared" si="25"/>
        <v>0</v>
      </c>
      <c r="J137" s="183"/>
      <c r="M137" s="13"/>
    </row>
  </sheetData>
  <mergeCells count="4">
    <mergeCell ref="A1:J1"/>
    <mergeCell ref="E2:H2"/>
    <mergeCell ref="C2:D2"/>
    <mergeCell ref="A73:B73"/>
  </mergeCells>
  <pageMargins left="0.70866141732283472" right="0.31496062992125984" top="0.51181102362204722" bottom="0.23622047244094491" header="0.31496062992125984" footer="0.15748031496062992"/>
  <pageSetup paperSize="9" scale="61" fitToHeight="0" orientation="portrait" r:id="rId1"/>
  <headerFooter differentFirst="1">
    <oddHeader>&amp;C&amp;"Arial,Regular"&amp;12&amp;P</oddHeader>
  </headerFooter>
  <rowBreaks count="1" manualBreakCount="1">
    <brk id="72"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7216"/>
    <pageSetUpPr fitToPage="1"/>
  </sheetPr>
  <dimension ref="A1:AA229"/>
  <sheetViews>
    <sheetView view="pageBreakPreview" zoomScale="80" zoomScaleNormal="100" zoomScaleSheetLayoutView="80" workbookViewId="0">
      <pane ySplit="3" topLeftCell="A204" activePane="bottomLeft" state="frozen"/>
      <selection activeCell="G31" sqref="G31"/>
      <selection pane="bottomLeft" activeCell="A230" sqref="A230:XFD230"/>
    </sheetView>
  </sheetViews>
  <sheetFormatPr defaultColWidth="9.109375" defaultRowHeight="15" x14ac:dyDescent="0.25"/>
  <cols>
    <col min="1" max="1" width="4.88671875" style="9" customWidth="1"/>
    <col min="2" max="2" width="53" style="2" customWidth="1"/>
    <col min="3" max="3" width="9" style="8" customWidth="1"/>
    <col min="4" max="4" width="6.33203125" style="8" bestFit="1" customWidth="1"/>
    <col min="5" max="5" width="6.44140625" style="8" bestFit="1" customWidth="1"/>
    <col min="6" max="6" width="4.6640625" style="8" bestFit="1" customWidth="1"/>
    <col min="7" max="7" width="4.88671875" style="8" bestFit="1" customWidth="1"/>
    <col min="8" max="8" width="7.109375" style="8" bestFit="1" customWidth="1"/>
    <col min="9" max="9" width="6.33203125" style="8" bestFit="1" customWidth="1"/>
    <col min="10" max="10" width="34" style="8" customWidth="1"/>
    <col min="11" max="27" width="9.109375" style="8" customWidth="1"/>
    <col min="28" max="16384" width="9.109375" style="8"/>
  </cols>
  <sheetData>
    <row r="1" spans="1:27" ht="36.75" customHeight="1" x14ac:dyDescent="0.25">
      <c r="A1" s="229" t="s">
        <v>77</v>
      </c>
      <c r="B1" s="229"/>
      <c r="C1" s="229"/>
      <c r="D1" s="229"/>
      <c r="E1" s="229"/>
      <c r="F1" s="229"/>
      <c r="G1" s="229"/>
      <c r="H1" s="229"/>
      <c r="I1" s="229"/>
      <c r="J1" s="229"/>
    </row>
    <row r="2" spans="1:27" s="6" customFormat="1" ht="46.8" x14ac:dyDescent="0.25">
      <c r="A2" s="145" t="s">
        <v>55</v>
      </c>
      <c r="B2" s="208" t="s">
        <v>14</v>
      </c>
      <c r="C2" s="46" t="s">
        <v>17</v>
      </c>
      <c r="D2" s="146"/>
      <c r="E2" s="238" t="s">
        <v>31</v>
      </c>
      <c r="F2" s="239"/>
      <c r="G2" s="240"/>
      <c r="H2" s="145" t="s">
        <v>18</v>
      </c>
      <c r="I2" s="146" t="s">
        <v>33</v>
      </c>
      <c r="J2" s="145" t="s">
        <v>81</v>
      </c>
    </row>
    <row r="3" spans="1:27" s="6" customFormat="1" ht="31.2" x14ac:dyDescent="0.25">
      <c r="A3" s="68"/>
      <c r="B3" s="208"/>
      <c r="C3" s="107" t="s">
        <v>25</v>
      </c>
      <c r="D3" s="107" t="s">
        <v>26</v>
      </c>
      <c r="E3" s="140" t="s">
        <v>34</v>
      </c>
      <c r="F3" s="140" t="s">
        <v>35</v>
      </c>
      <c r="G3" s="140" t="s">
        <v>38</v>
      </c>
      <c r="H3" s="147"/>
      <c r="I3" s="148"/>
      <c r="J3" s="148"/>
      <c r="K3" s="8"/>
      <c r="L3" s="8"/>
      <c r="M3" s="8"/>
      <c r="N3" s="8"/>
      <c r="O3" s="8"/>
      <c r="P3" s="8"/>
      <c r="Q3" s="8"/>
      <c r="R3" s="8"/>
      <c r="S3" s="8"/>
      <c r="T3" s="8"/>
      <c r="U3" s="8"/>
      <c r="V3" s="8"/>
      <c r="W3" s="8"/>
      <c r="X3" s="8"/>
      <c r="Y3" s="8"/>
      <c r="Z3" s="8"/>
      <c r="AA3" s="8"/>
    </row>
    <row r="4" spans="1:27" x14ac:dyDescent="0.25">
      <c r="A4" s="1" t="s">
        <v>1</v>
      </c>
      <c r="B4" s="30" t="s">
        <v>2</v>
      </c>
      <c r="C4" s="1" t="s">
        <v>3</v>
      </c>
      <c r="D4" s="1" t="s">
        <v>4</v>
      </c>
      <c r="E4" s="1" t="s">
        <v>5</v>
      </c>
      <c r="F4" s="1" t="s">
        <v>6</v>
      </c>
      <c r="G4" s="1" t="s">
        <v>7</v>
      </c>
      <c r="H4" s="1" t="s">
        <v>8</v>
      </c>
      <c r="I4" s="1" t="s">
        <v>9</v>
      </c>
      <c r="J4" s="1" t="s">
        <v>10</v>
      </c>
    </row>
    <row r="5" spans="1:27" ht="15.6" x14ac:dyDescent="0.25">
      <c r="A5" s="236" t="s">
        <v>67</v>
      </c>
      <c r="B5" s="237"/>
      <c r="C5" s="237"/>
      <c r="D5" s="237"/>
      <c r="E5" s="237"/>
      <c r="F5" s="237"/>
      <c r="G5" s="237"/>
      <c r="H5" s="237"/>
      <c r="I5" s="237"/>
      <c r="J5" s="241"/>
    </row>
    <row r="6" spans="1:27" ht="15.6" x14ac:dyDescent="0.25">
      <c r="A6" s="105" t="s">
        <v>68</v>
      </c>
      <c r="B6" s="104"/>
      <c r="C6" s="104"/>
      <c r="D6" s="104"/>
      <c r="E6" s="104"/>
      <c r="F6" s="104"/>
      <c r="G6" s="104"/>
      <c r="H6" s="104"/>
      <c r="I6" s="104"/>
      <c r="J6" s="106"/>
    </row>
    <row r="7" spans="1:27" ht="15.6" x14ac:dyDescent="0.25">
      <c r="A7" s="30">
        <v>1</v>
      </c>
      <c r="B7" s="212" t="s">
        <v>244</v>
      </c>
      <c r="C7" s="1">
        <f>SUM(0+0)</f>
        <v>0</v>
      </c>
      <c r="D7" s="25">
        <f>SUM(0+0)</f>
        <v>0</v>
      </c>
      <c r="E7" s="25"/>
      <c r="F7" s="25"/>
      <c r="G7" s="25"/>
      <c r="H7" s="1">
        <f>SUM(E7:G7)</f>
        <v>0</v>
      </c>
      <c r="I7" s="1">
        <f>D7-H7</f>
        <v>0</v>
      </c>
      <c r="J7" s="49"/>
    </row>
    <row r="8" spans="1:27" s="118" customFormat="1" ht="15.6" x14ac:dyDescent="0.25">
      <c r="A8" s="1">
        <v>2</v>
      </c>
      <c r="B8" s="212" t="s">
        <v>245</v>
      </c>
      <c r="C8" s="1">
        <f t="shared" ref="C8:D23" si="0">SUM(0+0)</f>
        <v>0</v>
      </c>
      <c r="D8" s="25">
        <f t="shared" si="0"/>
        <v>0</v>
      </c>
      <c r="E8" s="25"/>
      <c r="F8" s="25"/>
      <c r="G8" s="25"/>
      <c r="H8" s="1">
        <f t="shared" ref="H8:H11" si="1">SUM(E8:G8)</f>
        <v>0</v>
      </c>
      <c r="I8" s="1">
        <f t="shared" ref="I8:I11" si="2">D8-H8</f>
        <v>0</v>
      </c>
      <c r="J8" s="49"/>
    </row>
    <row r="9" spans="1:27" ht="15.6" x14ac:dyDescent="0.25">
      <c r="A9" s="30">
        <v>3</v>
      </c>
      <c r="B9" s="212" t="s">
        <v>246</v>
      </c>
      <c r="C9" s="1">
        <f t="shared" si="0"/>
        <v>0</v>
      </c>
      <c r="D9" s="25">
        <f t="shared" si="0"/>
        <v>0</v>
      </c>
      <c r="E9" s="25"/>
      <c r="F9" s="25"/>
      <c r="G9" s="25"/>
      <c r="H9" s="1">
        <f t="shared" si="1"/>
        <v>0</v>
      </c>
      <c r="I9" s="1">
        <f t="shared" si="2"/>
        <v>0</v>
      </c>
      <c r="J9" s="49"/>
    </row>
    <row r="10" spans="1:27" ht="15.6" x14ac:dyDescent="0.25">
      <c r="A10" s="1">
        <v>4</v>
      </c>
      <c r="B10" s="212" t="s">
        <v>247</v>
      </c>
      <c r="C10" s="1">
        <f t="shared" si="0"/>
        <v>0</v>
      </c>
      <c r="D10" s="25">
        <f t="shared" si="0"/>
        <v>0</v>
      </c>
      <c r="E10" s="25"/>
      <c r="F10" s="25"/>
      <c r="G10" s="25"/>
      <c r="H10" s="1">
        <f t="shared" si="1"/>
        <v>0</v>
      </c>
      <c r="I10" s="1">
        <f t="shared" si="2"/>
        <v>0</v>
      </c>
      <c r="J10" s="35"/>
    </row>
    <row r="11" spans="1:27" ht="15.6" x14ac:dyDescent="0.25">
      <c r="A11" s="1">
        <v>5</v>
      </c>
      <c r="B11" s="212" t="s">
        <v>248</v>
      </c>
      <c r="C11" s="1">
        <f t="shared" si="0"/>
        <v>0</v>
      </c>
      <c r="D11" s="25">
        <f t="shared" si="0"/>
        <v>0</v>
      </c>
      <c r="E11" s="25"/>
      <c r="F11" s="25"/>
      <c r="G11" s="25"/>
      <c r="H11" s="1">
        <f t="shared" si="1"/>
        <v>0</v>
      </c>
      <c r="I11" s="1">
        <f t="shared" si="2"/>
        <v>0</v>
      </c>
      <c r="J11" s="25"/>
    </row>
    <row r="12" spans="1:27" ht="15.6" x14ac:dyDescent="0.25">
      <c r="A12" s="41" t="s">
        <v>57</v>
      </c>
      <c r="B12" s="76"/>
      <c r="C12" s="78"/>
      <c r="D12" s="78"/>
      <c r="E12" s="78"/>
      <c r="F12" s="78"/>
      <c r="G12" s="78"/>
      <c r="H12" s="76"/>
      <c r="I12" s="76"/>
      <c r="J12" s="79"/>
    </row>
    <row r="13" spans="1:27" s="118" customFormat="1" x14ac:dyDescent="0.25">
      <c r="A13" s="30">
        <v>6</v>
      </c>
      <c r="B13" s="213" t="s">
        <v>249</v>
      </c>
      <c r="C13" s="1">
        <f t="shared" si="0"/>
        <v>0</v>
      </c>
      <c r="D13" s="25">
        <f t="shared" si="0"/>
        <v>0</v>
      </c>
      <c r="E13" s="25"/>
      <c r="F13" s="25"/>
      <c r="G13" s="25"/>
      <c r="H13" s="1">
        <f t="shared" ref="H13:H14" si="3">SUM(E13:G13)</f>
        <v>0</v>
      </c>
      <c r="I13" s="1">
        <f t="shared" ref="I13:I14" si="4">D13-H13</f>
        <v>0</v>
      </c>
      <c r="J13" s="116"/>
    </row>
    <row r="14" spans="1:27" s="118" customFormat="1" x14ac:dyDescent="0.25">
      <c r="A14" s="30">
        <v>7</v>
      </c>
      <c r="B14" s="213" t="s">
        <v>250</v>
      </c>
      <c r="C14" s="1">
        <f t="shared" si="0"/>
        <v>0</v>
      </c>
      <c r="D14" s="25">
        <f t="shared" si="0"/>
        <v>0</v>
      </c>
      <c r="E14" s="25"/>
      <c r="F14" s="25"/>
      <c r="G14" s="25"/>
      <c r="H14" s="1">
        <f t="shared" si="3"/>
        <v>0</v>
      </c>
      <c r="I14" s="1">
        <f t="shared" si="4"/>
        <v>0</v>
      </c>
      <c r="J14" s="117"/>
    </row>
    <row r="15" spans="1:27" ht="15.6" x14ac:dyDescent="0.25">
      <c r="A15" s="41" t="s">
        <v>56</v>
      </c>
      <c r="B15" s="76"/>
      <c r="C15" s="78"/>
      <c r="D15" s="78"/>
      <c r="E15" s="78"/>
      <c r="F15" s="78"/>
      <c r="G15" s="78"/>
      <c r="H15" s="76"/>
      <c r="I15" s="76"/>
      <c r="J15" s="79"/>
    </row>
    <row r="16" spans="1:27" s="119" customFormat="1" x14ac:dyDescent="0.3">
      <c r="A16" s="1">
        <v>8</v>
      </c>
      <c r="B16" s="213" t="s">
        <v>251</v>
      </c>
      <c r="C16" s="1">
        <f t="shared" si="0"/>
        <v>0</v>
      </c>
      <c r="D16" s="25">
        <f t="shared" si="0"/>
        <v>0</v>
      </c>
      <c r="E16" s="25"/>
      <c r="F16" s="25"/>
      <c r="G16" s="25"/>
      <c r="H16" s="1">
        <f t="shared" ref="H16:H24" si="5">SUM(E16:G16)</f>
        <v>0</v>
      </c>
      <c r="I16" s="1">
        <f t="shared" ref="I16:I24" si="6">D16-H16</f>
        <v>0</v>
      </c>
      <c r="J16" s="110"/>
    </row>
    <row r="17" spans="1:10" s="118" customFormat="1" x14ac:dyDescent="0.25">
      <c r="A17" s="1">
        <v>9</v>
      </c>
      <c r="B17" s="213" t="s">
        <v>252</v>
      </c>
      <c r="C17" s="1">
        <f t="shared" si="0"/>
        <v>0</v>
      </c>
      <c r="D17" s="25">
        <f t="shared" si="0"/>
        <v>0</v>
      </c>
      <c r="E17" s="25"/>
      <c r="F17" s="25"/>
      <c r="G17" s="25"/>
      <c r="H17" s="1">
        <f t="shared" si="5"/>
        <v>0</v>
      </c>
      <c r="I17" s="1">
        <f t="shared" si="6"/>
        <v>0</v>
      </c>
      <c r="J17" s="32"/>
    </row>
    <row r="18" spans="1:10" x14ac:dyDescent="0.25">
      <c r="A18" s="1">
        <v>10</v>
      </c>
      <c r="B18" s="213" t="s">
        <v>253</v>
      </c>
      <c r="C18" s="1">
        <f t="shared" si="0"/>
        <v>0</v>
      </c>
      <c r="D18" s="25">
        <f t="shared" si="0"/>
        <v>0</v>
      </c>
      <c r="E18" s="25"/>
      <c r="F18" s="25"/>
      <c r="G18" s="25"/>
      <c r="H18" s="1">
        <f t="shared" si="5"/>
        <v>0</v>
      </c>
      <c r="I18" s="1">
        <f t="shared" si="6"/>
        <v>0</v>
      </c>
      <c r="J18" s="25"/>
    </row>
    <row r="19" spans="1:10" x14ac:dyDescent="0.25">
      <c r="A19" s="1">
        <v>11</v>
      </c>
      <c r="B19" s="213" t="s">
        <v>254</v>
      </c>
      <c r="C19" s="1">
        <f t="shared" si="0"/>
        <v>0</v>
      </c>
      <c r="D19" s="25">
        <f t="shared" si="0"/>
        <v>0</v>
      </c>
      <c r="E19" s="25"/>
      <c r="F19" s="25"/>
      <c r="G19" s="25"/>
      <c r="H19" s="1">
        <f t="shared" si="5"/>
        <v>0</v>
      </c>
      <c r="I19" s="1">
        <f t="shared" si="6"/>
        <v>0</v>
      </c>
      <c r="J19" s="35"/>
    </row>
    <row r="20" spans="1:10" ht="15.6" x14ac:dyDescent="0.25">
      <c r="A20" s="1">
        <v>12</v>
      </c>
      <c r="B20" s="213" t="s">
        <v>255</v>
      </c>
      <c r="C20" s="1">
        <f t="shared" si="0"/>
        <v>0</v>
      </c>
      <c r="D20" s="25">
        <f t="shared" si="0"/>
        <v>0</v>
      </c>
      <c r="E20" s="25"/>
      <c r="F20" s="25"/>
      <c r="G20" s="25"/>
      <c r="H20" s="1">
        <f t="shared" si="5"/>
        <v>0</v>
      </c>
      <c r="I20" s="1">
        <f t="shared" si="6"/>
        <v>0</v>
      </c>
      <c r="J20" s="43"/>
    </row>
    <row r="21" spans="1:10" ht="15.6" x14ac:dyDescent="0.25">
      <c r="A21" s="1">
        <v>13</v>
      </c>
      <c r="B21" s="213" t="s">
        <v>256</v>
      </c>
      <c r="C21" s="1">
        <f t="shared" si="0"/>
        <v>0</v>
      </c>
      <c r="D21" s="25">
        <f t="shared" si="0"/>
        <v>0</v>
      </c>
      <c r="E21" s="25"/>
      <c r="F21" s="25"/>
      <c r="G21" s="25"/>
      <c r="H21" s="1">
        <f t="shared" si="5"/>
        <v>0</v>
      </c>
      <c r="I21" s="1">
        <f t="shared" si="6"/>
        <v>0</v>
      </c>
      <c r="J21" s="43"/>
    </row>
    <row r="22" spans="1:10" s="120" customFormat="1" x14ac:dyDescent="0.3">
      <c r="A22" s="1">
        <v>14</v>
      </c>
      <c r="B22" s="213" t="s">
        <v>257</v>
      </c>
      <c r="C22" s="1">
        <f t="shared" si="0"/>
        <v>0</v>
      </c>
      <c r="D22" s="25">
        <f t="shared" si="0"/>
        <v>0</v>
      </c>
      <c r="E22" s="25"/>
      <c r="F22" s="25"/>
      <c r="G22" s="25"/>
      <c r="H22" s="1">
        <f t="shared" si="5"/>
        <v>0</v>
      </c>
      <c r="I22" s="1">
        <f t="shared" si="6"/>
        <v>0</v>
      </c>
      <c r="J22" s="123"/>
    </row>
    <row r="23" spans="1:10" s="64" customFormat="1" x14ac:dyDescent="0.3">
      <c r="A23" s="1">
        <v>15</v>
      </c>
      <c r="B23" s="213" t="s">
        <v>258</v>
      </c>
      <c r="C23" s="1">
        <f t="shared" si="0"/>
        <v>0</v>
      </c>
      <c r="D23" s="25">
        <f t="shared" si="0"/>
        <v>0</v>
      </c>
      <c r="E23" s="25"/>
      <c r="F23" s="25"/>
      <c r="G23" s="25"/>
      <c r="H23" s="1">
        <f t="shared" si="5"/>
        <v>0</v>
      </c>
      <c r="I23" s="1">
        <f t="shared" si="6"/>
        <v>0</v>
      </c>
      <c r="J23" s="35"/>
    </row>
    <row r="24" spans="1:10" x14ac:dyDescent="0.25">
      <c r="A24" s="1">
        <v>16</v>
      </c>
      <c r="B24" s="213" t="s">
        <v>259</v>
      </c>
      <c r="C24" s="1">
        <f t="shared" ref="C24:D24" si="7">SUM(0+0)</f>
        <v>0</v>
      </c>
      <c r="D24" s="25">
        <f t="shared" si="7"/>
        <v>0</v>
      </c>
      <c r="E24" s="25"/>
      <c r="F24" s="25"/>
      <c r="G24" s="25"/>
      <c r="H24" s="1">
        <f t="shared" si="5"/>
        <v>0</v>
      </c>
      <c r="I24" s="1">
        <f t="shared" si="6"/>
        <v>0</v>
      </c>
      <c r="J24" s="84"/>
    </row>
    <row r="25" spans="1:10" ht="15.6" x14ac:dyDescent="0.25">
      <c r="A25" s="41" t="s">
        <v>69</v>
      </c>
      <c r="B25" s="76"/>
      <c r="C25" s="78"/>
      <c r="D25" s="78"/>
      <c r="E25" s="78"/>
      <c r="F25" s="78"/>
      <c r="G25" s="78"/>
      <c r="H25" s="76"/>
      <c r="I25" s="76"/>
      <c r="J25" s="79"/>
    </row>
    <row r="26" spans="1:10" ht="15.6" x14ac:dyDescent="0.25">
      <c r="A26" s="30">
        <v>17</v>
      </c>
      <c r="B26" s="209" t="s">
        <v>260</v>
      </c>
      <c r="C26" s="1">
        <f t="shared" ref="C26:D41" si="8">SUM(0+0)</f>
        <v>0</v>
      </c>
      <c r="D26" s="25">
        <f t="shared" si="8"/>
        <v>0</v>
      </c>
      <c r="E26" s="25"/>
      <c r="F26" s="25"/>
      <c r="G26" s="25"/>
      <c r="H26" s="1">
        <f t="shared" ref="H26:H34" si="9">SUM(E26:G26)</f>
        <v>0</v>
      </c>
      <c r="I26" s="1">
        <f t="shared" ref="I26:I34" si="10">D26-H26</f>
        <v>0</v>
      </c>
      <c r="J26" s="32"/>
    </row>
    <row r="27" spans="1:10" ht="15.6" x14ac:dyDescent="0.25">
      <c r="A27" s="1">
        <v>18</v>
      </c>
      <c r="B27" s="209" t="s">
        <v>261</v>
      </c>
      <c r="C27" s="1">
        <f t="shared" si="8"/>
        <v>0</v>
      </c>
      <c r="D27" s="25">
        <f t="shared" si="8"/>
        <v>0</v>
      </c>
      <c r="E27" s="25"/>
      <c r="F27" s="25"/>
      <c r="G27" s="25"/>
      <c r="H27" s="1">
        <f t="shared" si="9"/>
        <v>0</v>
      </c>
      <c r="I27" s="1">
        <f t="shared" si="10"/>
        <v>0</v>
      </c>
      <c r="J27" s="116"/>
    </row>
    <row r="28" spans="1:10" s="3" customFormat="1" ht="15.6" x14ac:dyDescent="0.3">
      <c r="A28" s="1">
        <v>19</v>
      </c>
      <c r="B28" s="209" t="s">
        <v>262</v>
      </c>
      <c r="C28" s="1">
        <f>SUM(4+0)</f>
        <v>4</v>
      </c>
      <c r="D28" s="25">
        <f t="shared" si="8"/>
        <v>0</v>
      </c>
      <c r="E28" s="25"/>
      <c r="F28" s="25"/>
      <c r="G28" s="25"/>
      <c r="H28" s="1">
        <f t="shared" si="9"/>
        <v>0</v>
      </c>
      <c r="I28" s="1">
        <f t="shared" si="10"/>
        <v>0</v>
      </c>
      <c r="J28" s="124"/>
    </row>
    <row r="29" spans="1:10" ht="15.6" x14ac:dyDescent="0.25">
      <c r="A29" s="1">
        <v>20</v>
      </c>
      <c r="B29" s="209" t="s">
        <v>263</v>
      </c>
      <c r="C29" s="1">
        <f t="shared" si="8"/>
        <v>0</v>
      </c>
      <c r="D29" s="25">
        <f t="shared" si="8"/>
        <v>0</v>
      </c>
      <c r="E29" s="25"/>
      <c r="F29" s="25"/>
      <c r="G29" s="25"/>
      <c r="H29" s="1">
        <f t="shared" si="9"/>
        <v>0</v>
      </c>
      <c r="I29" s="1">
        <f t="shared" si="10"/>
        <v>0</v>
      </c>
      <c r="J29" s="90"/>
    </row>
    <row r="30" spans="1:10" ht="15.6" x14ac:dyDescent="0.25">
      <c r="A30" s="1">
        <v>21</v>
      </c>
      <c r="B30" s="209" t="s">
        <v>264</v>
      </c>
      <c r="C30" s="1">
        <f t="shared" si="8"/>
        <v>0</v>
      </c>
      <c r="D30" s="25">
        <f t="shared" si="8"/>
        <v>0</v>
      </c>
      <c r="E30" s="25"/>
      <c r="F30" s="25"/>
      <c r="G30" s="25"/>
      <c r="H30" s="1">
        <f t="shared" si="9"/>
        <v>0</v>
      </c>
      <c r="I30" s="1">
        <f t="shared" si="10"/>
        <v>0</v>
      </c>
      <c r="J30" s="28"/>
    </row>
    <row r="31" spans="1:10" ht="15.6" x14ac:dyDescent="0.25">
      <c r="A31" s="1">
        <v>22</v>
      </c>
      <c r="B31" s="209" t="s">
        <v>265</v>
      </c>
      <c r="C31" s="1">
        <f t="shared" si="8"/>
        <v>0</v>
      </c>
      <c r="D31" s="25">
        <f t="shared" si="8"/>
        <v>0</v>
      </c>
      <c r="E31" s="25"/>
      <c r="F31" s="25"/>
      <c r="G31" s="25"/>
      <c r="H31" s="1">
        <f t="shared" si="9"/>
        <v>0</v>
      </c>
      <c r="I31" s="1">
        <f t="shared" si="10"/>
        <v>0</v>
      </c>
      <c r="J31" s="28"/>
    </row>
    <row r="32" spans="1:10" s="118" customFormat="1" ht="15.6" x14ac:dyDescent="0.25">
      <c r="A32" s="1">
        <v>23</v>
      </c>
      <c r="B32" s="209" t="s">
        <v>266</v>
      </c>
      <c r="C32" s="1">
        <f>SUM(0+1)</f>
        <v>1</v>
      </c>
      <c r="D32" s="25">
        <f t="shared" si="8"/>
        <v>0</v>
      </c>
      <c r="E32" s="25"/>
      <c r="F32" s="25"/>
      <c r="G32" s="25"/>
      <c r="H32" s="1">
        <f t="shared" si="9"/>
        <v>0</v>
      </c>
      <c r="I32" s="1">
        <f t="shared" si="10"/>
        <v>0</v>
      </c>
      <c r="J32" s="124"/>
    </row>
    <row r="33" spans="1:10" s="120" customFormat="1" ht="15.6" x14ac:dyDescent="0.3">
      <c r="A33" s="1">
        <v>24</v>
      </c>
      <c r="B33" s="209" t="s">
        <v>267</v>
      </c>
      <c r="C33" s="1">
        <f t="shared" si="8"/>
        <v>0</v>
      </c>
      <c r="D33" s="25">
        <f t="shared" si="8"/>
        <v>0</v>
      </c>
      <c r="E33" s="25"/>
      <c r="F33" s="25"/>
      <c r="G33" s="25"/>
      <c r="H33" s="1">
        <f t="shared" si="9"/>
        <v>0</v>
      </c>
      <c r="I33" s="1">
        <f t="shared" si="10"/>
        <v>0</v>
      </c>
      <c r="J33" s="35"/>
    </row>
    <row r="34" spans="1:10" ht="15.6" x14ac:dyDescent="0.25">
      <c r="A34" s="1">
        <v>25</v>
      </c>
      <c r="B34" s="209" t="s">
        <v>268</v>
      </c>
      <c r="C34" s="1">
        <f t="shared" si="8"/>
        <v>0</v>
      </c>
      <c r="D34" s="25">
        <f t="shared" si="8"/>
        <v>0</v>
      </c>
      <c r="E34" s="25"/>
      <c r="F34" s="25"/>
      <c r="G34" s="25"/>
      <c r="H34" s="1">
        <f t="shared" si="9"/>
        <v>0</v>
      </c>
      <c r="I34" s="1">
        <f t="shared" si="10"/>
        <v>0</v>
      </c>
      <c r="J34" s="44"/>
    </row>
    <row r="35" spans="1:10" ht="15.6" x14ac:dyDescent="0.25">
      <c r="A35" s="41" t="s">
        <v>58</v>
      </c>
      <c r="B35" s="76"/>
      <c r="C35" s="78"/>
      <c r="D35" s="78"/>
      <c r="E35" s="78"/>
      <c r="F35" s="78"/>
      <c r="G35" s="78"/>
      <c r="H35" s="76"/>
      <c r="I35" s="76"/>
      <c r="J35" s="79"/>
    </row>
    <row r="36" spans="1:10" x14ac:dyDescent="0.25">
      <c r="A36" s="30">
        <v>26</v>
      </c>
      <c r="B36" s="213" t="s">
        <v>269</v>
      </c>
      <c r="C36" s="1">
        <f t="shared" si="8"/>
        <v>0</v>
      </c>
      <c r="D36" s="25">
        <f t="shared" si="8"/>
        <v>0</v>
      </c>
      <c r="E36" s="25"/>
      <c r="F36" s="25"/>
      <c r="G36" s="25"/>
      <c r="H36" s="1">
        <f t="shared" ref="H36:H38" si="11">SUM(E36:G36)</f>
        <v>0</v>
      </c>
      <c r="I36" s="1">
        <f t="shared" ref="I36:I38" si="12">D36-H36</f>
        <v>0</v>
      </c>
      <c r="J36" s="35"/>
    </row>
    <row r="37" spans="1:10" ht="15.6" x14ac:dyDescent="0.25">
      <c r="A37" s="30">
        <v>27</v>
      </c>
      <c r="B37" s="213" t="s">
        <v>270</v>
      </c>
      <c r="C37" s="1">
        <f t="shared" si="8"/>
        <v>0</v>
      </c>
      <c r="D37" s="25">
        <f t="shared" si="8"/>
        <v>0</v>
      </c>
      <c r="E37" s="25"/>
      <c r="F37" s="25"/>
      <c r="G37" s="25"/>
      <c r="H37" s="1">
        <f t="shared" si="11"/>
        <v>0</v>
      </c>
      <c r="I37" s="1">
        <f t="shared" si="12"/>
        <v>0</v>
      </c>
      <c r="J37" s="43"/>
    </row>
    <row r="38" spans="1:10" x14ac:dyDescent="0.25">
      <c r="A38" s="1">
        <v>28</v>
      </c>
      <c r="B38" s="213" t="s">
        <v>271</v>
      </c>
      <c r="C38" s="1">
        <f t="shared" si="8"/>
        <v>0</v>
      </c>
      <c r="D38" s="25">
        <f t="shared" si="8"/>
        <v>0</v>
      </c>
      <c r="E38" s="25"/>
      <c r="F38" s="25"/>
      <c r="G38" s="25"/>
      <c r="H38" s="1">
        <f t="shared" si="11"/>
        <v>0</v>
      </c>
      <c r="I38" s="1">
        <f t="shared" si="12"/>
        <v>0</v>
      </c>
      <c r="J38" s="25"/>
    </row>
    <row r="39" spans="1:10" ht="15.6" x14ac:dyDescent="0.25">
      <c r="A39" s="41" t="s">
        <v>70</v>
      </c>
      <c r="B39" s="76"/>
      <c r="C39" s="78"/>
      <c r="D39" s="78"/>
      <c r="E39" s="78"/>
      <c r="F39" s="78"/>
      <c r="G39" s="78"/>
      <c r="H39" s="76"/>
      <c r="I39" s="76"/>
      <c r="J39" s="79"/>
    </row>
    <row r="40" spans="1:10" x14ac:dyDescent="0.25">
      <c r="A40" s="1">
        <v>29</v>
      </c>
      <c r="B40" s="213" t="s">
        <v>272</v>
      </c>
      <c r="C40" s="1">
        <f t="shared" si="8"/>
        <v>0</v>
      </c>
      <c r="D40" s="25">
        <f t="shared" si="8"/>
        <v>0</v>
      </c>
      <c r="E40" s="25"/>
      <c r="F40" s="25"/>
      <c r="G40" s="25"/>
      <c r="H40" s="1">
        <f t="shared" ref="H40:H49" si="13">SUM(E40:G40)</f>
        <v>0</v>
      </c>
      <c r="I40" s="1">
        <f t="shared" ref="I40:I49" si="14">D40-H40</f>
        <v>0</v>
      </c>
      <c r="J40" s="25"/>
    </row>
    <row r="41" spans="1:10" ht="15.6" x14ac:dyDescent="0.25">
      <c r="A41" s="1">
        <v>30</v>
      </c>
      <c r="B41" s="213" t="s">
        <v>273</v>
      </c>
      <c r="C41" s="1">
        <f t="shared" si="8"/>
        <v>0</v>
      </c>
      <c r="D41" s="25">
        <f t="shared" si="8"/>
        <v>0</v>
      </c>
      <c r="E41" s="25"/>
      <c r="F41" s="25"/>
      <c r="G41" s="25"/>
      <c r="H41" s="1">
        <f t="shared" si="13"/>
        <v>0</v>
      </c>
      <c r="I41" s="1">
        <f t="shared" si="14"/>
        <v>0</v>
      </c>
      <c r="J41" s="43"/>
    </row>
    <row r="42" spans="1:10" ht="15.6" x14ac:dyDescent="0.25">
      <c r="A42" s="1">
        <v>31</v>
      </c>
      <c r="B42" s="213" t="s">
        <v>274</v>
      </c>
      <c r="C42" s="1">
        <f t="shared" ref="C42:D49" si="15">SUM(0+0)</f>
        <v>0</v>
      </c>
      <c r="D42" s="25">
        <f t="shared" si="15"/>
        <v>0</v>
      </c>
      <c r="E42" s="25"/>
      <c r="F42" s="25"/>
      <c r="G42" s="25"/>
      <c r="H42" s="1">
        <f t="shared" si="13"/>
        <v>0</v>
      </c>
      <c r="I42" s="1">
        <f t="shared" si="14"/>
        <v>0</v>
      </c>
      <c r="J42" s="43"/>
    </row>
    <row r="43" spans="1:10" x14ac:dyDescent="0.25">
      <c r="A43" s="1">
        <v>32</v>
      </c>
      <c r="B43" s="213" t="s">
        <v>275</v>
      </c>
      <c r="C43" s="1">
        <f t="shared" si="15"/>
        <v>0</v>
      </c>
      <c r="D43" s="25">
        <f t="shared" si="15"/>
        <v>0</v>
      </c>
      <c r="E43" s="25"/>
      <c r="F43" s="25"/>
      <c r="G43" s="25"/>
      <c r="H43" s="1">
        <f t="shared" si="13"/>
        <v>0</v>
      </c>
      <c r="I43" s="1">
        <f t="shared" si="14"/>
        <v>0</v>
      </c>
      <c r="J43" s="44"/>
    </row>
    <row r="44" spans="1:10" x14ac:dyDescent="0.25">
      <c r="A44" s="1">
        <v>33</v>
      </c>
      <c r="B44" s="213" t="s">
        <v>276</v>
      </c>
      <c r="C44" s="1">
        <f t="shared" si="15"/>
        <v>0</v>
      </c>
      <c r="D44" s="25">
        <f t="shared" si="15"/>
        <v>0</v>
      </c>
      <c r="E44" s="25"/>
      <c r="F44" s="25"/>
      <c r="G44" s="25"/>
      <c r="H44" s="1">
        <f t="shared" si="13"/>
        <v>0</v>
      </c>
      <c r="I44" s="1">
        <f t="shared" si="14"/>
        <v>0</v>
      </c>
      <c r="J44" s="29"/>
    </row>
    <row r="45" spans="1:10" ht="15.6" x14ac:dyDescent="0.25">
      <c r="A45" s="1">
        <v>34</v>
      </c>
      <c r="B45" s="213" t="s">
        <v>277</v>
      </c>
      <c r="C45" s="1">
        <f t="shared" si="15"/>
        <v>0</v>
      </c>
      <c r="D45" s="25">
        <f t="shared" si="15"/>
        <v>0</v>
      </c>
      <c r="E45" s="25"/>
      <c r="F45" s="25"/>
      <c r="G45" s="25"/>
      <c r="H45" s="1">
        <f t="shared" si="13"/>
        <v>0</v>
      </c>
      <c r="I45" s="1">
        <f t="shared" si="14"/>
        <v>0</v>
      </c>
      <c r="J45" s="43"/>
    </row>
    <row r="46" spans="1:10" x14ac:dyDescent="0.25">
      <c r="A46" s="30">
        <v>35</v>
      </c>
      <c r="B46" s="213" t="s">
        <v>278</v>
      </c>
      <c r="C46" s="1">
        <f t="shared" si="15"/>
        <v>0</v>
      </c>
      <c r="D46" s="25">
        <f t="shared" si="15"/>
        <v>0</v>
      </c>
      <c r="E46" s="25"/>
      <c r="F46" s="25"/>
      <c r="G46" s="25"/>
      <c r="H46" s="1">
        <f t="shared" si="13"/>
        <v>0</v>
      </c>
      <c r="I46" s="1">
        <f t="shared" si="14"/>
        <v>0</v>
      </c>
      <c r="J46" s="25"/>
    </row>
    <row r="47" spans="1:10" x14ac:dyDescent="0.25">
      <c r="A47" s="1">
        <v>36</v>
      </c>
      <c r="B47" s="213" t="s">
        <v>279</v>
      </c>
      <c r="C47" s="1">
        <f t="shared" si="15"/>
        <v>0</v>
      </c>
      <c r="D47" s="25">
        <f t="shared" si="15"/>
        <v>0</v>
      </c>
      <c r="E47" s="25"/>
      <c r="F47" s="25"/>
      <c r="G47" s="25"/>
      <c r="H47" s="1">
        <f t="shared" si="13"/>
        <v>0</v>
      </c>
      <c r="I47" s="1">
        <f t="shared" si="14"/>
        <v>0</v>
      </c>
      <c r="J47" s="25"/>
    </row>
    <row r="48" spans="1:10" x14ac:dyDescent="0.25">
      <c r="A48" s="30">
        <v>37</v>
      </c>
      <c r="B48" s="213" t="s">
        <v>280</v>
      </c>
      <c r="C48" s="1">
        <f t="shared" si="15"/>
        <v>0</v>
      </c>
      <c r="D48" s="25">
        <f t="shared" si="15"/>
        <v>0</v>
      </c>
      <c r="E48" s="25"/>
      <c r="F48" s="25"/>
      <c r="G48" s="25"/>
      <c r="H48" s="1">
        <f t="shared" si="13"/>
        <v>0</v>
      </c>
      <c r="I48" s="1">
        <f t="shared" si="14"/>
        <v>0</v>
      </c>
      <c r="J48" s="25"/>
    </row>
    <row r="49" spans="1:10" ht="15.6" x14ac:dyDescent="0.25">
      <c r="A49" s="1">
        <v>38</v>
      </c>
      <c r="B49" s="213" t="s">
        <v>281</v>
      </c>
      <c r="C49" s="1">
        <f t="shared" si="15"/>
        <v>0</v>
      </c>
      <c r="D49" s="25">
        <f t="shared" si="15"/>
        <v>0</v>
      </c>
      <c r="E49" s="25"/>
      <c r="F49" s="25"/>
      <c r="G49" s="25"/>
      <c r="H49" s="1">
        <f t="shared" si="13"/>
        <v>0</v>
      </c>
      <c r="I49" s="1">
        <f t="shared" si="14"/>
        <v>0</v>
      </c>
      <c r="J49" s="43"/>
    </row>
    <row r="50" spans="1:10" ht="15.6" x14ac:dyDescent="0.25">
      <c r="A50" s="76" t="s">
        <v>71</v>
      </c>
      <c r="B50" s="76"/>
      <c r="C50" s="78"/>
      <c r="D50" s="78"/>
      <c r="E50" s="78"/>
      <c r="F50" s="78"/>
      <c r="G50" s="78"/>
      <c r="H50" s="76"/>
      <c r="I50" s="76"/>
      <c r="J50" s="78"/>
    </row>
    <row r="51" spans="1:10" x14ac:dyDescent="0.25">
      <c r="A51" s="1">
        <v>39</v>
      </c>
      <c r="B51" s="213" t="s">
        <v>282</v>
      </c>
      <c r="C51" s="1">
        <f t="shared" ref="C51:D52" si="16">SUM(0+0)</f>
        <v>0</v>
      </c>
      <c r="D51" s="25">
        <f t="shared" si="16"/>
        <v>0</v>
      </c>
      <c r="E51" s="25"/>
      <c r="F51" s="25"/>
      <c r="G51" s="25"/>
      <c r="H51" s="1">
        <f t="shared" ref="H51:H52" si="17">SUM(E51:G51)</f>
        <v>0</v>
      </c>
      <c r="I51" s="1">
        <f t="shared" ref="I51:I52" si="18">D51-H51</f>
        <v>0</v>
      </c>
      <c r="J51" s="35"/>
    </row>
    <row r="52" spans="1:10" x14ac:dyDescent="0.25">
      <c r="A52" s="1">
        <v>40</v>
      </c>
      <c r="B52" s="213" t="s">
        <v>283</v>
      </c>
      <c r="C52" s="1">
        <f t="shared" si="16"/>
        <v>0</v>
      </c>
      <c r="D52" s="25">
        <f t="shared" si="16"/>
        <v>0</v>
      </c>
      <c r="E52" s="25"/>
      <c r="F52" s="25"/>
      <c r="G52" s="25"/>
      <c r="H52" s="1">
        <f t="shared" si="17"/>
        <v>0</v>
      </c>
      <c r="I52" s="1">
        <f t="shared" si="18"/>
        <v>0</v>
      </c>
      <c r="J52" s="25"/>
    </row>
    <row r="53" spans="1:10" ht="15.6" x14ac:dyDescent="0.25">
      <c r="A53" s="76" t="s">
        <v>72</v>
      </c>
      <c r="B53" s="76"/>
      <c r="C53" s="78"/>
      <c r="D53" s="78"/>
      <c r="E53" s="78"/>
      <c r="F53" s="78"/>
      <c r="G53" s="78"/>
      <c r="H53" s="76"/>
      <c r="I53" s="76"/>
      <c r="J53" s="78"/>
    </row>
    <row r="54" spans="1:10" ht="15.6" x14ac:dyDescent="0.25">
      <c r="A54" s="1">
        <v>41</v>
      </c>
      <c r="B54" s="214" t="s">
        <v>284</v>
      </c>
      <c r="C54" s="1">
        <f t="shared" ref="C54:D63" si="19">SUM(0+0)</f>
        <v>0</v>
      </c>
      <c r="D54" s="25">
        <f t="shared" si="19"/>
        <v>0</v>
      </c>
      <c r="E54" s="25"/>
      <c r="F54" s="25"/>
      <c r="G54" s="25"/>
      <c r="H54" s="1">
        <f t="shared" ref="H54:H63" si="20">SUM(E54:G54)</f>
        <v>0</v>
      </c>
      <c r="I54" s="1">
        <f t="shared" ref="I54:I63" si="21">D54-H54</f>
        <v>0</v>
      </c>
      <c r="J54" s="82"/>
    </row>
    <row r="55" spans="1:10" x14ac:dyDescent="0.25">
      <c r="A55" s="1">
        <v>42</v>
      </c>
      <c r="B55" s="214" t="s">
        <v>285</v>
      </c>
      <c r="C55" s="1">
        <f t="shared" si="19"/>
        <v>0</v>
      </c>
      <c r="D55" s="25">
        <f t="shared" si="19"/>
        <v>0</v>
      </c>
      <c r="E55" s="25"/>
      <c r="F55" s="25"/>
      <c r="G55" s="25"/>
      <c r="H55" s="1">
        <f t="shared" si="20"/>
        <v>0</v>
      </c>
      <c r="I55" s="1">
        <f t="shared" si="21"/>
        <v>0</v>
      </c>
      <c r="J55" s="35"/>
    </row>
    <row r="56" spans="1:10" ht="15.6" x14ac:dyDescent="0.25">
      <c r="A56" s="1">
        <v>43</v>
      </c>
      <c r="B56" s="214" t="s">
        <v>286</v>
      </c>
      <c r="C56" s="1">
        <f t="shared" si="19"/>
        <v>0</v>
      </c>
      <c r="D56" s="25">
        <f t="shared" si="19"/>
        <v>0</v>
      </c>
      <c r="E56" s="25"/>
      <c r="F56" s="25"/>
      <c r="G56" s="25"/>
      <c r="H56" s="1">
        <f t="shared" si="20"/>
        <v>0</v>
      </c>
      <c r="I56" s="1">
        <f t="shared" si="21"/>
        <v>0</v>
      </c>
      <c r="J56" s="43"/>
    </row>
    <row r="57" spans="1:10" x14ac:dyDescent="0.25">
      <c r="A57" s="1">
        <v>44</v>
      </c>
      <c r="B57" s="214" t="s">
        <v>287</v>
      </c>
      <c r="C57" s="1">
        <f t="shared" si="19"/>
        <v>0</v>
      </c>
      <c r="D57" s="25">
        <f t="shared" si="19"/>
        <v>0</v>
      </c>
      <c r="E57" s="25"/>
      <c r="F57" s="25"/>
      <c r="G57" s="25"/>
      <c r="H57" s="1">
        <f t="shared" si="20"/>
        <v>0</v>
      </c>
      <c r="I57" s="1">
        <f t="shared" si="21"/>
        <v>0</v>
      </c>
      <c r="J57" s="28"/>
    </row>
    <row r="58" spans="1:10" ht="15.6" x14ac:dyDescent="0.25">
      <c r="A58" s="1">
        <v>45</v>
      </c>
      <c r="B58" s="214" t="s">
        <v>288</v>
      </c>
      <c r="C58" s="1">
        <f t="shared" si="19"/>
        <v>0</v>
      </c>
      <c r="D58" s="25">
        <f t="shared" si="19"/>
        <v>0</v>
      </c>
      <c r="E58" s="25"/>
      <c r="F58" s="25"/>
      <c r="G58" s="25"/>
      <c r="H58" s="1">
        <f t="shared" si="20"/>
        <v>0</v>
      </c>
      <c r="I58" s="1">
        <f t="shared" si="21"/>
        <v>0</v>
      </c>
      <c r="J58" s="43"/>
    </row>
    <row r="59" spans="1:10" ht="15.6" x14ac:dyDescent="0.25">
      <c r="A59" s="1">
        <v>46</v>
      </c>
      <c r="B59" s="214" t="s">
        <v>289</v>
      </c>
      <c r="C59" s="1">
        <f t="shared" si="19"/>
        <v>0</v>
      </c>
      <c r="D59" s="25">
        <f t="shared" si="19"/>
        <v>0</v>
      </c>
      <c r="E59" s="25"/>
      <c r="F59" s="25"/>
      <c r="G59" s="25"/>
      <c r="H59" s="1">
        <f t="shared" si="20"/>
        <v>0</v>
      </c>
      <c r="I59" s="1">
        <f t="shared" si="21"/>
        <v>0</v>
      </c>
      <c r="J59" s="43"/>
    </row>
    <row r="60" spans="1:10" x14ac:dyDescent="0.25">
      <c r="A60" s="1">
        <v>47</v>
      </c>
      <c r="B60" s="214" t="s">
        <v>290</v>
      </c>
      <c r="C60" s="1">
        <f t="shared" si="19"/>
        <v>0</v>
      </c>
      <c r="D60" s="25">
        <f t="shared" si="19"/>
        <v>0</v>
      </c>
      <c r="E60" s="25"/>
      <c r="F60" s="25"/>
      <c r="G60" s="25"/>
      <c r="H60" s="1">
        <f t="shared" si="20"/>
        <v>0</v>
      </c>
      <c r="I60" s="1">
        <f t="shared" si="21"/>
        <v>0</v>
      </c>
      <c r="J60" s="25"/>
    </row>
    <row r="61" spans="1:10" x14ac:dyDescent="0.25">
      <c r="A61" s="1">
        <v>48</v>
      </c>
      <c r="B61" s="214" t="s">
        <v>291</v>
      </c>
      <c r="C61" s="1">
        <f t="shared" si="19"/>
        <v>0</v>
      </c>
      <c r="D61" s="25">
        <f t="shared" si="19"/>
        <v>0</v>
      </c>
      <c r="E61" s="25"/>
      <c r="F61" s="25"/>
      <c r="G61" s="25"/>
      <c r="H61" s="1">
        <f t="shared" si="20"/>
        <v>0</v>
      </c>
      <c r="I61" s="1">
        <f t="shared" si="21"/>
        <v>0</v>
      </c>
      <c r="J61" s="25"/>
    </row>
    <row r="62" spans="1:10" ht="15.6" x14ac:dyDescent="0.25">
      <c r="A62" s="1">
        <v>49</v>
      </c>
      <c r="B62" s="214" t="s">
        <v>292</v>
      </c>
      <c r="C62" s="1">
        <f t="shared" si="19"/>
        <v>0</v>
      </c>
      <c r="D62" s="25">
        <f t="shared" si="19"/>
        <v>0</v>
      </c>
      <c r="E62" s="25"/>
      <c r="F62" s="25"/>
      <c r="G62" s="25"/>
      <c r="H62" s="1">
        <f t="shared" si="20"/>
        <v>0</v>
      </c>
      <c r="I62" s="1">
        <f t="shared" si="21"/>
        <v>0</v>
      </c>
      <c r="J62" s="43"/>
    </row>
    <row r="63" spans="1:10" s="118" customFormat="1" x14ac:dyDescent="0.25">
      <c r="A63" s="1">
        <v>50</v>
      </c>
      <c r="B63" s="214" t="s">
        <v>293</v>
      </c>
      <c r="C63" s="1">
        <f t="shared" si="19"/>
        <v>0</v>
      </c>
      <c r="D63" s="25">
        <f t="shared" si="19"/>
        <v>0</v>
      </c>
      <c r="E63" s="25"/>
      <c r="F63" s="25"/>
      <c r="G63" s="25"/>
      <c r="H63" s="1">
        <f t="shared" si="20"/>
        <v>0</v>
      </c>
      <c r="I63" s="1">
        <f t="shared" si="21"/>
        <v>0</v>
      </c>
      <c r="J63" s="117"/>
    </row>
    <row r="64" spans="1:10" ht="15.6" x14ac:dyDescent="0.25">
      <c r="A64" s="41" t="s">
        <v>73</v>
      </c>
      <c r="B64" s="76"/>
      <c r="C64" s="78"/>
      <c r="D64" s="78"/>
      <c r="E64" s="78"/>
      <c r="F64" s="78"/>
      <c r="G64" s="78"/>
      <c r="H64" s="76"/>
      <c r="I64" s="76"/>
      <c r="J64" s="79"/>
    </row>
    <row r="65" spans="1:10" ht="15.6" x14ac:dyDescent="0.25">
      <c r="A65" s="41" t="s">
        <v>74</v>
      </c>
      <c r="B65" s="76"/>
      <c r="C65" s="78"/>
      <c r="D65" s="78"/>
      <c r="E65" s="78"/>
      <c r="F65" s="78"/>
      <c r="G65" s="78"/>
      <c r="H65" s="76"/>
      <c r="I65" s="76"/>
      <c r="J65" s="79"/>
    </row>
    <row r="66" spans="1:10" x14ac:dyDescent="0.25">
      <c r="A66" s="1">
        <v>51</v>
      </c>
      <c r="B66" s="213" t="s">
        <v>294</v>
      </c>
      <c r="C66" s="1">
        <f t="shared" ref="C66:D67" si="22">SUM(0+0)</f>
        <v>0</v>
      </c>
      <c r="D66" s="25">
        <f t="shared" si="22"/>
        <v>0</v>
      </c>
      <c r="E66" s="25"/>
      <c r="F66" s="25"/>
      <c r="G66" s="25"/>
      <c r="H66" s="1">
        <f t="shared" ref="H66:H67" si="23">SUM(E66:G66)</f>
        <v>0</v>
      </c>
      <c r="I66" s="1">
        <f t="shared" ref="I66:I67" si="24">D66-H66</f>
        <v>0</v>
      </c>
      <c r="J66" s="35"/>
    </row>
    <row r="67" spans="1:10" x14ac:dyDescent="0.25">
      <c r="A67" s="1">
        <v>52</v>
      </c>
      <c r="B67" s="213" t="s">
        <v>295</v>
      </c>
      <c r="C67" s="1">
        <f t="shared" si="22"/>
        <v>0</v>
      </c>
      <c r="D67" s="25">
        <f t="shared" si="22"/>
        <v>0</v>
      </c>
      <c r="E67" s="25"/>
      <c r="F67" s="25"/>
      <c r="G67" s="25"/>
      <c r="H67" s="1">
        <f t="shared" si="23"/>
        <v>0</v>
      </c>
      <c r="I67" s="1">
        <f t="shared" si="24"/>
        <v>0</v>
      </c>
      <c r="J67" s="35"/>
    </row>
    <row r="68" spans="1:10" ht="15.6" x14ac:dyDescent="0.25">
      <c r="A68" s="41" t="s">
        <v>75</v>
      </c>
      <c r="B68" s="76"/>
      <c r="C68" s="78"/>
      <c r="D68" s="78"/>
      <c r="E68" s="78"/>
      <c r="F68" s="78"/>
      <c r="G68" s="78"/>
      <c r="H68" s="76"/>
      <c r="I68" s="76"/>
      <c r="J68" s="79"/>
    </row>
    <row r="69" spans="1:10" x14ac:dyDescent="0.25">
      <c r="A69" s="1">
        <v>53</v>
      </c>
      <c r="B69" s="213" t="s">
        <v>296</v>
      </c>
      <c r="C69" s="1">
        <f t="shared" ref="C69:D84" si="25">SUM(0+0)</f>
        <v>0</v>
      </c>
      <c r="D69" s="25">
        <f t="shared" si="25"/>
        <v>0</v>
      </c>
      <c r="E69" s="25"/>
      <c r="F69" s="25"/>
      <c r="G69" s="25"/>
      <c r="H69" s="1">
        <f t="shared" ref="H69:H76" si="26">SUM(E69:G69)</f>
        <v>0</v>
      </c>
      <c r="I69" s="1">
        <f t="shared" ref="I69:I76" si="27">D69-H69</f>
        <v>0</v>
      </c>
      <c r="J69" s="35"/>
    </row>
    <row r="70" spans="1:10" x14ac:dyDescent="0.25">
      <c r="A70" s="1">
        <v>54</v>
      </c>
      <c r="B70" s="213" t="s">
        <v>297</v>
      </c>
      <c r="C70" s="1">
        <f t="shared" si="25"/>
        <v>0</v>
      </c>
      <c r="D70" s="25">
        <f t="shared" si="25"/>
        <v>0</v>
      </c>
      <c r="E70" s="25"/>
      <c r="F70" s="25"/>
      <c r="G70" s="25"/>
      <c r="H70" s="1">
        <f t="shared" si="26"/>
        <v>0</v>
      </c>
      <c r="I70" s="1">
        <f t="shared" si="27"/>
        <v>0</v>
      </c>
      <c r="J70" s="35"/>
    </row>
    <row r="71" spans="1:10" x14ac:dyDescent="0.25">
      <c r="A71" s="1">
        <v>55</v>
      </c>
      <c r="B71" s="213" t="s">
        <v>298</v>
      </c>
      <c r="C71" s="1">
        <f t="shared" si="25"/>
        <v>0</v>
      </c>
      <c r="D71" s="25">
        <f t="shared" si="25"/>
        <v>0</v>
      </c>
      <c r="E71" s="25"/>
      <c r="F71" s="25"/>
      <c r="G71" s="25"/>
      <c r="H71" s="1">
        <f t="shared" si="26"/>
        <v>0</v>
      </c>
      <c r="I71" s="1">
        <f t="shared" si="27"/>
        <v>0</v>
      </c>
      <c r="J71" s="25"/>
    </row>
    <row r="72" spans="1:10" x14ac:dyDescent="0.25">
      <c r="A72" s="1">
        <v>56</v>
      </c>
      <c r="B72" s="213" t="s">
        <v>299</v>
      </c>
      <c r="C72" s="1">
        <f t="shared" si="25"/>
        <v>0</v>
      </c>
      <c r="D72" s="25">
        <f t="shared" si="25"/>
        <v>0</v>
      </c>
      <c r="E72" s="25"/>
      <c r="F72" s="25"/>
      <c r="G72" s="25"/>
      <c r="H72" s="1">
        <f t="shared" si="26"/>
        <v>0</v>
      </c>
      <c r="I72" s="1">
        <f t="shared" si="27"/>
        <v>0</v>
      </c>
      <c r="J72" s="25"/>
    </row>
    <row r="73" spans="1:10" x14ac:dyDescent="0.25">
      <c r="A73" s="1">
        <v>57</v>
      </c>
      <c r="B73" s="213" t="s">
        <v>300</v>
      </c>
      <c r="C73" s="1">
        <f t="shared" si="25"/>
        <v>0</v>
      </c>
      <c r="D73" s="25">
        <f t="shared" si="25"/>
        <v>0</v>
      </c>
      <c r="E73" s="25"/>
      <c r="F73" s="25"/>
      <c r="G73" s="25"/>
      <c r="H73" s="1">
        <f t="shared" si="26"/>
        <v>0</v>
      </c>
      <c r="I73" s="1">
        <f t="shared" si="27"/>
        <v>0</v>
      </c>
      <c r="J73" s="25"/>
    </row>
    <row r="74" spans="1:10" x14ac:dyDescent="0.25">
      <c r="A74" s="1">
        <v>58</v>
      </c>
      <c r="B74" s="213" t="s">
        <v>301</v>
      </c>
      <c r="C74" s="1">
        <f t="shared" si="25"/>
        <v>0</v>
      </c>
      <c r="D74" s="25">
        <f t="shared" si="25"/>
        <v>0</v>
      </c>
      <c r="E74" s="25"/>
      <c r="F74" s="25"/>
      <c r="G74" s="25"/>
      <c r="H74" s="1">
        <f t="shared" si="26"/>
        <v>0</v>
      </c>
      <c r="I74" s="1">
        <f t="shared" si="27"/>
        <v>0</v>
      </c>
      <c r="J74" s="25"/>
    </row>
    <row r="75" spans="1:10" x14ac:dyDescent="0.25">
      <c r="A75" s="1">
        <v>59</v>
      </c>
      <c r="B75" s="213" t="s">
        <v>302</v>
      </c>
      <c r="C75" s="1">
        <f t="shared" si="25"/>
        <v>0</v>
      </c>
      <c r="D75" s="25">
        <f t="shared" si="25"/>
        <v>0</v>
      </c>
      <c r="E75" s="25"/>
      <c r="F75" s="25"/>
      <c r="G75" s="25"/>
      <c r="H75" s="1">
        <f t="shared" si="26"/>
        <v>0</v>
      </c>
      <c r="I75" s="1">
        <f t="shared" si="27"/>
        <v>0</v>
      </c>
      <c r="J75" s="25"/>
    </row>
    <row r="76" spans="1:10" x14ac:dyDescent="0.25">
      <c r="A76" s="1">
        <v>60</v>
      </c>
      <c r="B76" s="213" t="s">
        <v>303</v>
      </c>
      <c r="C76" s="1">
        <f t="shared" si="25"/>
        <v>0</v>
      </c>
      <c r="D76" s="25">
        <f t="shared" si="25"/>
        <v>0</v>
      </c>
      <c r="E76" s="25"/>
      <c r="F76" s="25"/>
      <c r="G76" s="25"/>
      <c r="H76" s="1">
        <f t="shared" si="26"/>
        <v>0</v>
      </c>
      <c r="I76" s="1">
        <f t="shared" si="27"/>
        <v>0</v>
      </c>
      <c r="J76" s="25"/>
    </row>
    <row r="77" spans="1:10" ht="15.6" x14ac:dyDescent="0.25">
      <c r="A77" s="41" t="s">
        <v>76</v>
      </c>
      <c r="B77" s="76"/>
      <c r="C77" s="78"/>
      <c r="D77" s="78"/>
      <c r="E77" s="78"/>
      <c r="F77" s="78"/>
      <c r="G77" s="78"/>
      <c r="H77" s="76"/>
      <c r="I77" s="76"/>
      <c r="J77" s="79"/>
    </row>
    <row r="78" spans="1:10" x14ac:dyDescent="0.25">
      <c r="A78" s="1">
        <v>61</v>
      </c>
      <c r="B78" s="213" t="s">
        <v>304</v>
      </c>
      <c r="C78" s="1">
        <f t="shared" si="25"/>
        <v>0</v>
      </c>
      <c r="D78" s="25">
        <f>SUM(3+0)</f>
        <v>3</v>
      </c>
      <c r="E78" s="25"/>
      <c r="F78" s="25"/>
      <c r="G78" s="25"/>
      <c r="H78" s="1">
        <f t="shared" ref="H78:H124" si="28">SUM(E78:G78)</f>
        <v>0</v>
      </c>
      <c r="I78" s="1">
        <f t="shared" ref="I78:I124" si="29">D78-H78</f>
        <v>3</v>
      </c>
      <c r="J78" s="25"/>
    </row>
    <row r="79" spans="1:10" x14ac:dyDescent="0.25">
      <c r="A79" s="1">
        <v>62</v>
      </c>
      <c r="B79" s="213" t="s">
        <v>305</v>
      </c>
      <c r="C79" s="1">
        <f t="shared" si="25"/>
        <v>0</v>
      </c>
      <c r="D79" s="25">
        <f t="shared" si="25"/>
        <v>0</v>
      </c>
      <c r="E79" s="25"/>
      <c r="F79" s="25"/>
      <c r="G79" s="25"/>
      <c r="H79" s="1">
        <f t="shared" si="28"/>
        <v>0</v>
      </c>
      <c r="I79" s="1">
        <f t="shared" si="29"/>
        <v>0</v>
      </c>
      <c r="J79" s="32"/>
    </row>
    <row r="80" spans="1:10" x14ac:dyDescent="0.25">
      <c r="A80" s="1">
        <v>63</v>
      </c>
      <c r="B80" s="213" t="s">
        <v>306</v>
      </c>
      <c r="C80" s="1">
        <f t="shared" si="25"/>
        <v>0</v>
      </c>
      <c r="D80" s="25">
        <f t="shared" si="25"/>
        <v>0</v>
      </c>
      <c r="E80" s="25"/>
      <c r="F80" s="25"/>
      <c r="G80" s="25"/>
      <c r="H80" s="1">
        <f t="shared" si="28"/>
        <v>0</v>
      </c>
      <c r="I80" s="1">
        <f t="shared" si="29"/>
        <v>0</v>
      </c>
      <c r="J80" s="25"/>
    </row>
    <row r="81" spans="1:10" x14ac:dyDescent="0.25">
      <c r="A81" s="1">
        <v>64</v>
      </c>
      <c r="B81" s="213" t="s">
        <v>307</v>
      </c>
      <c r="C81" s="1">
        <f t="shared" si="25"/>
        <v>0</v>
      </c>
      <c r="D81" s="25">
        <f t="shared" si="25"/>
        <v>0</v>
      </c>
      <c r="E81" s="25"/>
      <c r="F81" s="25"/>
      <c r="G81" s="25"/>
      <c r="H81" s="1">
        <f t="shared" si="28"/>
        <v>0</v>
      </c>
      <c r="I81" s="1">
        <f t="shared" si="29"/>
        <v>0</v>
      </c>
      <c r="J81" s="35"/>
    </row>
    <row r="82" spans="1:10" s="118" customFormat="1" x14ac:dyDescent="0.25">
      <c r="A82" s="1">
        <v>65</v>
      </c>
      <c r="B82" s="213" t="s">
        <v>308</v>
      </c>
      <c r="C82" s="1">
        <f t="shared" si="25"/>
        <v>0</v>
      </c>
      <c r="D82" s="25">
        <f t="shared" si="25"/>
        <v>0</v>
      </c>
      <c r="E82" s="25"/>
      <c r="F82" s="25"/>
      <c r="G82" s="25"/>
      <c r="H82" s="1">
        <f t="shared" si="28"/>
        <v>0</v>
      </c>
      <c r="I82" s="1">
        <f t="shared" si="29"/>
        <v>0</v>
      </c>
      <c r="J82" s="29"/>
    </row>
    <row r="83" spans="1:10" x14ac:dyDescent="0.25">
      <c r="A83" s="1">
        <v>66</v>
      </c>
      <c r="B83" s="213" t="s">
        <v>309</v>
      </c>
      <c r="C83" s="1">
        <f>SUM(0+1)</f>
        <v>1</v>
      </c>
      <c r="D83" s="25">
        <f>SUM(0+1)</f>
        <v>1</v>
      </c>
      <c r="E83" s="25"/>
      <c r="F83" s="25"/>
      <c r="G83" s="25"/>
      <c r="H83" s="1">
        <f t="shared" si="28"/>
        <v>0</v>
      </c>
      <c r="I83" s="1">
        <f t="shared" si="29"/>
        <v>1</v>
      </c>
      <c r="J83" s="35"/>
    </row>
    <row r="84" spans="1:10" x14ac:dyDescent="0.25">
      <c r="A84" s="1">
        <v>67</v>
      </c>
      <c r="B84" s="213" t="s">
        <v>310</v>
      </c>
      <c r="C84" s="1">
        <f t="shared" si="25"/>
        <v>0</v>
      </c>
      <c r="D84" s="25">
        <f t="shared" si="25"/>
        <v>0</v>
      </c>
      <c r="E84" s="25"/>
      <c r="F84" s="25"/>
      <c r="G84" s="25"/>
      <c r="H84" s="1">
        <f t="shared" si="28"/>
        <v>0</v>
      </c>
      <c r="I84" s="1">
        <f t="shared" si="29"/>
        <v>0</v>
      </c>
      <c r="J84" s="25"/>
    </row>
    <row r="85" spans="1:10" s="118" customFormat="1" x14ac:dyDescent="0.25">
      <c r="A85" s="1">
        <v>68</v>
      </c>
      <c r="B85" s="213" t="s">
        <v>311</v>
      </c>
      <c r="C85" s="1">
        <f t="shared" ref="C85:D86" si="30">SUM(0+0)</f>
        <v>0</v>
      </c>
      <c r="D85" s="25">
        <f t="shared" si="30"/>
        <v>0</v>
      </c>
      <c r="E85" s="25"/>
      <c r="F85" s="25"/>
      <c r="G85" s="25"/>
      <c r="H85" s="1">
        <f t="shared" si="28"/>
        <v>0</v>
      </c>
      <c r="I85" s="1">
        <f t="shared" si="29"/>
        <v>0</v>
      </c>
      <c r="J85" s="116"/>
    </row>
    <row r="86" spans="1:10" x14ac:dyDescent="0.25">
      <c r="A86" s="1">
        <v>69</v>
      </c>
      <c r="B86" s="213" t="s">
        <v>312</v>
      </c>
      <c r="C86" s="1">
        <f t="shared" si="30"/>
        <v>0</v>
      </c>
      <c r="D86" s="25">
        <f t="shared" si="30"/>
        <v>0</v>
      </c>
      <c r="E86" s="25"/>
      <c r="F86" s="25"/>
      <c r="G86" s="25"/>
      <c r="H86" s="1">
        <f t="shared" si="28"/>
        <v>0</v>
      </c>
      <c r="I86" s="1">
        <f t="shared" si="29"/>
        <v>0</v>
      </c>
      <c r="J86" s="25"/>
    </row>
    <row r="87" spans="1:10" s="118" customFormat="1" x14ac:dyDescent="0.25">
      <c r="A87" s="1">
        <v>70</v>
      </c>
      <c r="B87" s="213" t="s">
        <v>313</v>
      </c>
      <c r="C87" s="25"/>
      <c r="D87" s="25"/>
      <c r="E87" s="25"/>
      <c r="F87" s="25"/>
      <c r="G87" s="25"/>
      <c r="H87" s="1">
        <f t="shared" si="28"/>
        <v>0</v>
      </c>
      <c r="I87" s="1">
        <f t="shared" si="29"/>
        <v>0</v>
      </c>
      <c r="J87" s="117"/>
    </row>
    <row r="88" spans="1:10" x14ac:dyDescent="0.25">
      <c r="A88" s="1">
        <v>71</v>
      </c>
      <c r="B88" s="213" t="s">
        <v>314</v>
      </c>
      <c r="C88" s="1">
        <f t="shared" ref="C88:D95" si="31">SUM(0+0)</f>
        <v>0</v>
      </c>
      <c r="D88" s="25">
        <f t="shared" si="31"/>
        <v>0</v>
      </c>
      <c r="E88" s="25"/>
      <c r="F88" s="25"/>
      <c r="G88" s="25"/>
      <c r="H88" s="1">
        <f t="shared" si="28"/>
        <v>0</v>
      </c>
      <c r="I88" s="1">
        <f t="shared" si="29"/>
        <v>0</v>
      </c>
      <c r="J88" s="25"/>
    </row>
    <row r="89" spans="1:10" x14ac:dyDescent="0.25">
      <c r="A89" s="1">
        <v>72</v>
      </c>
      <c r="B89" s="213" t="s">
        <v>315</v>
      </c>
      <c r="C89" s="1">
        <f t="shared" si="31"/>
        <v>0</v>
      </c>
      <c r="D89" s="25">
        <f t="shared" si="31"/>
        <v>0</v>
      </c>
      <c r="E89" s="25"/>
      <c r="F89" s="25"/>
      <c r="G89" s="25"/>
      <c r="H89" s="1">
        <f t="shared" si="28"/>
        <v>0</v>
      </c>
      <c r="I89" s="1">
        <f t="shared" si="29"/>
        <v>0</v>
      </c>
      <c r="J89" s="25"/>
    </row>
    <row r="90" spans="1:10" x14ac:dyDescent="0.25">
      <c r="A90" s="1">
        <v>73</v>
      </c>
      <c r="B90" s="213" t="s">
        <v>316</v>
      </c>
      <c r="C90" s="1">
        <f t="shared" si="31"/>
        <v>0</v>
      </c>
      <c r="D90" s="25">
        <f t="shared" si="31"/>
        <v>0</v>
      </c>
      <c r="E90" s="25"/>
      <c r="F90" s="25"/>
      <c r="G90" s="25"/>
      <c r="H90" s="1">
        <f t="shared" si="28"/>
        <v>0</v>
      </c>
      <c r="I90" s="1">
        <f t="shared" si="29"/>
        <v>0</v>
      </c>
      <c r="J90" s="25"/>
    </row>
    <row r="91" spans="1:10" x14ac:dyDescent="0.25">
      <c r="A91" s="1">
        <v>74</v>
      </c>
      <c r="B91" s="213" t="s">
        <v>317</v>
      </c>
      <c r="C91" s="1">
        <f t="shared" si="31"/>
        <v>0</v>
      </c>
      <c r="D91" s="25">
        <f t="shared" si="31"/>
        <v>0</v>
      </c>
      <c r="E91" s="25"/>
      <c r="F91" s="25"/>
      <c r="G91" s="25"/>
      <c r="H91" s="1">
        <f t="shared" si="28"/>
        <v>0</v>
      </c>
      <c r="I91" s="1">
        <f t="shared" si="29"/>
        <v>0</v>
      </c>
      <c r="J91" s="28"/>
    </row>
    <row r="92" spans="1:10" x14ac:dyDescent="0.25">
      <c r="A92" s="1">
        <v>75</v>
      </c>
      <c r="B92" s="213" t="s">
        <v>318</v>
      </c>
      <c r="C92" s="1">
        <f t="shared" si="31"/>
        <v>0</v>
      </c>
      <c r="D92" s="25">
        <f t="shared" si="31"/>
        <v>0</v>
      </c>
      <c r="E92" s="25"/>
      <c r="F92" s="25"/>
      <c r="G92" s="25"/>
      <c r="H92" s="1">
        <f t="shared" si="28"/>
        <v>0</v>
      </c>
      <c r="I92" s="1">
        <f t="shared" si="29"/>
        <v>0</v>
      </c>
      <c r="J92" s="25"/>
    </row>
    <row r="93" spans="1:10" x14ac:dyDescent="0.25">
      <c r="A93" s="1">
        <v>76</v>
      </c>
      <c r="B93" s="213" t="s">
        <v>319</v>
      </c>
      <c r="C93" s="1">
        <f>SUM(0+0)</f>
        <v>0</v>
      </c>
      <c r="D93" s="25">
        <f>SUM(2+0)</f>
        <v>2</v>
      </c>
      <c r="E93" s="25"/>
      <c r="F93" s="25"/>
      <c r="G93" s="25"/>
      <c r="H93" s="1">
        <f t="shared" si="28"/>
        <v>0</v>
      </c>
      <c r="I93" s="1">
        <f t="shared" si="29"/>
        <v>2</v>
      </c>
      <c r="J93" s="28"/>
    </row>
    <row r="94" spans="1:10" x14ac:dyDescent="0.25">
      <c r="A94" s="1">
        <v>77</v>
      </c>
      <c r="B94" s="213" t="s">
        <v>320</v>
      </c>
      <c r="C94" s="1">
        <f t="shared" si="31"/>
        <v>0</v>
      </c>
      <c r="D94" s="25">
        <f t="shared" si="31"/>
        <v>0</v>
      </c>
      <c r="E94" s="25"/>
      <c r="F94" s="25"/>
      <c r="G94" s="25"/>
      <c r="H94" s="1">
        <f t="shared" si="28"/>
        <v>0</v>
      </c>
      <c r="I94" s="1">
        <f t="shared" si="29"/>
        <v>0</v>
      </c>
      <c r="J94" s="28"/>
    </row>
    <row r="95" spans="1:10" s="118" customFormat="1" x14ac:dyDescent="0.25">
      <c r="A95" s="1">
        <v>78</v>
      </c>
      <c r="B95" s="213" t="s">
        <v>321</v>
      </c>
      <c r="C95" s="1">
        <f>SUM(0+2)</f>
        <v>2</v>
      </c>
      <c r="D95" s="25">
        <f t="shared" si="31"/>
        <v>0</v>
      </c>
      <c r="E95" s="25"/>
      <c r="F95" s="25"/>
      <c r="G95" s="25"/>
      <c r="H95" s="1">
        <f t="shared" si="28"/>
        <v>0</v>
      </c>
      <c r="I95" s="1">
        <f t="shared" si="29"/>
        <v>0</v>
      </c>
      <c r="J95" s="28" t="s">
        <v>88</v>
      </c>
    </row>
    <row r="96" spans="1:10" x14ac:dyDescent="0.25">
      <c r="A96" s="1">
        <v>79</v>
      </c>
      <c r="B96" s="213" t="s">
        <v>322</v>
      </c>
      <c r="C96" s="1">
        <f t="shared" ref="C96:D101" si="32">SUM(0+0)</f>
        <v>0</v>
      </c>
      <c r="D96" s="25">
        <f t="shared" si="32"/>
        <v>0</v>
      </c>
      <c r="E96" s="25"/>
      <c r="F96" s="25"/>
      <c r="G96" s="25"/>
      <c r="H96" s="1">
        <f t="shared" si="28"/>
        <v>0</v>
      </c>
      <c r="I96" s="1">
        <f t="shared" si="29"/>
        <v>0</v>
      </c>
      <c r="J96" s="28"/>
    </row>
    <row r="97" spans="1:10" s="118" customFormat="1" x14ac:dyDescent="0.25">
      <c r="A97" s="1">
        <v>80</v>
      </c>
      <c r="B97" s="213" t="s">
        <v>323</v>
      </c>
      <c r="C97" s="1">
        <f t="shared" si="32"/>
        <v>0</v>
      </c>
      <c r="D97" s="25">
        <f t="shared" si="32"/>
        <v>0</v>
      </c>
      <c r="E97" s="25"/>
      <c r="F97" s="25"/>
      <c r="G97" s="25"/>
      <c r="H97" s="1">
        <f t="shared" si="28"/>
        <v>0</v>
      </c>
      <c r="I97" s="1">
        <f t="shared" si="29"/>
        <v>0</v>
      </c>
      <c r="J97" s="117"/>
    </row>
    <row r="98" spans="1:10" x14ac:dyDescent="0.25">
      <c r="A98" s="1">
        <v>81</v>
      </c>
      <c r="B98" s="213" t="s">
        <v>324</v>
      </c>
      <c r="C98" s="1">
        <f t="shared" si="32"/>
        <v>0</v>
      </c>
      <c r="D98" s="25">
        <f t="shared" si="32"/>
        <v>0</v>
      </c>
      <c r="E98" s="25"/>
      <c r="F98" s="25"/>
      <c r="G98" s="25"/>
      <c r="H98" s="1">
        <f t="shared" si="28"/>
        <v>0</v>
      </c>
      <c r="I98" s="1">
        <f t="shared" si="29"/>
        <v>0</v>
      </c>
      <c r="J98" s="25"/>
    </row>
    <row r="99" spans="1:10" x14ac:dyDescent="0.25">
      <c r="A99" s="1">
        <v>82</v>
      </c>
      <c r="B99" s="213" t="s">
        <v>325</v>
      </c>
      <c r="C99" s="1">
        <f t="shared" si="32"/>
        <v>0</v>
      </c>
      <c r="D99" s="25">
        <f t="shared" si="32"/>
        <v>0</v>
      </c>
      <c r="E99" s="25"/>
      <c r="F99" s="25"/>
      <c r="G99" s="25"/>
      <c r="H99" s="1">
        <f t="shared" si="28"/>
        <v>0</v>
      </c>
      <c r="I99" s="1">
        <f t="shared" si="29"/>
        <v>0</v>
      </c>
      <c r="J99" s="25"/>
    </row>
    <row r="100" spans="1:10" x14ac:dyDescent="0.25">
      <c r="A100" s="1">
        <v>83</v>
      </c>
      <c r="B100" s="213" t="s">
        <v>326</v>
      </c>
      <c r="C100" s="1">
        <f t="shared" si="32"/>
        <v>0</v>
      </c>
      <c r="D100" s="25">
        <f t="shared" si="32"/>
        <v>0</v>
      </c>
      <c r="E100" s="25"/>
      <c r="F100" s="25"/>
      <c r="G100" s="25"/>
      <c r="H100" s="1">
        <f t="shared" si="28"/>
        <v>0</v>
      </c>
      <c r="I100" s="1">
        <f t="shared" si="29"/>
        <v>0</v>
      </c>
      <c r="J100" s="25"/>
    </row>
    <row r="101" spans="1:10" x14ac:dyDescent="0.25">
      <c r="A101" s="1">
        <v>84</v>
      </c>
      <c r="B101" s="213" t="s">
        <v>327</v>
      </c>
      <c r="C101" s="1">
        <f t="shared" si="32"/>
        <v>0</v>
      </c>
      <c r="D101" s="25">
        <f t="shared" si="32"/>
        <v>0</v>
      </c>
      <c r="E101" s="25"/>
      <c r="F101" s="25"/>
      <c r="G101" s="25"/>
      <c r="H101" s="1">
        <f t="shared" si="28"/>
        <v>0</v>
      </c>
      <c r="I101" s="1">
        <f t="shared" si="29"/>
        <v>0</v>
      </c>
      <c r="J101" s="25"/>
    </row>
    <row r="102" spans="1:10" ht="30" x14ac:dyDescent="0.25">
      <c r="A102" s="1">
        <v>85</v>
      </c>
      <c r="B102" s="213" t="s">
        <v>328</v>
      </c>
      <c r="C102" s="1">
        <f>SUM(5+0)</f>
        <v>5</v>
      </c>
      <c r="D102" s="25">
        <f>SUM(1+4+1)</f>
        <v>6</v>
      </c>
      <c r="E102" s="25"/>
      <c r="F102" s="25"/>
      <c r="G102" s="25"/>
      <c r="H102" s="1">
        <f t="shared" si="28"/>
        <v>0</v>
      </c>
      <c r="I102" s="1">
        <f t="shared" si="29"/>
        <v>6</v>
      </c>
      <c r="J102" s="35" t="s">
        <v>95</v>
      </c>
    </row>
    <row r="103" spans="1:10" x14ac:dyDescent="0.25">
      <c r="A103" s="1">
        <v>86</v>
      </c>
      <c r="B103" s="213" t="s">
        <v>329</v>
      </c>
      <c r="C103" s="1">
        <f t="shared" ref="C103:D107" si="33">SUM(0+0)</f>
        <v>0</v>
      </c>
      <c r="D103" s="25">
        <f t="shared" si="33"/>
        <v>0</v>
      </c>
      <c r="E103" s="25"/>
      <c r="F103" s="25"/>
      <c r="G103" s="25"/>
      <c r="H103" s="1">
        <f t="shared" si="28"/>
        <v>0</v>
      </c>
      <c r="I103" s="1">
        <f t="shared" si="29"/>
        <v>0</v>
      </c>
      <c r="J103" s="28"/>
    </row>
    <row r="104" spans="1:10" s="118" customFormat="1" x14ac:dyDescent="0.25">
      <c r="A104" s="1">
        <v>87</v>
      </c>
      <c r="B104" s="213" t="s">
        <v>330</v>
      </c>
      <c r="C104" s="1">
        <f t="shared" si="33"/>
        <v>0</v>
      </c>
      <c r="D104" s="25">
        <f>SUM(0+2)</f>
        <v>2</v>
      </c>
      <c r="E104" s="25"/>
      <c r="F104" s="25"/>
      <c r="G104" s="25"/>
      <c r="H104" s="1">
        <f t="shared" si="28"/>
        <v>0</v>
      </c>
      <c r="I104" s="1">
        <f t="shared" si="29"/>
        <v>2</v>
      </c>
      <c r="J104" s="49" t="s">
        <v>96</v>
      </c>
    </row>
    <row r="105" spans="1:10" x14ac:dyDescent="0.25">
      <c r="A105" s="1">
        <v>88</v>
      </c>
      <c r="B105" s="213" t="s">
        <v>331</v>
      </c>
      <c r="C105" s="1">
        <f t="shared" si="33"/>
        <v>0</v>
      </c>
      <c r="D105" s="25">
        <f t="shared" si="33"/>
        <v>0</v>
      </c>
      <c r="E105" s="25"/>
      <c r="F105" s="25"/>
      <c r="G105" s="25"/>
      <c r="H105" s="1">
        <f t="shared" si="28"/>
        <v>0</v>
      </c>
      <c r="I105" s="1">
        <f t="shared" si="29"/>
        <v>0</v>
      </c>
      <c r="J105" s="25"/>
    </row>
    <row r="106" spans="1:10" x14ac:dyDescent="0.25">
      <c r="A106" s="1">
        <v>89</v>
      </c>
      <c r="B106" s="213" t="s">
        <v>332</v>
      </c>
      <c r="C106" s="1">
        <f t="shared" si="33"/>
        <v>0</v>
      </c>
      <c r="D106" s="25">
        <f t="shared" si="33"/>
        <v>0</v>
      </c>
      <c r="E106" s="25"/>
      <c r="F106" s="25"/>
      <c r="G106" s="25"/>
      <c r="H106" s="1">
        <f t="shared" si="28"/>
        <v>0</v>
      </c>
      <c r="I106" s="1">
        <f t="shared" si="29"/>
        <v>0</v>
      </c>
      <c r="J106" s="28"/>
    </row>
    <row r="107" spans="1:10" s="118" customFormat="1" x14ac:dyDescent="0.25">
      <c r="A107" s="1">
        <v>90</v>
      </c>
      <c r="B107" s="213" t="s">
        <v>333</v>
      </c>
      <c r="C107" s="1">
        <f t="shared" si="33"/>
        <v>0</v>
      </c>
      <c r="D107" s="25">
        <f t="shared" si="33"/>
        <v>0</v>
      </c>
      <c r="E107" s="25"/>
      <c r="F107" s="25"/>
      <c r="G107" s="25"/>
      <c r="H107" s="1">
        <f t="shared" si="28"/>
        <v>0</v>
      </c>
      <c r="I107" s="1">
        <f t="shared" si="29"/>
        <v>0</v>
      </c>
      <c r="J107" s="32"/>
    </row>
    <row r="108" spans="1:10" x14ac:dyDescent="0.25">
      <c r="A108" s="1">
        <v>91</v>
      </c>
      <c r="B108" s="213" t="s">
        <v>334</v>
      </c>
      <c r="C108" s="1">
        <f t="shared" ref="C108:D115" si="34">SUM(0+0)</f>
        <v>0</v>
      </c>
      <c r="D108" s="25">
        <f t="shared" si="34"/>
        <v>0</v>
      </c>
      <c r="E108" s="25"/>
      <c r="F108" s="25"/>
      <c r="G108" s="25"/>
      <c r="H108" s="1">
        <f t="shared" si="28"/>
        <v>0</v>
      </c>
      <c r="I108" s="1">
        <f t="shared" si="29"/>
        <v>0</v>
      </c>
      <c r="J108" s="25"/>
    </row>
    <row r="109" spans="1:10" x14ac:dyDescent="0.25">
      <c r="A109" s="1">
        <v>92</v>
      </c>
      <c r="B109" s="213" t="s">
        <v>335</v>
      </c>
      <c r="C109" s="1">
        <f t="shared" si="34"/>
        <v>0</v>
      </c>
      <c r="D109" s="25">
        <f t="shared" si="34"/>
        <v>0</v>
      </c>
      <c r="E109" s="25"/>
      <c r="F109" s="25"/>
      <c r="G109" s="25"/>
      <c r="H109" s="1">
        <f t="shared" si="28"/>
        <v>0</v>
      </c>
      <c r="I109" s="1">
        <f t="shared" si="29"/>
        <v>0</v>
      </c>
      <c r="J109" s="25"/>
    </row>
    <row r="110" spans="1:10" x14ac:dyDescent="0.25">
      <c r="A110" s="1">
        <v>93</v>
      </c>
      <c r="B110" s="213" t="s">
        <v>336</v>
      </c>
      <c r="C110" s="1">
        <f t="shared" si="34"/>
        <v>0</v>
      </c>
      <c r="D110" s="25">
        <f t="shared" si="34"/>
        <v>0</v>
      </c>
      <c r="E110" s="25"/>
      <c r="F110" s="25"/>
      <c r="G110" s="25"/>
      <c r="H110" s="1">
        <f t="shared" si="28"/>
        <v>0</v>
      </c>
      <c r="I110" s="1">
        <f t="shared" si="29"/>
        <v>0</v>
      </c>
      <c r="J110" s="25"/>
    </row>
    <row r="111" spans="1:10" x14ac:dyDescent="0.25">
      <c r="A111" s="1">
        <v>94</v>
      </c>
      <c r="B111" s="213" t="s">
        <v>337</v>
      </c>
      <c r="C111" s="1">
        <f t="shared" si="34"/>
        <v>0</v>
      </c>
      <c r="D111" s="25">
        <f t="shared" si="34"/>
        <v>0</v>
      </c>
      <c r="E111" s="25"/>
      <c r="F111" s="25"/>
      <c r="G111" s="25"/>
      <c r="H111" s="1">
        <f t="shared" si="28"/>
        <v>0</v>
      </c>
      <c r="I111" s="1">
        <f t="shared" si="29"/>
        <v>0</v>
      </c>
      <c r="J111" s="25"/>
    </row>
    <row r="112" spans="1:10" x14ac:dyDescent="0.25">
      <c r="A112" s="1">
        <v>95</v>
      </c>
      <c r="B112" s="213" t="s">
        <v>338</v>
      </c>
      <c r="C112" s="1">
        <f t="shared" si="34"/>
        <v>0</v>
      </c>
      <c r="D112" s="25">
        <f t="shared" si="34"/>
        <v>0</v>
      </c>
      <c r="E112" s="25"/>
      <c r="F112" s="25"/>
      <c r="G112" s="25"/>
      <c r="H112" s="1">
        <f t="shared" si="28"/>
        <v>0</v>
      </c>
      <c r="I112" s="1">
        <f t="shared" si="29"/>
        <v>0</v>
      </c>
      <c r="J112" s="28"/>
    </row>
    <row r="113" spans="1:10" x14ac:dyDescent="0.25">
      <c r="A113" s="1">
        <v>96</v>
      </c>
      <c r="B113" s="213" t="s">
        <v>339</v>
      </c>
      <c r="C113" s="1">
        <f t="shared" si="34"/>
        <v>0</v>
      </c>
      <c r="D113" s="25">
        <f t="shared" si="34"/>
        <v>0</v>
      </c>
      <c r="E113" s="25"/>
      <c r="F113" s="25"/>
      <c r="G113" s="25"/>
      <c r="H113" s="1">
        <f t="shared" si="28"/>
        <v>0</v>
      </c>
      <c r="I113" s="1">
        <f t="shared" si="29"/>
        <v>0</v>
      </c>
      <c r="J113" s="25"/>
    </row>
    <row r="114" spans="1:10" x14ac:dyDescent="0.25">
      <c r="A114" s="1">
        <v>97</v>
      </c>
      <c r="B114" s="213" t="s">
        <v>340</v>
      </c>
      <c r="C114" s="1">
        <f t="shared" si="34"/>
        <v>0</v>
      </c>
      <c r="D114" s="25">
        <f t="shared" si="34"/>
        <v>0</v>
      </c>
      <c r="E114" s="25"/>
      <c r="F114" s="25"/>
      <c r="G114" s="25"/>
      <c r="H114" s="1">
        <f t="shared" si="28"/>
        <v>0</v>
      </c>
      <c r="I114" s="1">
        <f t="shared" si="29"/>
        <v>0</v>
      </c>
      <c r="J114" s="28"/>
    </row>
    <row r="115" spans="1:10" x14ac:dyDescent="0.25">
      <c r="A115" s="1">
        <v>98</v>
      </c>
      <c r="B115" s="213" t="s">
        <v>341</v>
      </c>
      <c r="C115" s="1">
        <f t="shared" si="34"/>
        <v>0</v>
      </c>
      <c r="D115" s="25">
        <f t="shared" si="34"/>
        <v>0</v>
      </c>
      <c r="E115" s="25"/>
      <c r="F115" s="25"/>
      <c r="G115" s="25"/>
      <c r="H115" s="1">
        <f t="shared" si="28"/>
        <v>0</v>
      </c>
      <c r="I115" s="1">
        <f t="shared" si="29"/>
        <v>0</v>
      </c>
      <c r="J115" s="29"/>
    </row>
    <row r="116" spans="1:10" x14ac:dyDescent="0.25">
      <c r="A116" s="1">
        <v>99</v>
      </c>
      <c r="B116" s="213" t="s">
        <v>342</v>
      </c>
      <c r="C116" s="1">
        <f t="shared" ref="C116:D120" si="35">SUM(0+0)</f>
        <v>0</v>
      </c>
      <c r="D116" s="25">
        <f t="shared" si="35"/>
        <v>0</v>
      </c>
      <c r="E116" s="25"/>
      <c r="F116" s="25"/>
      <c r="G116" s="25"/>
      <c r="H116" s="1">
        <f t="shared" si="28"/>
        <v>0</v>
      </c>
      <c r="I116" s="1">
        <f t="shared" si="29"/>
        <v>0</v>
      </c>
      <c r="J116" s="25"/>
    </row>
    <row r="117" spans="1:10" x14ac:dyDescent="0.25">
      <c r="A117" s="1">
        <v>100</v>
      </c>
      <c r="B117" s="213" t="s">
        <v>343</v>
      </c>
      <c r="C117" s="1">
        <f t="shared" si="35"/>
        <v>0</v>
      </c>
      <c r="D117" s="25">
        <f t="shared" si="35"/>
        <v>0</v>
      </c>
      <c r="E117" s="25"/>
      <c r="F117" s="25"/>
      <c r="G117" s="25"/>
      <c r="H117" s="1">
        <f t="shared" si="28"/>
        <v>0</v>
      </c>
      <c r="I117" s="1">
        <f t="shared" si="29"/>
        <v>0</v>
      </c>
      <c r="J117" s="25"/>
    </row>
    <row r="118" spans="1:10" x14ac:dyDescent="0.25">
      <c r="A118" s="1">
        <v>101</v>
      </c>
      <c r="B118" s="213" t="s">
        <v>344</v>
      </c>
      <c r="C118" s="1">
        <f t="shared" si="35"/>
        <v>0</v>
      </c>
      <c r="D118" s="25">
        <f t="shared" si="35"/>
        <v>0</v>
      </c>
      <c r="E118" s="25"/>
      <c r="F118" s="25"/>
      <c r="G118" s="25"/>
      <c r="H118" s="1">
        <f t="shared" si="28"/>
        <v>0</v>
      </c>
      <c r="I118" s="1">
        <f t="shared" si="29"/>
        <v>0</v>
      </c>
      <c r="J118" s="25"/>
    </row>
    <row r="119" spans="1:10" x14ac:dyDescent="0.25">
      <c r="A119" s="1">
        <v>102</v>
      </c>
      <c r="B119" s="213" t="s">
        <v>345</v>
      </c>
      <c r="C119" s="1">
        <f t="shared" si="35"/>
        <v>0</v>
      </c>
      <c r="D119" s="25">
        <f t="shared" si="35"/>
        <v>0</v>
      </c>
      <c r="E119" s="25"/>
      <c r="F119" s="25"/>
      <c r="G119" s="25"/>
      <c r="H119" s="1">
        <f t="shared" si="28"/>
        <v>0</v>
      </c>
      <c r="I119" s="1">
        <f t="shared" si="29"/>
        <v>0</v>
      </c>
      <c r="J119" s="25"/>
    </row>
    <row r="120" spans="1:10" x14ac:dyDescent="0.25">
      <c r="A120" s="1">
        <v>103</v>
      </c>
      <c r="B120" s="213" t="s">
        <v>346</v>
      </c>
      <c r="C120" s="1">
        <f t="shared" si="35"/>
        <v>0</v>
      </c>
      <c r="D120" s="25">
        <f>SUM(2+0)</f>
        <v>2</v>
      </c>
      <c r="E120" s="25"/>
      <c r="F120" s="25"/>
      <c r="G120" s="25"/>
      <c r="H120" s="1">
        <f t="shared" si="28"/>
        <v>0</v>
      </c>
      <c r="I120" s="1">
        <f t="shared" si="29"/>
        <v>2</v>
      </c>
      <c r="J120" s="25"/>
    </row>
    <row r="121" spans="1:10" x14ac:dyDescent="0.25">
      <c r="A121" s="1">
        <v>104</v>
      </c>
      <c r="B121" s="213" t="s">
        <v>347</v>
      </c>
      <c r="C121" s="1">
        <f t="shared" ref="C121:D124" si="36">SUM(0+0)</f>
        <v>0</v>
      </c>
      <c r="D121" s="25">
        <f t="shared" si="36"/>
        <v>0</v>
      </c>
      <c r="E121" s="25"/>
      <c r="F121" s="25"/>
      <c r="G121" s="25"/>
      <c r="H121" s="1">
        <f t="shared" si="28"/>
        <v>0</v>
      </c>
      <c r="I121" s="1">
        <f t="shared" si="29"/>
        <v>0</v>
      </c>
    </row>
    <row r="122" spans="1:10" x14ac:dyDescent="0.25">
      <c r="A122" s="1">
        <v>105</v>
      </c>
      <c r="B122" s="213" t="s">
        <v>348</v>
      </c>
      <c r="C122" s="1">
        <f t="shared" si="36"/>
        <v>0</v>
      </c>
      <c r="D122" s="25">
        <f t="shared" si="36"/>
        <v>0</v>
      </c>
      <c r="E122" s="25"/>
      <c r="F122" s="25"/>
      <c r="G122" s="25"/>
      <c r="H122" s="1">
        <f t="shared" si="28"/>
        <v>0</v>
      </c>
      <c r="I122" s="1">
        <f t="shared" si="29"/>
        <v>0</v>
      </c>
      <c r="J122" s="25"/>
    </row>
    <row r="123" spans="1:10" x14ac:dyDescent="0.25">
      <c r="A123" s="1">
        <v>106</v>
      </c>
      <c r="B123" s="213" t="s">
        <v>349</v>
      </c>
      <c r="C123" s="1">
        <f t="shared" si="36"/>
        <v>0</v>
      </c>
      <c r="D123" s="25">
        <f t="shared" si="36"/>
        <v>0</v>
      </c>
      <c r="E123" s="25"/>
      <c r="F123" s="25"/>
      <c r="G123" s="25"/>
      <c r="H123" s="1">
        <f t="shared" si="28"/>
        <v>0</v>
      </c>
      <c r="I123" s="1">
        <f t="shared" si="29"/>
        <v>0</v>
      </c>
      <c r="J123" s="25"/>
    </row>
    <row r="124" spans="1:10" x14ac:dyDescent="0.25">
      <c r="A124" s="1">
        <v>107</v>
      </c>
      <c r="B124" s="213" t="s">
        <v>350</v>
      </c>
      <c r="C124" s="1">
        <f t="shared" si="36"/>
        <v>0</v>
      </c>
      <c r="D124" s="25">
        <f t="shared" si="36"/>
        <v>0</v>
      </c>
      <c r="E124" s="25"/>
      <c r="F124" s="25"/>
      <c r="G124" s="25"/>
      <c r="H124" s="1">
        <f t="shared" si="28"/>
        <v>0</v>
      </c>
      <c r="I124" s="1">
        <f t="shared" si="29"/>
        <v>0</v>
      </c>
      <c r="J124" s="28"/>
    </row>
    <row r="125" spans="1:10" ht="15.6" x14ac:dyDescent="0.25">
      <c r="A125" s="41" t="s">
        <v>78</v>
      </c>
      <c r="B125" s="76"/>
      <c r="C125" s="76"/>
      <c r="D125" s="76"/>
      <c r="E125" s="76"/>
      <c r="F125" s="76"/>
      <c r="G125" s="76"/>
      <c r="H125" s="76"/>
      <c r="I125" s="76"/>
      <c r="J125" s="77"/>
    </row>
    <row r="126" spans="1:10" s="3" customFormat="1" x14ac:dyDescent="0.3">
      <c r="A126" s="30">
        <v>108</v>
      </c>
      <c r="B126" s="29" t="s">
        <v>351</v>
      </c>
      <c r="C126" s="1">
        <f t="shared" ref="C126:D128" si="37">SUM(0+0)</f>
        <v>0</v>
      </c>
      <c r="D126" s="25">
        <f t="shared" si="37"/>
        <v>0</v>
      </c>
      <c r="E126" s="25"/>
      <c r="F126" s="25"/>
      <c r="G126" s="25"/>
      <c r="H126" s="1">
        <f t="shared" ref="H126:H189" si="38">SUM(E126:G126)</f>
        <v>0</v>
      </c>
      <c r="I126" s="1">
        <f t="shared" ref="I126:I189" si="39">D126-H126</f>
        <v>0</v>
      </c>
      <c r="J126" s="35"/>
    </row>
    <row r="127" spans="1:10" s="3" customFormat="1" x14ac:dyDescent="0.3">
      <c r="A127" s="30">
        <v>109</v>
      </c>
      <c r="B127" s="29" t="s">
        <v>352</v>
      </c>
      <c r="C127" s="1">
        <f t="shared" si="37"/>
        <v>0</v>
      </c>
      <c r="D127" s="25">
        <f t="shared" si="37"/>
        <v>0</v>
      </c>
      <c r="E127" s="25"/>
      <c r="F127" s="25"/>
      <c r="G127" s="25"/>
      <c r="H127" s="1">
        <f t="shared" si="38"/>
        <v>0</v>
      </c>
      <c r="I127" s="1">
        <f t="shared" si="39"/>
        <v>0</v>
      </c>
      <c r="J127" s="35"/>
    </row>
    <row r="128" spans="1:10" x14ac:dyDescent="0.25">
      <c r="A128" s="30">
        <v>110</v>
      </c>
      <c r="B128" s="29" t="s">
        <v>353</v>
      </c>
      <c r="C128" s="1">
        <f t="shared" si="37"/>
        <v>0</v>
      </c>
      <c r="D128" s="25">
        <f t="shared" si="37"/>
        <v>0</v>
      </c>
      <c r="E128" s="25"/>
      <c r="F128" s="25"/>
      <c r="G128" s="25"/>
      <c r="H128" s="1">
        <f t="shared" si="38"/>
        <v>0</v>
      </c>
      <c r="I128" s="1">
        <f t="shared" si="39"/>
        <v>0</v>
      </c>
      <c r="J128" s="28"/>
    </row>
    <row r="129" spans="1:10" x14ac:dyDescent="0.25">
      <c r="A129" s="30">
        <v>111</v>
      </c>
      <c r="B129" s="29" t="s">
        <v>354</v>
      </c>
      <c r="C129" s="1">
        <f t="shared" ref="C129:D141" si="40">SUM(0+0)</f>
        <v>0</v>
      </c>
      <c r="D129" s="25">
        <f t="shared" si="40"/>
        <v>0</v>
      </c>
      <c r="E129" s="25"/>
      <c r="F129" s="25"/>
      <c r="G129" s="25"/>
      <c r="H129" s="1">
        <f t="shared" si="38"/>
        <v>0</v>
      </c>
      <c r="I129" s="1">
        <f t="shared" si="39"/>
        <v>0</v>
      </c>
      <c r="J129" s="80"/>
    </row>
    <row r="130" spans="1:10" s="65" customFormat="1" x14ac:dyDescent="0.3">
      <c r="A130" s="30">
        <v>112</v>
      </c>
      <c r="B130" s="29" t="s">
        <v>355</v>
      </c>
      <c r="C130" s="1">
        <f t="shared" si="40"/>
        <v>0</v>
      </c>
      <c r="D130" s="25">
        <f t="shared" si="40"/>
        <v>0</v>
      </c>
      <c r="E130" s="25"/>
      <c r="F130" s="25"/>
      <c r="G130" s="25"/>
      <c r="H130" s="1">
        <f t="shared" si="38"/>
        <v>0</v>
      </c>
      <c r="I130" s="1">
        <f t="shared" si="39"/>
        <v>0</v>
      </c>
      <c r="J130" s="29"/>
    </row>
    <row r="131" spans="1:10" x14ac:dyDescent="0.25">
      <c r="A131" s="30">
        <v>113</v>
      </c>
      <c r="B131" s="29" t="s">
        <v>356</v>
      </c>
      <c r="C131" s="1">
        <f t="shared" si="40"/>
        <v>0</v>
      </c>
      <c r="D131" s="25">
        <f t="shared" si="40"/>
        <v>0</v>
      </c>
      <c r="E131" s="25"/>
      <c r="F131" s="25"/>
      <c r="G131" s="25"/>
      <c r="H131" s="1">
        <f t="shared" si="38"/>
        <v>0</v>
      </c>
      <c r="I131" s="1">
        <f t="shared" si="39"/>
        <v>0</v>
      </c>
    </row>
    <row r="132" spans="1:10" x14ac:dyDescent="0.25">
      <c r="A132" s="30">
        <v>114</v>
      </c>
      <c r="B132" s="29" t="s">
        <v>357</v>
      </c>
      <c r="C132" s="1">
        <f t="shared" si="40"/>
        <v>0</v>
      </c>
      <c r="D132" s="25">
        <f t="shared" si="40"/>
        <v>0</v>
      </c>
      <c r="E132" s="25"/>
      <c r="F132" s="25"/>
      <c r="G132" s="25"/>
      <c r="H132" s="1">
        <f t="shared" si="38"/>
        <v>0</v>
      </c>
      <c r="I132" s="1">
        <f t="shared" si="39"/>
        <v>0</v>
      </c>
      <c r="J132" s="29"/>
    </row>
    <row r="133" spans="1:10" s="64" customFormat="1" x14ac:dyDescent="0.3">
      <c r="A133" s="30">
        <v>115</v>
      </c>
      <c r="B133" s="29" t="s">
        <v>358</v>
      </c>
      <c r="C133" s="1">
        <f t="shared" si="40"/>
        <v>0</v>
      </c>
      <c r="D133" s="25">
        <f t="shared" si="40"/>
        <v>0</v>
      </c>
      <c r="E133" s="25"/>
      <c r="F133" s="25"/>
      <c r="G133" s="25"/>
      <c r="H133" s="1">
        <f t="shared" si="38"/>
        <v>0</v>
      </c>
      <c r="I133" s="1">
        <f t="shared" si="39"/>
        <v>0</v>
      </c>
      <c r="J133" s="29"/>
    </row>
    <row r="134" spans="1:10" x14ac:dyDescent="0.25">
      <c r="A134" s="30">
        <v>116</v>
      </c>
      <c r="B134" s="29" t="s">
        <v>359</v>
      </c>
      <c r="C134" s="1">
        <f t="shared" si="40"/>
        <v>0</v>
      </c>
      <c r="D134" s="25">
        <f t="shared" si="40"/>
        <v>0</v>
      </c>
      <c r="E134" s="25"/>
      <c r="F134" s="25"/>
      <c r="G134" s="25"/>
      <c r="H134" s="1">
        <f t="shared" si="38"/>
        <v>0</v>
      </c>
      <c r="I134" s="1">
        <f t="shared" si="39"/>
        <v>0</v>
      </c>
      <c r="J134" s="25"/>
    </row>
    <row r="135" spans="1:10" s="118" customFormat="1" ht="31.2" x14ac:dyDescent="0.25">
      <c r="A135" s="30">
        <v>117</v>
      </c>
      <c r="B135" s="29" t="s">
        <v>360</v>
      </c>
      <c r="C135" s="1">
        <f>SUM(13+0)</f>
        <v>13</v>
      </c>
      <c r="D135" s="25">
        <f>SUM(12-2+1)</f>
        <v>11</v>
      </c>
      <c r="E135" s="25"/>
      <c r="F135" s="25"/>
      <c r="G135" s="25"/>
      <c r="H135" s="1">
        <f t="shared" si="38"/>
        <v>0</v>
      </c>
      <c r="I135" s="1">
        <f t="shared" si="39"/>
        <v>11</v>
      </c>
      <c r="J135" s="184" t="s">
        <v>84</v>
      </c>
    </row>
    <row r="136" spans="1:10" x14ac:dyDescent="0.25">
      <c r="A136" s="30">
        <v>118</v>
      </c>
      <c r="B136" s="29" t="s">
        <v>361</v>
      </c>
      <c r="C136" s="1">
        <f t="shared" si="40"/>
        <v>0</v>
      </c>
      <c r="D136" s="25">
        <f t="shared" si="40"/>
        <v>0</v>
      </c>
      <c r="E136" s="25"/>
      <c r="F136" s="25"/>
      <c r="G136" s="25"/>
      <c r="H136" s="1">
        <f t="shared" si="38"/>
        <v>0</v>
      </c>
      <c r="I136" s="1">
        <f t="shared" si="39"/>
        <v>0</v>
      </c>
      <c r="J136" s="32"/>
    </row>
    <row r="137" spans="1:10" x14ac:dyDescent="0.25">
      <c r="A137" s="30">
        <v>119</v>
      </c>
      <c r="B137" s="29" t="s">
        <v>362</v>
      </c>
      <c r="C137" s="1">
        <f t="shared" si="40"/>
        <v>0</v>
      </c>
      <c r="D137" s="25">
        <f t="shared" si="40"/>
        <v>0</v>
      </c>
      <c r="E137" s="25"/>
      <c r="F137" s="25"/>
      <c r="G137" s="25"/>
      <c r="H137" s="1">
        <f t="shared" si="38"/>
        <v>0</v>
      </c>
      <c r="I137" s="1">
        <f t="shared" si="39"/>
        <v>0</v>
      </c>
      <c r="J137" s="49"/>
    </row>
    <row r="138" spans="1:10" s="118" customFormat="1" x14ac:dyDescent="0.25">
      <c r="A138" s="30">
        <v>120</v>
      </c>
      <c r="B138" s="29" t="s">
        <v>363</v>
      </c>
      <c r="C138" s="1">
        <f t="shared" si="40"/>
        <v>0</v>
      </c>
      <c r="D138" s="25">
        <f t="shared" si="40"/>
        <v>0</v>
      </c>
      <c r="E138" s="25"/>
      <c r="F138" s="25"/>
      <c r="G138" s="25"/>
      <c r="H138" s="1">
        <f t="shared" si="38"/>
        <v>0</v>
      </c>
      <c r="I138" s="1">
        <f t="shared" si="39"/>
        <v>0</v>
      </c>
      <c r="J138" s="35"/>
    </row>
    <row r="139" spans="1:10" x14ac:dyDescent="0.25">
      <c r="A139" s="30">
        <v>121</v>
      </c>
      <c r="B139" s="29" t="s">
        <v>364</v>
      </c>
      <c r="C139" s="1">
        <f t="shared" si="40"/>
        <v>0</v>
      </c>
      <c r="D139" s="25">
        <f t="shared" si="40"/>
        <v>0</v>
      </c>
      <c r="E139" s="25"/>
      <c r="F139" s="25"/>
      <c r="G139" s="25"/>
      <c r="H139" s="1">
        <f t="shared" si="38"/>
        <v>0</v>
      </c>
      <c r="I139" s="1">
        <f t="shared" si="39"/>
        <v>0</v>
      </c>
      <c r="J139" s="85"/>
    </row>
    <row r="140" spans="1:10" x14ac:dyDescent="0.25">
      <c r="A140" s="30">
        <v>122</v>
      </c>
      <c r="B140" s="29" t="s">
        <v>365</v>
      </c>
      <c r="C140" s="25">
        <f>SUM(2+0)</f>
        <v>2</v>
      </c>
      <c r="D140" s="25">
        <f>SUM(2+0)</f>
        <v>2</v>
      </c>
      <c r="E140" s="25"/>
      <c r="F140" s="25"/>
      <c r="G140" s="25"/>
      <c r="H140" s="1">
        <f t="shared" si="38"/>
        <v>0</v>
      </c>
      <c r="I140" s="1">
        <f t="shared" si="39"/>
        <v>2</v>
      </c>
      <c r="J140" s="49" t="s">
        <v>94</v>
      </c>
    </row>
    <row r="141" spans="1:10" x14ac:dyDescent="0.25">
      <c r="A141" s="30">
        <v>123</v>
      </c>
      <c r="B141" s="29" t="s">
        <v>366</v>
      </c>
      <c r="C141" s="1">
        <f t="shared" si="40"/>
        <v>0</v>
      </c>
      <c r="D141" s="25">
        <f t="shared" si="40"/>
        <v>0</v>
      </c>
      <c r="E141" s="25"/>
      <c r="F141" s="25"/>
      <c r="G141" s="25"/>
      <c r="H141" s="1">
        <f t="shared" si="38"/>
        <v>0</v>
      </c>
      <c r="I141" s="1">
        <f t="shared" si="39"/>
        <v>0</v>
      </c>
    </row>
    <row r="142" spans="1:10" s="5" customFormat="1" x14ac:dyDescent="0.25">
      <c r="A142" s="30">
        <v>124</v>
      </c>
      <c r="B142" s="29" t="s">
        <v>367</v>
      </c>
      <c r="C142" s="1">
        <f t="shared" ref="C142:D151" si="41">SUM(0+0)</f>
        <v>0</v>
      </c>
      <c r="D142" s="25">
        <f t="shared" si="41"/>
        <v>0</v>
      </c>
      <c r="E142" s="25"/>
      <c r="F142" s="25"/>
      <c r="G142" s="25"/>
      <c r="H142" s="1">
        <f t="shared" si="38"/>
        <v>0</v>
      </c>
      <c r="I142" s="1">
        <f t="shared" si="39"/>
        <v>0</v>
      </c>
      <c r="J142" s="44"/>
    </row>
    <row r="143" spans="1:10" x14ac:dyDescent="0.25">
      <c r="A143" s="30">
        <v>125</v>
      </c>
      <c r="B143" s="29" t="s">
        <v>368</v>
      </c>
      <c r="C143" s="1">
        <f t="shared" si="41"/>
        <v>0</v>
      </c>
      <c r="D143" s="25">
        <f t="shared" si="41"/>
        <v>0</v>
      </c>
      <c r="E143" s="25"/>
      <c r="F143" s="25"/>
      <c r="G143" s="25"/>
      <c r="H143" s="1">
        <f t="shared" si="38"/>
        <v>0</v>
      </c>
      <c r="I143" s="1">
        <f t="shared" si="39"/>
        <v>0</v>
      </c>
      <c r="J143" s="35"/>
    </row>
    <row r="144" spans="1:10" x14ac:dyDescent="0.25">
      <c r="A144" s="30">
        <v>126</v>
      </c>
      <c r="B144" s="29" t="s">
        <v>369</v>
      </c>
      <c r="C144" s="1">
        <f t="shared" si="41"/>
        <v>0</v>
      </c>
      <c r="D144" s="25">
        <f t="shared" si="41"/>
        <v>0</v>
      </c>
      <c r="E144" s="25"/>
      <c r="F144" s="25"/>
      <c r="G144" s="25"/>
      <c r="H144" s="1">
        <f t="shared" si="38"/>
        <v>0</v>
      </c>
      <c r="I144" s="1">
        <f t="shared" si="39"/>
        <v>0</v>
      </c>
      <c r="J144" s="50"/>
    </row>
    <row r="145" spans="1:10" s="64" customFormat="1" x14ac:dyDescent="0.3">
      <c r="A145" s="30">
        <v>127</v>
      </c>
      <c r="B145" s="29" t="s">
        <v>370</v>
      </c>
      <c r="C145" s="1">
        <f>SUM(0+1)</f>
        <v>1</v>
      </c>
      <c r="D145" s="25">
        <f>SUM(0+1)</f>
        <v>1</v>
      </c>
      <c r="E145" s="25"/>
      <c r="F145" s="25"/>
      <c r="G145" s="25"/>
      <c r="H145" s="1">
        <f t="shared" si="38"/>
        <v>0</v>
      </c>
      <c r="I145" s="1">
        <f t="shared" si="39"/>
        <v>1</v>
      </c>
      <c r="J145" s="50"/>
    </row>
    <row r="146" spans="1:10" ht="15.6" x14ac:dyDescent="0.25">
      <c r="A146" s="30">
        <v>128</v>
      </c>
      <c r="B146" s="29" t="s">
        <v>371</v>
      </c>
      <c r="C146" s="1">
        <f t="shared" si="41"/>
        <v>0</v>
      </c>
      <c r="D146" s="25">
        <f t="shared" si="41"/>
        <v>0</v>
      </c>
      <c r="E146" s="25"/>
      <c r="F146" s="25"/>
      <c r="G146" s="25"/>
      <c r="H146" s="1">
        <f t="shared" si="38"/>
        <v>0</v>
      </c>
      <c r="I146" s="1">
        <f t="shared" si="39"/>
        <v>0</v>
      </c>
      <c r="J146" s="22"/>
    </row>
    <row r="147" spans="1:10" x14ac:dyDescent="0.25">
      <c r="A147" s="30">
        <v>129</v>
      </c>
      <c r="B147" s="29" t="s">
        <v>372</v>
      </c>
      <c r="C147" s="1">
        <f t="shared" si="41"/>
        <v>0</v>
      </c>
      <c r="D147" s="25">
        <f t="shared" si="41"/>
        <v>0</v>
      </c>
      <c r="E147" s="25"/>
      <c r="F147" s="25"/>
      <c r="G147" s="25"/>
      <c r="H147" s="1">
        <f t="shared" si="38"/>
        <v>0</v>
      </c>
      <c r="I147" s="1">
        <f t="shared" si="39"/>
        <v>0</v>
      </c>
      <c r="J147" s="28"/>
    </row>
    <row r="148" spans="1:10" s="118" customFormat="1" ht="15.6" x14ac:dyDescent="0.25">
      <c r="A148" s="30">
        <v>130</v>
      </c>
      <c r="B148" s="29" t="s">
        <v>373</v>
      </c>
      <c r="C148" s="25">
        <f>SUM(11+0)</f>
        <v>11</v>
      </c>
      <c r="D148" s="25">
        <f>SUM(9-2+0)</f>
        <v>7</v>
      </c>
      <c r="E148" s="25"/>
      <c r="F148" s="25"/>
      <c r="G148" s="25"/>
      <c r="H148" s="1">
        <f t="shared" si="38"/>
        <v>0</v>
      </c>
      <c r="I148" s="1">
        <f t="shared" si="39"/>
        <v>7</v>
      </c>
      <c r="J148" s="185" t="s">
        <v>89</v>
      </c>
    </row>
    <row r="149" spans="1:10" x14ac:dyDescent="0.25">
      <c r="A149" s="30">
        <v>131</v>
      </c>
      <c r="B149" s="29" t="s">
        <v>374</v>
      </c>
      <c r="C149" s="1">
        <f t="shared" si="41"/>
        <v>0</v>
      </c>
      <c r="D149" s="25">
        <f t="shared" si="41"/>
        <v>0</v>
      </c>
      <c r="E149" s="25"/>
      <c r="F149" s="25"/>
      <c r="G149" s="25"/>
      <c r="H149" s="1">
        <f t="shared" si="38"/>
        <v>0</v>
      </c>
      <c r="I149" s="1">
        <f t="shared" si="39"/>
        <v>0</v>
      </c>
      <c r="J149" s="35"/>
    </row>
    <row r="150" spans="1:10" ht="15.6" x14ac:dyDescent="0.3">
      <c r="A150" s="30">
        <v>132</v>
      </c>
      <c r="B150" s="29" t="s">
        <v>375</v>
      </c>
      <c r="C150" s="1">
        <f t="shared" si="41"/>
        <v>0</v>
      </c>
      <c r="D150" s="25">
        <f t="shared" si="41"/>
        <v>0</v>
      </c>
      <c r="E150" s="25"/>
      <c r="F150" s="25"/>
      <c r="G150" s="25"/>
      <c r="H150" s="1">
        <f t="shared" si="38"/>
        <v>0</v>
      </c>
      <c r="I150" s="1">
        <f t="shared" si="39"/>
        <v>0</v>
      </c>
      <c r="J150" s="86"/>
    </row>
    <row r="151" spans="1:10" x14ac:dyDescent="0.25">
      <c r="A151" s="30">
        <v>133</v>
      </c>
      <c r="B151" s="29" t="s">
        <v>376</v>
      </c>
      <c r="C151" s="1">
        <f t="shared" si="41"/>
        <v>0</v>
      </c>
      <c r="D151" s="25">
        <f t="shared" si="41"/>
        <v>0</v>
      </c>
      <c r="E151" s="25"/>
      <c r="F151" s="25"/>
      <c r="G151" s="25"/>
      <c r="H151" s="1">
        <f t="shared" si="38"/>
        <v>0</v>
      </c>
      <c r="I151" s="1">
        <f t="shared" si="39"/>
        <v>0</v>
      </c>
      <c r="J151" s="25"/>
    </row>
    <row r="152" spans="1:10" x14ac:dyDescent="0.25">
      <c r="A152" s="30">
        <v>134</v>
      </c>
      <c r="B152" s="29" t="s">
        <v>377</v>
      </c>
      <c r="C152" s="1">
        <f t="shared" ref="C152:D167" si="42">SUM(0+0)</f>
        <v>0</v>
      </c>
      <c r="D152" s="25">
        <f t="shared" si="42"/>
        <v>0</v>
      </c>
      <c r="E152" s="25"/>
      <c r="F152" s="25"/>
      <c r="G152" s="25"/>
      <c r="H152" s="1">
        <f t="shared" si="38"/>
        <v>0</v>
      </c>
      <c r="I152" s="1">
        <f t="shared" si="39"/>
        <v>0</v>
      </c>
      <c r="J152" s="25"/>
    </row>
    <row r="153" spans="1:10" ht="15.6" x14ac:dyDescent="0.25">
      <c r="A153" s="30">
        <v>135</v>
      </c>
      <c r="B153" s="29" t="s">
        <v>378</v>
      </c>
      <c r="C153" s="1">
        <f t="shared" si="42"/>
        <v>0</v>
      </c>
      <c r="D153" s="25">
        <f t="shared" si="42"/>
        <v>0</v>
      </c>
      <c r="E153" s="25"/>
      <c r="F153" s="25"/>
      <c r="G153" s="25"/>
      <c r="H153" s="1">
        <f t="shared" si="38"/>
        <v>0</v>
      </c>
      <c r="I153" s="1">
        <f t="shared" si="39"/>
        <v>0</v>
      </c>
      <c r="J153" s="82"/>
    </row>
    <row r="154" spans="1:10" x14ac:dyDescent="0.25">
      <c r="A154" s="30">
        <v>136</v>
      </c>
      <c r="B154" s="29" t="s">
        <v>379</v>
      </c>
      <c r="C154" s="1">
        <f t="shared" si="42"/>
        <v>0</v>
      </c>
      <c r="D154" s="25">
        <f t="shared" si="42"/>
        <v>0</v>
      </c>
      <c r="E154" s="25"/>
      <c r="F154" s="25"/>
      <c r="G154" s="25"/>
      <c r="H154" s="1">
        <f t="shared" si="38"/>
        <v>0</v>
      </c>
      <c r="I154" s="1">
        <f t="shared" si="39"/>
        <v>0</v>
      </c>
      <c r="J154" s="35"/>
    </row>
    <row r="155" spans="1:10" ht="15.6" x14ac:dyDescent="0.25">
      <c r="A155" s="30">
        <v>137</v>
      </c>
      <c r="B155" s="29" t="s">
        <v>380</v>
      </c>
      <c r="C155" s="1">
        <f t="shared" si="42"/>
        <v>0</v>
      </c>
      <c r="D155" s="25">
        <f t="shared" si="42"/>
        <v>0</v>
      </c>
      <c r="E155" s="25"/>
      <c r="F155" s="25"/>
      <c r="G155" s="25"/>
      <c r="H155" s="1">
        <f t="shared" si="38"/>
        <v>0</v>
      </c>
      <c r="I155" s="1">
        <f t="shared" si="39"/>
        <v>0</v>
      </c>
      <c r="J155" s="43"/>
    </row>
    <row r="156" spans="1:10" s="118" customFormat="1" x14ac:dyDescent="0.25">
      <c r="A156" s="30">
        <v>138</v>
      </c>
      <c r="B156" s="29" t="s">
        <v>381</v>
      </c>
      <c r="C156" s="1">
        <f t="shared" si="42"/>
        <v>0</v>
      </c>
      <c r="D156" s="25">
        <f t="shared" si="42"/>
        <v>0</v>
      </c>
      <c r="E156" s="25"/>
      <c r="F156" s="25"/>
      <c r="G156" s="25"/>
      <c r="H156" s="1">
        <f t="shared" si="38"/>
        <v>0</v>
      </c>
      <c r="I156" s="1">
        <f t="shared" si="39"/>
        <v>0</v>
      </c>
      <c r="J156" s="35"/>
    </row>
    <row r="157" spans="1:10" ht="15.6" x14ac:dyDescent="0.25">
      <c r="A157" s="30">
        <v>139</v>
      </c>
      <c r="B157" s="29" t="s">
        <v>382</v>
      </c>
      <c r="C157" s="1">
        <f t="shared" si="42"/>
        <v>0</v>
      </c>
      <c r="D157" s="25">
        <f t="shared" si="42"/>
        <v>0</v>
      </c>
      <c r="E157" s="25"/>
      <c r="F157" s="25"/>
      <c r="G157" s="25"/>
      <c r="H157" s="1">
        <f t="shared" si="38"/>
        <v>0</v>
      </c>
      <c r="I157" s="1">
        <f t="shared" si="39"/>
        <v>0</v>
      </c>
      <c r="J157" s="43"/>
    </row>
    <row r="158" spans="1:10" s="64" customFormat="1" ht="15.6" x14ac:dyDescent="0.3">
      <c r="A158" s="30">
        <v>140</v>
      </c>
      <c r="B158" s="29" t="s">
        <v>383</v>
      </c>
      <c r="C158" s="1">
        <f t="shared" si="42"/>
        <v>0</v>
      </c>
      <c r="D158" s="25">
        <f t="shared" si="42"/>
        <v>0</v>
      </c>
      <c r="E158" s="25"/>
      <c r="F158" s="25"/>
      <c r="G158" s="25"/>
      <c r="H158" s="1">
        <f t="shared" si="38"/>
        <v>0</v>
      </c>
      <c r="I158" s="1">
        <f t="shared" si="39"/>
        <v>0</v>
      </c>
      <c r="J158" s="83"/>
    </row>
    <row r="159" spans="1:10" x14ac:dyDescent="0.25">
      <c r="A159" s="30">
        <v>141</v>
      </c>
      <c r="B159" s="29" t="s">
        <v>384</v>
      </c>
      <c r="C159" s="1">
        <f t="shared" si="42"/>
        <v>0</v>
      </c>
      <c r="D159" s="25">
        <f t="shared" si="42"/>
        <v>0</v>
      </c>
      <c r="E159" s="25"/>
      <c r="F159" s="25"/>
      <c r="G159" s="25"/>
      <c r="H159" s="1">
        <f t="shared" si="38"/>
        <v>0</v>
      </c>
      <c r="I159" s="1">
        <f t="shared" si="39"/>
        <v>0</v>
      </c>
      <c r="J159" s="35"/>
    </row>
    <row r="160" spans="1:10" x14ac:dyDescent="0.25">
      <c r="A160" s="30">
        <v>142</v>
      </c>
      <c r="B160" s="29" t="s">
        <v>385</v>
      </c>
      <c r="C160" s="1">
        <f t="shared" si="42"/>
        <v>0</v>
      </c>
      <c r="D160" s="25">
        <f t="shared" si="42"/>
        <v>0</v>
      </c>
      <c r="E160" s="25"/>
      <c r="F160" s="25"/>
      <c r="G160" s="25"/>
      <c r="H160" s="1">
        <f t="shared" si="38"/>
        <v>0</v>
      </c>
      <c r="I160" s="1">
        <f t="shared" si="39"/>
        <v>0</v>
      </c>
      <c r="J160" s="35"/>
    </row>
    <row r="161" spans="1:10" x14ac:dyDescent="0.25">
      <c r="A161" s="30">
        <v>143</v>
      </c>
      <c r="B161" s="29" t="s">
        <v>386</v>
      </c>
      <c r="C161" s="1">
        <f t="shared" si="42"/>
        <v>0</v>
      </c>
      <c r="D161" s="25">
        <f t="shared" si="42"/>
        <v>0</v>
      </c>
      <c r="E161" s="25"/>
      <c r="F161" s="25"/>
      <c r="G161" s="25"/>
      <c r="H161" s="1">
        <f t="shared" si="38"/>
        <v>0</v>
      </c>
      <c r="I161" s="1">
        <f t="shared" si="39"/>
        <v>0</v>
      </c>
      <c r="J161" s="28"/>
    </row>
    <row r="162" spans="1:10" ht="15.6" x14ac:dyDescent="0.25">
      <c r="A162" s="30">
        <v>144</v>
      </c>
      <c r="B162" s="29" t="s">
        <v>387</v>
      </c>
      <c r="C162" s="1">
        <f t="shared" si="42"/>
        <v>0</v>
      </c>
      <c r="D162" s="25">
        <f t="shared" si="42"/>
        <v>0</v>
      </c>
      <c r="E162" s="25"/>
      <c r="F162" s="25"/>
      <c r="G162" s="25"/>
      <c r="H162" s="1">
        <f t="shared" si="38"/>
        <v>0</v>
      </c>
      <c r="I162" s="1">
        <f t="shared" si="39"/>
        <v>0</v>
      </c>
      <c r="J162" s="43"/>
    </row>
    <row r="163" spans="1:10" x14ac:dyDescent="0.25">
      <c r="A163" s="30">
        <v>145</v>
      </c>
      <c r="B163" s="29" t="s">
        <v>388</v>
      </c>
      <c r="C163" s="1">
        <f t="shared" si="42"/>
        <v>0</v>
      </c>
      <c r="D163" s="25">
        <f t="shared" si="42"/>
        <v>0</v>
      </c>
      <c r="E163" s="25"/>
      <c r="F163" s="25"/>
      <c r="G163" s="25"/>
      <c r="H163" s="1">
        <f t="shared" si="38"/>
        <v>0</v>
      </c>
      <c r="I163" s="1">
        <f t="shared" si="39"/>
        <v>0</v>
      </c>
      <c r="J163" s="25"/>
    </row>
    <row r="164" spans="1:10" x14ac:dyDescent="0.25">
      <c r="A164" s="30">
        <v>146</v>
      </c>
      <c r="B164" s="29" t="s">
        <v>389</v>
      </c>
      <c r="C164" s="1">
        <f t="shared" si="42"/>
        <v>0</v>
      </c>
      <c r="D164" s="25">
        <f t="shared" si="42"/>
        <v>0</v>
      </c>
      <c r="E164" s="25"/>
      <c r="F164" s="25"/>
      <c r="G164" s="25"/>
      <c r="H164" s="1">
        <f t="shared" si="38"/>
        <v>0</v>
      </c>
      <c r="I164" s="1">
        <f t="shared" si="39"/>
        <v>0</v>
      </c>
      <c r="J164" s="25"/>
    </row>
    <row r="165" spans="1:10" x14ac:dyDescent="0.25">
      <c r="A165" s="30">
        <v>147</v>
      </c>
      <c r="B165" s="29" t="s">
        <v>390</v>
      </c>
      <c r="C165" s="1">
        <f t="shared" si="42"/>
        <v>0</v>
      </c>
      <c r="D165" s="25">
        <f t="shared" si="42"/>
        <v>0</v>
      </c>
      <c r="E165" s="25"/>
      <c r="F165" s="25"/>
      <c r="G165" s="25"/>
      <c r="H165" s="1">
        <f t="shared" si="38"/>
        <v>0</v>
      </c>
      <c r="I165" s="1">
        <f t="shared" si="39"/>
        <v>0</v>
      </c>
      <c r="J165" s="25"/>
    </row>
    <row r="166" spans="1:10" s="64" customFormat="1" ht="15.6" x14ac:dyDescent="0.3">
      <c r="A166" s="30">
        <v>148</v>
      </c>
      <c r="B166" s="29" t="s">
        <v>391</v>
      </c>
      <c r="C166" s="1">
        <f t="shared" si="42"/>
        <v>0</v>
      </c>
      <c r="D166" s="25">
        <f t="shared" si="42"/>
        <v>0</v>
      </c>
      <c r="E166" s="25"/>
      <c r="F166" s="25"/>
      <c r="G166" s="25"/>
      <c r="H166" s="1">
        <f t="shared" si="38"/>
        <v>0</v>
      </c>
      <c r="I166" s="1">
        <f t="shared" si="39"/>
        <v>0</v>
      </c>
      <c r="J166" s="83"/>
    </row>
    <row r="167" spans="1:10" x14ac:dyDescent="0.25">
      <c r="A167" s="30">
        <v>149</v>
      </c>
      <c r="B167" s="29" t="s">
        <v>392</v>
      </c>
      <c r="C167" s="1">
        <f t="shared" si="42"/>
        <v>0</v>
      </c>
      <c r="D167" s="25">
        <f t="shared" si="42"/>
        <v>0</v>
      </c>
      <c r="E167" s="25"/>
      <c r="F167" s="25"/>
      <c r="G167" s="25"/>
      <c r="H167" s="1">
        <f t="shared" si="38"/>
        <v>0</v>
      </c>
      <c r="I167" s="1">
        <f t="shared" si="39"/>
        <v>0</v>
      </c>
      <c r="J167" s="35"/>
    </row>
    <row r="168" spans="1:10" x14ac:dyDescent="0.25">
      <c r="A168" s="30">
        <v>150</v>
      </c>
      <c r="B168" s="29" t="s">
        <v>393</v>
      </c>
      <c r="C168" s="1">
        <f t="shared" ref="C168:D183" si="43">SUM(0+0)</f>
        <v>0</v>
      </c>
      <c r="D168" s="25">
        <f t="shared" si="43"/>
        <v>0</v>
      </c>
      <c r="E168" s="25"/>
      <c r="F168" s="25"/>
      <c r="G168" s="25"/>
      <c r="H168" s="1">
        <f t="shared" si="38"/>
        <v>0</v>
      </c>
      <c r="I168" s="1">
        <f t="shared" si="39"/>
        <v>0</v>
      </c>
      <c r="J168" s="35"/>
    </row>
    <row r="169" spans="1:10" s="7" customFormat="1" ht="15.6" x14ac:dyDescent="0.25">
      <c r="A169" s="30">
        <v>151</v>
      </c>
      <c r="B169" s="29" t="s">
        <v>394</v>
      </c>
      <c r="C169" s="1">
        <f t="shared" si="43"/>
        <v>0</v>
      </c>
      <c r="D169" s="25">
        <f t="shared" si="43"/>
        <v>0</v>
      </c>
      <c r="E169" s="25"/>
      <c r="F169" s="25"/>
      <c r="G169" s="25"/>
      <c r="H169" s="1">
        <f t="shared" si="38"/>
        <v>0</v>
      </c>
      <c r="I169" s="1">
        <f t="shared" si="39"/>
        <v>0</v>
      </c>
      <c r="J169" s="43"/>
    </row>
    <row r="170" spans="1:10" x14ac:dyDescent="0.25">
      <c r="A170" s="30">
        <v>152</v>
      </c>
      <c r="B170" s="29" t="s">
        <v>395</v>
      </c>
      <c r="C170" s="1">
        <f t="shared" si="43"/>
        <v>0</v>
      </c>
      <c r="D170" s="25">
        <f t="shared" si="43"/>
        <v>0</v>
      </c>
      <c r="E170" s="25"/>
      <c r="F170" s="25"/>
      <c r="G170" s="25"/>
      <c r="H170" s="1">
        <f t="shared" si="38"/>
        <v>0</v>
      </c>
      <c r="I170" s="1">
        <f t="shared" si="39"/>
        <v>0</v>
      </c>
      <c r="J170" s="25"/>
    </row>
    <row r="171" spans="1:10" s="4" customFormat="1" ht="15.6" x14ac:dyDescent="0.3">
      <c r="A171" s="30">
        <v>153</v>
      </c>
      <c r="B171" s="29" t="s">
        <v>396</v>
      </c>
      <c r="C171" s="1">
        <f t="shared" si="43"/>
        <v>0</v>
      </c>
      <c r="D171" s="25">
        <f t="shared" si="43"/>
        <v>0</v>
      </c>
      <c r="E171" s="25"/>
      <c r="F171" s="25"/>
      <c r="G171" s="25"/>
      <c r="H171" s="1">
        <f t="shared" si="38"/>
        <v>0</v>
      </c>
      <c r="I171" s="1">
        <f t="shared" si="39"/>
        <v>0</v>
      </c>
      <c r="J171" s="28"/>
    </row>
    <row r="172" spans="1:10" s="64" customFormat="1" ht="15.6" x14ac:dyDescent="0.3">
      <c r="A172" s="30">
        <v>154</v>
      </c>
      <c r="B172" s="29" t="s">
        <v>397</v>
      </c>
      <c r="C172" s="1">
        <f t="shared" si="43"/>
        <v>0</v>
      </c>
      <c r="D172" s="25">
        <f t="shared" si="43"/>
        <v>0</v>
      </c>
      <c r="E172" s="25"/>
      <c r="F172" s="25"/>
      <c r="G172" s="25"/>
      <c r="H172" s="1">
        <f t="shared" si="38"/>
        <v>0</v>
      </c>
      <c r="I172" s="1">
        <f t="shared" si="39"/>
        <v>0</v>
      </c>
      <c r="J172" s="83"/>
    </row>
    <row r="173" spans="1:10" s="64" customFormat="1" ht="15.6" x14ac:dyDescent="0.3">
      <c r="A173" s="30">
        <v>155</v>
      </c>
      <c r="B173" s="29" t="s">
        <v>398</v>
      </c>
      <c r="C173" s="1">
        <f t="shared" si="43"/>
        <v>0</v>
      </c>
      <c r="D173" s="25">
        <f t="shared" si="43"/>
        <v>0</v>
      </c>
      <c r="E173" s="25"/>
      <c r="F173" s="25"/>
      <c r="G173" s="25"/>
      <c r="H173" s="1">
        <f t="shared" si="38"/>
        <v>0</v>
      </c>
      <c r="I173" s="1">
        <f t="shared" si="39"/>
        <v>0</v>
      </c>
      <c r="J173" s="83"/>
    </row>
    <row r="174" spans="1:10" x14ac:dyDescent="0.25">
      <c r="A174" s="30">
        <v>156</v>
      </c>
      <c r="B174" s="29" t="s">
        <v>399</v>
      </c>
      <c r="C174" s="1">
        <f t="shared" si="43"/>
        <v>0</v>
      </c>
      <c r="D174" s="25">
        <f t="shared" si="43"/>
        <v>0</v>
      </c>
      <c r="E174" s="25"/>
      <c r="F174" s="25"/>
      <c r="G174" s="25"/>
      <c r="H174" s="1">
        <f t="shared" si="38"/>
        <v>0</v>
      </c>
      <c r="I174" s="1">
        <f t="shared" si="39"/>
        <v>0</v>
      </c>
      <c r="J174" s="25"/>
    </row>
    <row r="175" spans="1:10" x14ac:dyDescent="0.25">
      <c r="A175" s="30">
        <v>157</v>
      </c>
      <c r="B175" s="29" t="s">
        <v>400</v>
      </c>
      <c r="C175" s="1">
        <f t="shared" si="43"/>
        <v>0</v>
      </c>
      <c r="D175" s="25">
        <f t="shared" si="43"/>
        <v>0</v>
      </c>
      <c r="E175" s="25"/>
      <c r="F175" s="25"/>
      <c r="G175" s="25"/>
      <c r="H175" s="1">
        <f t="shared" si="38"/>
        <v>0</v>
      </c>
      <c r="I175" s="1">
        <f t="shared" si="39"/>
        <v>0</v>
      </c>
      <c r="J175" s="25"/>
    </row>
    <row r="176" spans="1:10" x14ac:dyDescent="0.25">
      <c r="A176" s="30">
        <v>158</v>
      </c>
      <c r="B176" s="29" t="s">
        <v>401</v>
      </c>
      <c r="C176" s="1">
        <f t="shared" si="43"/>
        <v>0</v>
      </c>
      <c r="D176" s="25">
        <f t="shared" si="43"/>
        <v>0</v>
      </c>
      <c r="E176" s="25"/>
      <c r="F176" s="25"/>
      <c r="G176" s="25"/>
      <c r="H176" s="1">
        <f t="shared" si="38"/>
        <v>0</v>
      </c>
      <c r="I176" s="1">
        <f t="shared" si="39"/>
        <v>0</v>
      </c>
      <c r="J176" s="25"/>
    </row>
    <row r="177" spans="1:10" x14ac:dyDescent="0.25">
      <c r="A177" s="30">
        <v>159</v>
      </c>
      <c r="B177" s="29" t="s">
        <v>402</v>
      </c>
      <c r="C177" s="1">
        <f t="shared" si="43"/>
        <v>0</v>
      </c>
      <c r="D177" s="25">
        <f t="shared" si="43"/>
        <v>0</v>
      </c>
      <c r="E177" s="25"/>
      <c r="F177" s="25"/>
      <c r="G177" s="25"/>
      <c r="H177" s="1">
        <f t="shared" si="38"/>
        <v>0</v>
      </c>
      <c r="I177" s="1">
        <f t="shared" si="39"/>
        <v>0</v>
      </c>
      <c r="J177" s="25"/>
    </row>
    <row r="178" spans="1:10" s="64" customFormat="1" ht="15.6" x14ac:dyDescent="0.3">
      <c r="A178" s="30">
        <v>160</v>
      </c>
      <c r="B178" s="29" t="s">
        <v>403</v>
      </c>
      <c r="C178" s="1">
        <f t="shared" si="43"/>
        <v>0</v>
      </c>
      <c r="D178" s="25">
        <f t="shared" si="43"/>
        <v>0</v>
      </c>
      <c r="E178" s="25"/>
      <c r="F178" s="25"/>
      <c r="G178" s="25"/>
      <c r="H178" s="1">
        <f t="shared" si="38"/>
        <v>0</v>
      </c>
      <c r="I178" s="1">
        <f t="shared" si="39"/>
        <v>0</v>
      </c>
      <c r="J178" s="83"/>
    </row>
    <row r="179" spans="1:10" s="120" customFormat="1" x14ac:dyDescent="0.3">
      <c r="A179" s="30">
        <v>161</v>
      </c>
      <c r="B179" s="29" t="s">
        <v>404</v>
      </c>
      <c r="C179" s="1">
        <f t="shared" si="43"/>
        <v>0</v>
      </c>
      <c r="D179" s="25">
        <f t="shared" si="43"/>
        <v>0</v>
      </c>
      <c r="E179" s="25"/>
      <c r="F179" s="25"/>
      <c r="G179" s="25"/>
      <c r="H179" s="1">
        <f t="shared" si="38"/>
        <v>0</v>
      </c>
      <c r="I179" s="1">
        <f t="shared" si="39"/>
        <v>0</v>
      </c>
      <c r="J179" s="29"/>
    </row>
    <row r="180" spans="1:10" s="64" customFormat="1" ht="45.6" x14ac:dyDescent="0.3">
      <c r="A180" s="30">
        <v>162</v>
      </c>
      <c r="B180" s="29" t="s">
        <v>405</v>
      </c>
      <c r="C180" s="1">
        <f t="shared" si="43"/>
        <v>0</v>
      </c>
      <c r="D180" s="25">
        <v>0</v>
      </c>
      <c r="E180" s="25"/>
      <c r="F180" s="25"/>
      <c r="G180" s="25"/>
      <c r="H180" s="1">
        <f t="shared" si="38"/>
        <v>0</v>
      </c>
      <c r="I180" s="1">
        <f t="shared" si="39"/>
        <v>0</v>
      </c>
      <c r="J180" s="61" t="s">
        <v>115</v>
      </c>
    </row>
    <row r="181" spans="1:10" s="64" customFormat="1" ht="15.6" x14ac:dyDescent="0.3">
      <c r="A181" s="30">
        <v>163</v>
      </c>
      <c r="B181" s="29" t="s">
        <v>406</v>
      </c>
      <c r="C181" s="1">
        <f t="shared" si="43"/>
        <v>0</v>
      </c>
      <c r="D181" s="25">
        <f t="shared" si="43"/>
        <v>0</v>
      </c>
      <c r="E181" s="25"/>
      <c r="F181" s="25"/>
      <c r="G181" s="25"/>
      <c r="H181" s="1">
        <f t="shared" si="38"/>
        <v>0</v>
      </c>
      <c r="I181" s="1">
        <f t="shared" si="39"/>
        <v>0</v>
      </c>
      <c r="J181" s="83"/>
    </row>
    <row r="182" spans="1:10" s="64" customFormat="1" ht="15.6" x14ac:dyDescent="0.3">
      <c r="A182" s="30">
        <v>164</v>
      </c>
      <c r="B182" s="29" t="s">
        <v>407</v>
      </c>
      <c r="C182" s="1">
        <f t="shared" si="43"/>
        <v>0</v>
      </c>
      <c r="D182" s="25">
        <f t="shared" si="43"/>
        <v>0</v>
      </c>
      <c r="E182" s="25"/>
      <c r="F182" s="25"/>
      <c r="G182" s="25"/>
      <c r="H182" s="1">
        <f t="shared" si="38"/>
        <v>0</v>
      </c>
      <c r="I182" s="1">
        <f t="shared" si="39"/>
        <v>0</v>
      </c>
      <c r="J182" s="61"/>
    </row>
    <row r="183" spans="1:10" s="64" customFormat="1" ht="15.6" x14ac:dyDescent="0.3">
      <c r="A183" s="30">
        <v>165</v>
      </c>
      <c r="B183" s="29" t="s">
        <v>408</v>
      </c>
      <c r="C183" s="1">
        <f t="shared" si="43"/>
        <v>0</v>
      </c>
      <c r="D183" s="25">
        <f t="shared" si="43"/>
        <v>0</v>
      </c>
      <c r="E183" s="25"/>
      <c r="F183" s="25"/>
      <c r="G183" s="25"/>
      <c r="H183" s="1">
        <f t="shared" si="38"/>
        <v>0</v>
      </c>
      <c r="I183" s="1">
        <f t="shared" si="39"/>
        <v>0</v>
      </c>
      <c r="J183" s="83"/>
    </row>
    <row r="184" spans="1:10" s="64" customFormat="1" ht="15.6" x14ac:dyDescent="0.3">
      <c r="A184" s="30">
        <v>166</v>
      </c>
      <c r="B184" s="29" t="s">
        <v>409</v>
      </c>
      <c r="C184" s="1">
        <f t="shared" ref="C184:D184" si="44">SUM(0+0)</f>
        <v>0</v>
      </c>
      <c r="D184" s="25">
        <f t="shared" si="44"/>
        <v>0</v>
      </c>
      <c r="E184" s="25"/>
      <c r="F184" s="25"/>
      <c r="G184" s="25"/>
      <c r="H184" s="1">
        <f t="shared" si="38"/>
        <v>0</v>
      </c>
      <c r="I184" s="1">
        <f t="shared" si="39"/>
        <v>0</v>
      </c>
      <c r="J184" s="83"/>
    </row>
    <row r="185" spans="1:10" s="64" customFormat="1" ht="15.6" x14ac:dyDescent="0.3">
      <c r="A185" s="30">
        <v>167</v>
      </c>
      <c r="B185" s="29" t="s">
        <v>410</v>
      </c>
      <c r="C185" s="25">
        <f>SUM(8+0)</f>
        <v>8</v>
      </c>
      <c r="D185" s="25">
        <f>SUM(3+0)</f>
        <v>3</v>
      </c>
      <c r="E185" s="25"/>
      <c r="F185" s="25"/>
      <c r="G185" s="25"/>
      <c r="H185" s="1">
        <f t="shared" si="38"/>
        <v>0</v>
      </c>
      <c r="I185" s="1">
        <f t="shared" si="39"/>
        <v>3</v>
      </c>
      <c r="J185" s="61" t="s">
        <v>91</v>
      </c>
    </row>
    <row r="186" spans="1:10" s="64" customFormat="1" ht="15.6" x14ac:dyDescent="0.3">
      <c r="A186" s="30">
        <v>168</v>
      </c>
      <c r="B186" s="29" t="s">
        <v>411</v>
      </c>
      <c r="C186" s="1">
        <f t="shared" ref="C186:D188" si="45">SUM(0+0)</f>
        <v>0</v>
      </c>
      <c r="D186" s="25">
        <f t="shared" si="45"/>
        <v>0</v>
      </c>
      <c r="E186" s="25"/>
      <c r="F186" s="25"/>
      <c r="G186" s="25"/>
      <c r="H186" s="1">
        <f t="shared" si="38"/>
        <v>0</v>
      </c>
      <c r="I186" s="1">
        <f t="shared" si="39"/>
        <v>0</v>
      </c>
      <c r="J186" s="83"/>
    </row>
    <row r="187" spans="1:10" s="64" customFormat="1" ht="15.6" x14ac:dyDescent="0.3">
      <c r="A187" s="30">
        <v>169</v>
      </c>
      <c r="B187" s="29" t="s">
        <v>412</v>
      </c>
      <c r="C187" s="1">
        <f t="shared" si="45"/>
        <v>0</v>
      </c>
      <c r="D187" s="25">
        <f t="shared" si="45"/>
        <v>0</v>
      </c>
      <c r="E187" s="25"/>
      <c r="F187" s="25"/>
      <c r="G187" s="25"/>
      <c r="H187" s="1">
        <f t="shared" si="38"/>
        <v>0</v>
      </c>
      <c r="I187" s="1">
        <f t="shared" si="39"/>
        <v>0</v>
      </c>
      <c r="J187" s="83"/>
    </row>
    <row r="188" spans="1:10" s="64" customFormat="1" ht="15.6" x14ac:dyDescent="0.3">
      <c r="A188" s="30">
        <v>170</v>
      </c>
      <c r="B188" s="29" t="s">
        <v>413</v>
      </c>
      <c r="C188" s="1">
        <f t="shared" si="45"/>
        <v>0</v>
      </c>
      <c r="D188" s="25">
        <f t="shared" si="45"/>
        <v>0</v>
      </c>
      <c r="E188" s="25"/>
      <c r="F188" s="25"/>
      <c r="G188" s="25"/>
      <c r="H188" s="1">
        <f t="shared" si="38"/>
        <v>0</v>
      </c>
      <c r="I188" s="1">
        <f t="shared" si="39"/>
        <v>0</v>
      </c>
      <c r="J188" s="83"/>
    </row>
    <row r="189" spans="1:10" s="64" customFormat="1" ht="15.6" x14ac:dyDescent="0.3">
      <c r="A189" s="30">
        <v>171</v>
      </c>
      <c r="B189" s="29" t="s">
        <v>414</v>
      </c>
      <c r="C189" s="25">
        <f>SUM(0+1)</f>
        <v>1</v>
      </c>
      <c r="D189" s="25">
        <f>SUM(0+0)</f>
        <v>0</v>
      </c>
      <c r="E189" s="25"/>
      <c r="F189" s="25"/>
      <c r="G189" s="25"/>
      <c r="H189" s="1">
        <f t="shared" si="38"/>
        <v>0</v>
      </c>
      <c r="I189" s="1">
        <f t="shared" si="39"/>
        <v>0</v>
      </c>
      <c r="J189" s="61"/>
    </row>
    <row r="190" spans="1:10" s="64" customFormat="1" ht="15.6" x14ac:dyDescent="0.3">
      <c r="A190" s="30">
        <v>172</v>
      </c>
      <c r="B190" s="29" t="s">
        <v>415</v>
      </c>
      <c r="C190" s="1">
        <f t="shared" ref="C190:D190" si="46">SUM(0+0)</f>
        <v>0</v>
      </c>
      <c r="D190" s="25">
        <f t="shared" si="46"/>
        <v>0</v>
      </c>
      <c r="E190" s="25"/>
      <c r="F190" s="25"/>
      <c r="G190" s="25"/>
      <c r="H190" s="1">
        <f t="shared" ref="H190:H229" si="47">SUM(E190:G190)</f>
        <v>0</v>
      </c>
      <c r="I190" s="1">
        <f t="shared" ref="I190:I229" si="48">D190-H190</f>
        <v>0</v>
      </c>
      <c r="J190" s="83"/>
    </row>
    <row r="191" spans="1:10" s="64" customFormat="1" ht="15.6" x14ac:dyDescent="0.3">
      <c r="A191" s="30">
        <v>173</v>
      </c>
      <c r="B191" s="29" t="s">
        <v>416</v>
      </c>
      <c r="C191" s="25">
        <f>SUM(0+1)</f>
        <v>1</v>
      </c>
      <c r="D191" s="25">
        <f>SUM(0+1)</f>
        <v>1</v>
      </c>
      <c r="E191" s="25"/>
      <c r="F191" s="25"/>
      <c r="G191" s="25"/>
      <c r="H191" s="1">
        <f t="shared" si="47"/>
        <v>0</v>
      </c>
      <c r="I191" s="1">
        <f t="shared" si="48"/>
        <v>1</v>
      </c>
      <c r="J191" s="61" t="s">
        <v>90</v>
      </c>
    </row>
    <row r="192" spans="1:10" s="64" customFormat="1" ht="15.6" x14ac:dyDescent="0.3">
      <c r="A192" s="30">
        <v>174</v>
      </c>
      <c r="B192" s="29" t="s">
        <v>417</v>
      </c>
      <c r="C192" s="1">
        <f t="shared" ref="C192:D197" si="49">SUM(0+0)</f>
        <v>0</v>
      </c>
      <c r="D192" s="25">
        <f t="shared" si="49"/>
        <v>0</v>
      </c>
      <c r="E192" s="25"/>
      <c r="F192" s="25"/>
      <c r="G192" s="25"/>
      <c r="H192" s="1">
        <f t="shared" si="47"/>
        <v>0</v>
      </c>
      <c r="I192" s="1">
        <f t="shared" si="48"/>
        <v>0</v>
      </c>
      <c r="J192" s="83"/>
    </row>
    <row r="193" spans="1:10" s="64" customFormat="1" ht="15.6" x14ac:dyDescent="0.3">
      <c r="A193" s="30">
        <v>175</v>
      </c>
      <c r="B193" s="29" t="s">
        <v>418</v>
      </c>
      <c r="C193" s="1">
        <f t="shared" si="49"/>
        <v>0</v>
      </c>
      <c r="D193" s="25">
        <f t="shared" si="49"/>
        <v>0</v>
      </c>
      <c r="E193" s="25"/>
      <c r="F193" s="25"/>
      <c r="G193" s="25"/>
      <c r="H193" s="1">
        <f t="shared" si="47"/>
        <v>0</v>
      </c>
      <c r="I193" s="1">
        <f t="shared" si="48"/>
        <v>0</v>
      </c>
      <c r="J193" s="83"/>
    </row>
    <row r="194" spans="1:10" s="120" customFormat="1" ht="15.6" x14ac:dyDescent="0.3">
      <c r="A194" s="30">
        <v>176</v>
      </c>
      <c r="B194" s="29" t="s">
        <v>419</v>
      </c>
      <c r="C194" s="1">
        <f t="shared" si="49"/>
        <v>0</v>
      </c>
      <c r="D194" s="25">
        <f t="shared" si="49"/>
        <v>0</v>
      </c>
      <c r="E194" s="25"/>
      <c r="F194" s="25"/>
      <c r="G194" s="25"/>
      <c r="H194" s="1">
        <f t="shared" si="47"/>
        <v>0</v>
      </c>
      <c r="I194" s="1">
        <f t="shared" si="48"/>
        <v>0</v>
      </c>
      <c r="J194" s="122"/>
    </row>
    <row r="195" spans="1:10" s="64" customFormat="1" ht="15.6" x14ac:dyDescent="0.3">
      <c r="A195" s="30">
        <v>177</v>
      </c>
      <c r="B195" s="29" t="s">
        <v>420</v>
      </c>
      <c r="C195" s="1">
        <f t="shared" si="49"/>
        <v>0</v>
      </c>
      <c r="D195" s="25">
        <f t="shared" si="49"/>
        <v>0</v>
      </c>
      <c r="E195" s="25"/>
      <c r="F195" s="25"/>
      <c r="G195" s="25"/>
      <c r="H195" s="1">
        <f t="shared" si="47"/>
        <v>0</v>
      </c>
      <c r="I195" s="1">
        <f t="shared" si="48"/>
        <v>0</v>
      </c>
      <c r="J195" s="61"/>
    </row>
    <row r="196" spans="1:10" s="64" customFormat="1" ht="15.6" x14ac:dyDescent="0.3">
      <c r="A196" s="30">
        <v>178</v>
      </c>
      <c r="B196" s="29" t="s">
        <v>421</v>
      </c>
      <c r="C196" s="1">
        <f t="shared" si="49"/>
        <v>0</v>
      </c>
      <c r="D196" s="25">
        <f t="shared" si="49"/>
        <v>0</v>
      </c>
      <c r="E196" s="25"/>
      <c r="F196" s="25"/>
      <c r="G196" s="25"/>
      <c r="H196" s="1">
        <f t="shared" si="47"/>
        <v>0</v>
      </c>
      <c r="I196" s="1">
        <f t="shared" si="48"/>
        <v>0</v>
      </c>
      <c r="J196" s="61"/>
    </row>
    <row r="197" spans="1:10" s="64" customFormat="1" ht="15.6" x14ac:dyDescent="0.3">
      <c r="A197" s="30">
        <v>179</v>
      </c>
      <c r="B197" s="29" t="s">
        <v>422</v>
      </c>
      <c r="C197" s="1">
        <f t="shared" si="49"/>
        <v>0</v>
      </c>
      <c r="D197" s="25">
        <f t="shared" si="49"/>
        <v>0</v>
      </c>
      <c r="E197" s="25"/>
      <c r="F197" s="25"/>
      <c r="G197" s="25"/>
      <c r="H197" s="1">
        <f t="shared" si="47"/>
        <v>0</v>
      </c>
      <c r="I197" s="1">
        <f t="shared" si="48"/>
        <v>0</v>
      </c>
      <c r="J197" s="61"/>
    </row>
    <row r="198" spans="1:10" s="64" customFormat="1" ht="15.6" x14ac:dyDescent="0.3">
      <c r="A198" s="30">
        <v>180</v>
      </c>
      <c r="B198" s="29" t="s">
        <v>423</v>
      </c>
      <c r="C198" s="25">
        <f>SUM(13+0)</f>
        <v>13</v>
      </c>
      <c r="D198" s="25">
        <f>SUM(7-1+0)</f>
        <v>6</v>
      </c>
      <c r="E198" s="25"/>
      <c r="F198" s="25"/>
      <c r="G198" s="25"/>
      <c r="H198" s="1">
        <f t="shared" si="47"/>
        <v>0</v>
      </c>
      <c r="I198" s="1">
        <f t="shared" si="48"/>
        <v>6</v>
      </c>
      <c r="J198" s="186" t="s">
        <v>97</v>
      </c>
    </row>
    <row r="199" spans="1:10" s="64" customFormat="1" ht="30" x14ac:dyDescent="0.3">
      <c r="A199" s="30">
        <v>181</v>
      </c>
      <c r="B199" s="29" t="s">
        <v>424</v>
      </c>
      <c r="C199" s="1">
        <f t="shared" ref="C199:D199" si="50">SUM(0+0)</f>
        <v>0</v>
      </c>
      <c r="D199" s="25">
        <f t="shared" si="50"/>
        <v>0</v>
      </c>
      <c r="E199" s="25"/>
      <c r="F199" s="25"/>
      <c r="G199" s="25"/>
      <c r="H199" s="1">
        <f t="shared" si="47"/>
        <v>0</v>
      </c>
      <c r="I199" s="1">
        <f t="shared" si="48"/>
        <v>0</v>
      </c>
      <c r="J199" s="44" t="s">
        <v>92</v>
      </c>
    </row>
    <row r="200" spans="1:10" s="64" customFormat="1" ht="15.6" x14ac:dyDescent="0.3">
      <c r="A200" s="30">
        <v>182</v>
      </c>
      <c r="B200" s="29" t="s">
        <v>425</v>
      </c>
      <c r="C200" s="25">
        <f t="shared" ref="C200:D211" si="51">SUM(0+0)</f>
        <v>0</v>
      </c>
      <c r="D200" s="25">
        <f t="shared" si="51"/>
        <v>0</v>
      </c>
      <c r="E200" s="25"/>
      <c r="F200" s="25"/>
      <c r="G200" s="25"/>
      <c r="H200" s="1">
        <f t="shared" si="47"/>
        <v>0</v>
      </c>
      <c r="I200" s="1">
        <f t="shared" si="48"/>
        <v>0</v>
      </c>
      <c r="J200" s="61"/>
    </row>
    <row r="201" spans="1:10" s="64" customFormat="1" ht="15.6" x14ac:dyDescent="0.3">
      <c r="A201" s="30">
        <v>183</v>
      </c>
      <c r="B201" s="29" t="s">
        <v>426</v>
      </c>
      <c r="C201" s="25">
        <f t="shared" si="51"/>
        <v>0</v>
      </c>
      <c r="D201" s="25">
        <f t="shared" si="51"/>
        <v>0</v>
      </c>
      <c r="E201" s="25"/>
      <c r="F201" s="25"/>
      <c r="G201" s="25"/>
      <c r="H201" s="1">
        <f t="shared" si="47"/>
        <v>0</v>
      </c>
      <c r="I201" s="1">
        <f t="shared" si="48"/>
        <v>0</v>
      </c>
      <c r="J201" s="61"/>
    </row>
    <row r="202" spans="1:10" s="64" customFormat="1" ht="15.6" x14ac:dyDescent="0.3">
      <c r="A202" s="30">
        <v>184</v>
      </c>
      <c r="B202" s="29" t="s">
        <v>427</v>
      </c>
      <c r="C202" s="25">
        <f>SUM(0+1)</f>
        <v>1</v>
      </c>
      <c r="D202" s="25">
        <f t="shared" si="51"/>
        <v>0</v>
      </c>
      <c r="E202" s="25"/>
      <c r="F202" s="25"/>
      <c r="G202" s="25"/>
      <c r="H202" s="1">
        <f t="shared" si="47"/>
        <v>0</v>
      </c>
      <c r="I202" s="1">
        <f t="shared" si="48"/>
        <v>0</v>
      </c>
      <c r="J202" s="83"/>
    </row>
    <row r="203" spans="1:10" s="64" customFormat="1" ht="15.6" x14ac:dyDescent="0.3">
      <c r="A203" s="30">
        <v>185</v>
      </c>
      <c r="B203" s="29" t="s">
        <v>428</v>
      </c>
      <c r="C203" s="25">
        <f t="shared" si="51"/>
        <v>0</v>
      </c>
      <c r="D203" s="25">
        <f t="shared" si="51"/>
        <v>0</v>
      </c>
      <c r="E203" s="25"/>
      <c r="F203" s="25"/>
      <c r="G203" s="25"/>
      <c r="H203" s="1">
        <f t="shared" si="47"/>
        <v>0</v>
      </c>
      <c r="I203" s="1">
        <f t="shared" si="48"/>
        <v>0</v>
      </c>
      <c r="J203" s="83"/>
    </row>
    <row r="204" spans="1:10" s="64" customFormat="1" ht="15.6" x14ac:dyDescent="0.3">
      <c r="A204" s="30">
        <v>186</v>
      </c>
      <c r="B204" s="29" t="s">
        <v>429</v>
      </c>
      <c r="C204" s="25">
        <f t="shared" si="51"/>
        <v>0</v>
      </c>
      <c r="D204" s="25">
        <f t="shared" si="51"/>
        <v>0</v>
      </c>
      <c r="E204" s="25"/>
      <c r="F204" s="25"/>
      <c r="G204" s="25"/>
      <c r="H204" s="1">
        <f t="shared" si="47"/>
        <v>0</v>
      </c>
      <c r="I204" s="1">
        <f t="shared" si="48"/>
        <v>0</v>
      </c>
      <c r="J204" s="83"/>
    </row>
    <row r="205" spans="1:10" s="64" customFormat="1" ht="15.6" x14ac:dyDescent="0.3">
      <c r="A205" s="30">
        <v>187</v>
      </c>
      <c r="B205" s="29" t="s">
        <v>430</v>
      </c>
      <c r="C205" s="25">
        <f t="shared" si="51"/>
        <v>0</v>
      </c>
      <c r="D205" s="25">
        <f t="shared" si="51"/>
        <v>0</v>
      </c>
      <c r="E205" s="25"/>
      <c r="F205" s="25"/>
      <c r="G205" s="25"/>
      <c r="H205" s="1">
        <f t="shared" si="47"/>
        <v>0</v>
      </c>
      <c r="I205" s="1">
        <f t="shared" si="48"/>
        <v>0</v>
      </c>
      <c r="J205" s="83"/>
    </row>
    <row r="206" spans="1:10" s="64" customFormat="1" ht="15.6" x14ac:dyDescent="0.3">
      <c r="A206" s="30">
        <v>188</v>
      </c>
      <c r="B206" s="29" t="s">
        <v>431</v>
      </c>
      <c r="C206" s="25">
        <f>SUM(0+2)</f>
        <v>2</v>
      </c>
      <c r="D206" s="25">
        <f>SUM(0+2)</f>
        <v>2</v>
      </c>
      <c r="E206" s="25"/>
      <c r="F206" s="25"/>
      <c r="G206" s="25"/>
      <c r="H206" s="1">
        <f t="shared" si="47"/>
        <v>0</v>
      </c>
      <c r="I206" s="1">
        <f t="shared" si="48"/>
        <v>2</v>
      </c>
      <c r="J206" s="61"/>
    </row>
    <row r="207" spans="1:10" s="64" customFormat="1" ht="15.6" x14ac:dyDescent="0.3">
      <c r="A207" s="30">
        <v>189</v>
      </c>
      <c r="B207" s="29" t="s">
        <v>432</v>
      </c>
      <c r="C207" s="25">
        <f t="shared" si="51"/>
        <v>0</v>
      </c>
      <c r="D207" s="25">
        <f t="shared" si="51"/>
        <v>0</v>
      </c>
      <c r="E207" s="25"/>
      <c r="F207" s="25"/>
      <c r="G207" s="25"/>
      <c r="H207" s="1">
        <f t="shared" si="47"/>
        <v>0</v>
      </c>
      <c r="I207" s="1">
        <f t="shared" si="48"/>
        <v>0</v>
      </c>
      <c r="J207" s="83"/>
    </row>
    <row r="208" spans="1:10" s="64" customFormat="1" ht="15.6" x14ac:dyDescent="0.3">
      <c r="A208" s="30">
        <v>190</v>
      </c>
      <c r="B208" s="29" t="s">
        <v>433</v>
      </c>
      <c r="C208" s="25">
        <f t="shared" si="51"/>
        <v>0</v>
      </c>
      <c r="D208" s="25">
        <f t="shared" si="51"/>
        <v>0</v>
      </c>
      <c r="E208" s="25"/>
      <c r="F208" s="25"/>
      <c r="G208" s="25"/>
      <c r="H208" s="1">
        <f t="shared" si="47"/>
        <v>0</v>
      </c>
      <c r="I208" s="1">
        <f t="shared" si="48"/>
        <v>0</v>
      </c>
      <c r="J208" s="61"/>
    </row>
    <row r="209" spans="1:10" s="64" customFormat="1" ht="15.6" x14ac:dyDescent="0.3">
      <c r="A209" s="30">
        <v>191</v>
      </c>
      <c r="B209" s="29" t="s">
        <v>434</v>
      </c>
      <c r="C209" s="25">
        <f t="shared" si="51"/>
        <v>0</v>
      </c>
      <c r="D209" s="25">
        <f t="shared" si="51"/>
        <v>0</v>
      </c>
      <c r="E209" s="25"/>
      <c r="F209" s="25"/>
      <c r="G209" s="25"/>
      <c r="H209" s="1">
        <f t="shared" si="47"/>
        <v>0</v>
      </c>
      <c r="I209" s="1">
        <f t="shared" si="48"/>
        <v>0</v>
      </c>
      <c r="J209" s="83"/>
    </row>
    <row r="210" spans="1:10" s="64" customFormat="1" ht="15.6" x14ac:dyDescent="0.3">
      <c r="A210" s="30">
        <v>192</v>
      </c>
      <c r="B210" s="29" t="s">
        <v>435</v>
      </c>
      <c r="C210" s="25">
        <f t="shared" si="51"/>
        <v>0</v>
      </c>
      <c r="D210" s="25">
        <f t="shared" si="51"/>
        <v>0</v>
      </c>
      <c r="E210" s="25"/>
      <c r="F210" s="25"/>
      <c r="G210" s="25"/>
      <c r="H210" s="1">
        <f t="shared" si="47"/>
        <v>0</v>
      </c>
      <c r="I210" s="1">
        <f t="shared" si="48"/>
        <v>0</v>
      </c>
      <c r="J210" s="83"/>
    </row>
    <row r="211" spans="1:10" s="64" customFormat="1" ht="15.6" x14ac:dyDescent="0.3">
      <c r="A211" s="30">
        <v>193</v>
      </c>
      <c r="B211" s="29" t="s">
        <v>436</v>
      </c>
      <c r="C211" s="25">
        <f t="shared" si="51"/>
        <v>0</v>
      </c>
      <c r="D211" s="25">
        <f t="shared" si="51"/>
        <v>0</v>
      </c>
      <c r="E211" s="25"/>
      <c r="F211" s="25"/>
      <c r="G211" s="25"/>
      <c r="H211" s="1">
        <f t="shared" si="47"/>
        <v>0</v>
      </c>
      <c r="I211" s="1">
        <f t="shared" si="48"/>
        <v>0</v>
      </c>
      <c r="J211" s="83"/>
    </row>
    <row r="212" spans="1:10" s="64" customFormat="1" ht="15.6" x14ac:dyDescent="0.3">
      <c r="A212" s="30">
        <v>194</v>
      </c>
      <c r="B212" s="29" t="s">
        <v>437</v>
      </c>
      <c r="C212" s="25">
        <f t="shared" ref="C212:D223" si="52">SUM(0+0)</f>
        <v>0</v>
      </c>
      <c r="D212" s="25">
        <f t="shared" si="52"/>
        <v>0</v>
      </c>
      <c r="E212" s="25"/>
      <c r="F212" s="25"/>
      <c r="G212" s="25"/>
      <c r="H212" s="1">
        <f t="shared" si="47"/>
        <v>0</v>
      </c>
      <c r="I212" s="1">
        <f t="shared" si="48"/>
        <v>0</v>
      </c>
      <c r="J212" s="83"/>
    </row>
    <row r="213" spans="1:10" s="64" customFormat="1" ht="15.6" x14ac:dyDescent="0.3">
      <c r="A213" s="30">
        <v>195</v>
      </c>
      <c r="B213" s="29" t="s">
        <v>438</v>
      </c>
      <c r="C213" s="25">
        <f t="shared" si="52"/>
        <v>0</v>
      </c>
      <c r="D213" s="25">
        <f t="shared" si="52"/>
        <v>0</v>
      </c>
      <c r="E213" s="25"/>
      <c r="F213" s="25"/>
      <c r="G213" s="25"/>
      <c r="H213" s="1">
        <f t="shared" si="47"/>
        <v>0</v>
      </c>
      <c r="I213" s="1">
        <f t="shared" si="48"/>
        <v>0</v>
      </c>
      <c r="J213" s="83"/>
    </row>
    <row r="214" spans="1:10" s="64" customFormat="1" ht="15.6" x14ac:dyDescent="0.3">
      <c r="A214" s="30">
        <v>196</v>
      </c>
      <c r="B214" s="29" t="s">
        <v>439</v>
      </c>
      <c r="C214" s="25">
        <f t="shared" si="52"/>
        <v>0</v>
      </c>
      <c r="D214" s="25">
        <f t="shared" si="52"/>
        <v>0</v>
      </c>
      <c r="E214" s="25"/>
      <c r="F214" s="25"/>
      <c r="G214" s="25"/>
      <c r="H214" s="1">
        <f t="shared" si="47"/>
        <v>0</v>
      </c>
      <c r="I214" s="1">
        <f t="shared" si="48"/>
        <v>0</v>
      </c>
      <c r="J214" s="83"/>
    </row>
    <row r="215" spans="1:10" s="64" customFormat="1" ht="15.6" x14ac:dyDescent="0.3">
      <c r="A215" s="30">
        <v>197</v>
      </c>
      <c r="B215" s="29" t="s">
        <v>440</v>
      </c>
      <c r="C215" s="25">
        <f t="shared" si="52"/>
        <v>0</v>
      </c>
      <c r="D215" s="25">
        <f t="shared" si="52"/>
        <v>0</v>
      </c>
      <c r="E215" s="25"/>
      <c r="F215" s="25"/>
      <c r="G215" s="25"/>
      <c r="H215" s="1">
        <f t="shared" si="47"/>
        <v>0</v>
      </c>
      <c r="I215" s="1">
        <f t="shared" si="48"/>
        <v>0</v>
      </c>
      <c r="J215" s="83"/>
    </row>
    <row r="216" spans="1:10" s="64" customFormat="1" ht="15.6" x14ac:dyDescent="0.3">
      <c r="A216" s="30">
        <v>198</v>
      </c>
      <c r="B216" s="29" t="s">
        <v>441</v>
      </c>
      <c r="C216" s="25">
        <f t="shared" si="52"/>
        <v>0</v>
      </c>
      <c r="D216" s="25">
        <f t="shared" si="52"/>
        <v>0</v>
      </c>
      <c r="E216" s="25"/>
      <c r="F216" s="25"/>
      <c r="G216" s="25"/>
      <c r="H216" s="1">
        <f t="shared" si="47"/>
        <v>0</v>
      </c>
      <c r="I216" s="1">
        <f t="shared" si="48"/>
        <v>0</v>
      </c>
      <c r="J216" s="83"/>
    </row>
    <row r="217" spans="1:10" s="64" customFormat="1" ht="15.6" x14ac:dyDescent="0.3">
      <c r="A217" s="30">
        <v>199</v>
      </c>
      <c r="B217" s="29" t="s">
        <v>442</v>
      </c>
      <c r="C217" s="25">
        <f t="shared" si="52"/>
        <v>0</v>
      </c>
      <c r="D217" s="25">
        <f t="shared" si="52"/>
        <v>0</v>
      </c>
      <c r="E217" s="25"/>
      <c r="F217" s="25"/>
      <c r="G217" s="25"/>
      <c r="H217" s="1">
        <f t="shared" si="47"/>
        <v>0</v>
      </c>
      <c r="I217" s="1">
        <f t="shared" si="48"/>
        <v>0</v>
      </c>
      <c r="J217" s="83"/>
    </row>
    <row r="218" spans="1:10" s="64" customFormat="1" ht="15.6" x14ac:dyDescent="0.3">
      <c r="A218" s="30">
        <v>200</v>
      </c>
      <c r="B218" s="29" t="s">
        <v>443</v>
      </c>
      <c r="C218" s="25">
        <f t="shared" si="52"/>
        <v>0</v>
      </c>
      <c r="D218" s="25">
        <f t="shared" si="52"/>
        <v>0</v>
      </c>
      <c r="E218" s="25"/>
      <c r="F218" s="25"/>
      <c r="G218" s="25"/>
      <c r="H218" s="1">
        <f t="shared" si="47"/>
        <v>0</v>
      </c>
      <c r="I218" s="1">
        <f t="shared" si="48"/>
        <v>0</v>
      </c>
      <c r="J218" s="61"/>
    </row>
    <row r="219" spans="1:10" s="64" customFormat="1" ht="15.6" x14ac:dyDescent="0.3">
      <c r="A219" s="30">
        <v>201</v>
      </c>
      <c r="B219" s="29" t="s">
        <v>444</v>
      </c>
      <c r="C219" s="25">
        <f t="shared" si="52"/>
        <v>0</v>
      </c>
      <c r="D219" s="25">
        <f t="shared" si="52"/>
        <v>0</v>
      </c>
      <c r="E219" s="25"/>
      <c r="F219" s="25"/>
      <c r="G219" s="25"/>
      <c r="H219" s="1">
        <f t="shared" si="47"/>
        <v>0</v>
      </c>
      <c r="I219" s="1">
        <f t="shared" si="48"/>
        <v>0</v>
      </c>
      <c r="J219" s="61"/>
    </row>
    <row r="220" spans="1:10" s="64" customFormat="1" ht="15.6" x14ac:dyDescent="0.3">
      <c r="A220" s="30">
        <v>202</v>
      </c>
      <c r="B220" s="29" t="s">
        <v>445</v>
      </c>
      <c r="C220" s="25">
        <f t="shared" si="52"/>
        <v>0</v>
      </c>
      <c r="D220" s="25">
        <f t="shared" si="52"/>
        <v>0</v>
      </c>
      <c r="E220" s="25"/>
      <c r="F220" s="25"/>
      <c r="G220" s="25"/>
      <c r="H220" s="1">
        <f t="shared" si="47"/>
        <v>0</v>
      </c>
      <c r="I220" s="1">
        <f t="shared" si="48"/>
        <v>0</v>
      </c>
      <c r="J220" s="83"/>
    </row>
    <row r="221" spans="1:10" s="64" customFormat="1" ht="15.6" x14ac:dyDescent="0.3">
      <c r="A221" s="30">
        <v>203</v>
      </c>
      <c r="B221" s="29" t="s">
        <v>446</v>
      </c>
      <c r="C221" s="25">
        <f t="shared" si="52"/>
        <v>0</v>
      </c>
      <c r="D221" s="25">
        <f t="shared" si="52"/>
        <v>0</v>
      </c>
      <c r="E221" s="25"/>
      <c r="F221" s="25"/>
      <c r="G221" s="25"/>
      <c r="H221" s="1">
        <f t="shared" si="47"/>
        <v>0</v>
      </c>
      <c r="I221" s="1">
        <f t="shared" si="48"/>
        <v>0</v>
      </c>
      <c r="J221" s="83"/>
    </row>
    <row r="222" spans="1:10" s="64" customFormat="1" ht="15.6" x14ac:dyDescent="0.3">
      <c r="A222" s="30">
        <v>204</v>
      </c>
      <c r="B222" s="29" t="s">
        <v>447</v>
      </c>
      <c r="C222" s="25">
        <f t="shared" si="52"/>
        <v>0</v>
      </c>
      <c r="D222" s="25">
        <f t="shared" si="52"/>
        <v>0</v>
      </c>
      <c r="E222" s="25"/>
      <c r="F222" s="25"/>
      <c r="G222" s="25"/>
      <c r="H222" s="1">
        <f t="shared" si="47"/>
        <v>0</v>
      </c>
      <c r="I222" s="1">
        <f t="shared" si="48"/>
        <v>0</v>
      </c>
      <c r="J222" s="83"/>
    </row>
    <row r="223" spans="1:10" s="64" customFormat="1" ht="15.6" x14ac:dyDescent="0.3">
      <c r="A223" s="30">
        <v>205</v>
      </c>
      <c r="B223" s="29" t="s">
        <v>448</v>
      </c>
      <c r="C223" s="25">
        <f t="shared" si="52"/>
        <v>0</v>
      </c>
      <c r="D223" s="25">
        <f t="shared" si="52"/>
        <v>0</v>
      </c>
      <c r="E223" s="25"/>
      <c r="F223" s="25"/>
      <c r="G223" s="25"/>
      <c r="H223" s="1">
        <f t="shared" si="47"/>
        <v>0</v>
      </c>
      <c r="I223" s="1">
        <f t="shared" si="48"/>
        <v>0</v>
      </c>
      <c r="J223" s="83"/>
    </row>
    <row r="224" spans="1:10" s="64" customFormat="1" ht="15.6" x14ac:dyDescent="0.3">
      <c r="A224" s="30">
        <v>206</v>
      </c>
      <c r="B224" s="29" t="s">
        <v>449</v>
      </c>
      <c r="C224" s="25">
        <f>SUM(0+0)</f>
        <v>0</v>
      </c>
      <c r="D224" s="25">
        <f>SUM(0+0)</f>
        <v>0</v>
      </c>
      <c r="E224" s="25"/>
      <c r="F224" s="25"/>
      <c r="G224" s="25"/>
      <c r="H224" s="1">
        <f t="shared" si="47"/>
        <v>0</v>
      </c>
      <c r="I224" s="1">
        <f t="shared" si="48"/>
        <v>0</v>
      </c>
      <c r="J224" s="83"/>
    </row>
    <row r="225" spans="1:10" s="64" customFormat="1" ht="15.6" x14ac:dyDescent="0.3">
      <c r="A225" s="30">
        <v>207</v>
      </c>
      <c r="B225" s="29" t="s">
        <v>450</v>
      </c>
      <c r="C225" s="25">
        <f>SUM(0+1)</f>
        <v>1</v>
      </c>
      <c r="D225" s="25">
        <f>SUM(0+1)</f>
        <v>1</v>
      </c>
      <c r="E225" s="25"/>
      <c r="F225" s="25"/>
      <c r="G225" s="25"/>
      <c r="H225" s="1">
        <f t="shared" si="47"/>
        <v>0</v>
      </c>
      <c r="I225" s="1">
        <f t="shared" si="48"/>
        <v>1</v>
      </c>
      <c r="J225" s="83"/>
    </row>
    <row r="226" spans="1:10" s="64" customFormat="1" ht="15.6" x14ac:dyDescent="0.3">
      <c r="A226" s="30">
        <v>208</v>
      </c>
      <c r="B226" s="29" t="s">
        <v>451</v>
      </c>
      <c r="C226" s="25">
        <f>SUM(4+0)</f>
        <v>4</v>
      </c>
      <c r="D226" s="25">
        <f>SUM(4+0)</f>
        <v>4</v>
      </c>
      <c r="E226" s="25"/>
      <c r="F226" s="25"/>
      <c r="G226" s="25"/>
      <c r="H226" s="1">
        <f t="shared" si="47"/>
        <v>0</v>
      </c>
      <c r="I226" s="1">
        <f t="shared" si="48"/>
        <v>4</v>
      </c>
      <c r="J226" s="61" t="s">
        <v>93</v>
      </c>
    </row>
    <row r="227" spans="1:10" s="64" customFormat="1" ht="15.6" x14ac:dyDescent="0.3">
      <c r="A227" s="30">
        <v>209</v>
      </c>
      <c r="B227" s="29" t="s">
        <v>452</v>
      </c>
      <c r="C227" s="25">
        <f>SUM(9+0)</f>
        <v>9</v>
      </c>
      <c r="D227" s="25">
        <f>SUM(9+0)</f>
        <v>9</v>
      </c>
      <c r="E227" s="25"/>
      <c r="F227" s="25"/>
      <c r="G227" s="25"/>
      <c r="H227" s="1">
        <f t="shared" si="47"/>
        <v>0</v>
      </c>
      <c r="I227" s="1">
        <f t="shared" si="48"/>
        <v>9</v>
      </c>
      <c r="J227" s="61" t="s">
        <v>93</v>
      </c>
    </row>
    <row r="228" spans="1:10" s="64" customFormat="1" ht="15.6" x14ac:dyDescent="0.3">
      <c r="A228" s="30">
        <v>210</v>
      </c>
      <c r="B228" s="29" t="s">
        <v>453</v>
      </c>
      <c r="C228" s="25">
        <f>SUM(0+0)</f>
        <v>0</v>
      </c>
      <c r="D228" s="25">
        <f>SUM(0+0)</f>
        <v>0</v>
      </c>
      <c r="E228" s="25"/>
      <c r="F228" s="25"/>
      <c r="G228" s="25"/>
      <c r="H228" s="1">
        <f t="shared" si="47"/>
        <v>0</v>
      </c>
      <c r="I228" s="1">
        <f t="shared" si="48"/>
        <v>0</v>
      </c>
      <c r="J228" s="122"/>
    </row>
    <row r="229" spans="1:10" s="120" customFormat="1" ht="15.6" x14ac:dyDescent="0.3">
      <c r="A229" s="121">
        <v>211</v>
      </c>
      <c r="B229" s="29" t="s">
        <v>454</v>
      </c>
      <c r="C229" s="25">
        <f>SUM(0+0)</f>
        <v>0</v>
      </c>
      <c r="D229" s="25">
        <f>SUM(0+0)</f>
        <v>0</v>
      </c>
      <c r="E229" s="25"/>
      <c r="F229" s="25"/>
      <c r="G229" s="25"/>
      <c r="H229" s="1">
        <f t="shared" si="47"/>
        <v>0</v>
      </c>
      <c r="I229" s="1">
        <f t="shared" si="48"/>
        <v>0</v>
      </c>
      <c r="J229" s="122"/>
    </row>
  </sheetData>
  <mergeCells count="3">
    <mergeCell ref="A1:J1"/>
    <mergeCell ref="E2:G2"/>
    <mergeCell ref="A5:J5"/>
  </mergeCells>
  <pageMargins left="0.70866141732283472" right="0.31496062992125984" top="0.51181102362204722" bottom="0.23622047244094491" header="0.31496062992125984" footer="0.15748031496062992"/>
  <pageSetup paperSize="9" scale="67" fitToHeight="0" orientation="portrait" r:id="rId1"/>
  <headerFooter differentFirst="1">
    <oddHeader>&amp;C&amp;"Arial,Regular"&amp;12&amp;P</oddHeader>
  </headerFooter>
  <ignoredErrors>
    <ignoredError sqref="C28 C32"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7216"/>
    <pageSetUpPr fitToPage="1"/>
  </sheetPr>
  <dimension ref="A1:T29"/>
  <sheetViews>
    <sheetView view="pageBreakPreview" zoomScale="75" zoomScaleNormal="75" zoomScaleSheetLayoutView="75" workbookViewId="0">
      <pane ySplit="4" topLeftCell="A5" activePane="bottomLeft" state="frozen"/>
      <selection activeCell="G31" sqref="G31"/>
      <selection pane="bottomLeft" activeCell="T17" sqref="T17"/>
    </sheetView>
  </sheetViews>
  <sheetFormatPr defaultColWidth="9.109375" defaultRowHeight="15.6" x14ac:dyDescent="0.3"/>
  <cols>
    <col min="1" max="1" width="5.109375" style="6" bestFit="1" customWidth="1"/>
    <col min="2" max="2" width="35.109375" style="5" bestFit="1" customWidth="1"/>
    <col min="3" max="3" width="8.109375" style="21" customWidth="1"/>
    <col min="4" max="4" width="8.5546875" style="21" customWidth="1"/>
    <col min="5" max="5" width="5.6640625" style="21" bestFit="1" customWidth="1"/>
    <col min="6" max="6" width="6.44140625" style="21" bestFit="1" customWidth="1"/>
    <col min="7" max="7" width="9.109375" style="21" bestFit="1" customWidth="1"/>
    <col min="8" max="8" width="5.6640625" style="21" bestFit="1" customWidth="1"/>
    <col min="9" max="9" width="4.88671875" style="21" bestFit="1" customWidth="1"/>
    <col min="10" max="10" width="4.44140625" style="21" bestFit="1" customWidth="1"/>
    <col min="11" max="11" width="4.6640625" style="21" bestFit="1" customWidth="1"/>
    <col min="12" max="12" width="6.33203125" style="21" bestFit="1" customWidth="1"/>
    <col min="13" max="13" width="7.44140625" style="21" customWidth="1"/>
    <col min="14" max="14" width="12.33203125" style="21" customWidth="1"/>
    <col min="15" max="15" width="6.33203125" style="4" bestFit="1" customWidth="1"/>
    <col min="16" max="16" width="8.88671875" style="5" bestFit="1" customWidth="1"/>
    <col min="17" max="17" width="8.6640625" style="5" bestFit="1" customWidth="1"/>
    <col min="18" max="19" width="10.5546875" style="5" bestFit="1" customWidth="1"/>
    <col min="20" max="20" width="47.88671875" style="5" bestFit="1" customWidth="1"/>
    <col min="21" max="16384" width="9.109375" style="5"/>
  </cols>
  <sheetData>
    <row r="1" spans="1:20" x14ac:dyDescent="0.25">
      <c r="A1" s="242" t="s">
        <v>44</v>
      </c>
      <c r="B1" s="242"/>
      <c r="C1" s="242"/>
      <c r="D1" s="242"/>
      <c r="E1" s="242"/>
      <c r="F1" s="242"/>
      <c r="G1" s="242"/>
      <c r="H1" s="242"/>
      <c r="I1" s="242"/>
      <c r="J1" s="242"/>
      <c r="K1" s="242"/>
      <c r="L1" s="242"/>
      <c r="M1" s="242"/>
      <c r="N1" s="242"/>
      <c r="O1" s="242"/>
      <c r="P1" s="242"/>
      <c r="Q1" s="242"/>
      <c r="R1" s="242"/>
      <c r="S1" s="242"/>
      <c r="T1" s="242"/>
    </row>
    <row r="2" spans="1:20" x14ac:dyDescent="0.3">
      <c r="A2" s="21"/>
      <c r="B2" s="52"/>
      <c r="R2" s="243"/>
      <c r="S2" s="244"/>
      <c r="T2" s="244"/>
    </row>
    <row r="3" spans="1:20" s="53" customFormat="1" ht="15.75" customHeight="1" x14ac:dyDescent="0.3">
      <c r="A3" s="245" t="s">
        <v>0</v>
      </c>
      <c r="B3" s="246" t="s">
        <v>16</v>
      </c>
      <c r="C3" s="224" t="s">
        <v>17</v>
      </c>
      <c r="D3" s="226"/>
      <c r="E3" s="245" t="s">
        <v>31</v>
      </c>
      <c r="F3" s="245"/>
      <c r="G3" s="245"/>
      <c r="H3" s="245"/>
      <c r="I3" s="245"/>
      <c r="J3" s="245"/>
      <c r="K3" s="245"/>
      <c r="L3" s="245"/>
      <c r="M3" s="227" t="s">
        <v>18</v>
      </c>
      <c r="N3" s="227" t="s">
        <v>32</v>
      </c>
      <c r="O3" s="247" t="s">
        <v>33</v>
      </c>
      <c r="P3" s="246" t="s">
        <v>116</v>
      </c>
      <c r="Q3" s="246" t="s">
        <v>22</v>
      </c>
      <c r="R3" s="246" t="s">
        <v>23</v>
      </c>
      <c r="S3" s="246" t="s">
        <v>24</v>
      </c>
      <c r="T3" s="248" t="s">
        <v>47</v>
      </c>
    </row>
    <row r="4" spans="1:20" s="53" customFormat="1" ht="31.2" x14ac:dyDescent="0.3">
      <c r="A4" s="245"/>
      <c r="B4" s="246"/>
      <c r="C4" s="131" t="s">
        <v>25</v>
      </c>
      <c r="D4" s="131" t="s">
        <v>26</v>
      </c>
      <c r="E4" s="129" t="s">
        <v>15</v>
      </c>
      <c r="F4" s="129" t="s">
        <v>34</v>
      </c>
      <c r="G4" s="129" t="s">
        <v>27</v>
      </c>
      <c r="H4" s="129" t="s">
        <v>35</v>
      </c>
      <c r="I4" s="129" t="s">
        <v>36</v>
      </c>
      <c r="J4" s="129" t="s">
        <v>37</v>
      </c>
      <c r="K4" s="129" t="s">
        <v>38</v>
      </c>
      <c r="L4" s="129" t="s">
        <v>28</v>
      </c>
      <c r="M4" s="228"/>
      <c r="N4" s="228"/>
      <c r="O4" s="231"/>
      <c r="P4" s="246"/>
      <c r="Q4" s="246"/>
      <c r="R4" s="246"/>
      <c r="S4" s="246"/>
      <c r="T4" s="233"/>
    </row>
    <row r="5" spans="1:20" s="53" customFormat="1" x14ac:dyDescent="0.3">
      <c r="A5" s="129" t="s">
        <v>1</v>
      </c>
      <c r="B5" s="130" t="s">
        <v>2</v>
      </c>
      <c r="C5" s="129" t="s">
        <v>3</v>
      </c>
      <c r="D5" s="129" t="s">
        <v>4</v>
      </c>
      <c r="E5" s="129" t="s">
        <v>5</v>
      </c>
      <c r="F5" s="129" t="s">
        <v>6</v>
      </c>
      <c r="G5" s="129" t="s">
        <v>7</v>
      </c>
      <c r="H5" s="129" t="s">
        <v>8</v>
      </c>
      <c r="I5" s="129" t="s">
        <v>9</v>
      </c>
      <c r="J5" s="129" t="s">
        <v>10</v>
      </c>
      <c r="K5" s="129" t="s">
        <v>11</v>
      </c>
      <c r="L5" s="129" t="s">
        <v>12</v>
      </c>
      <c r="M5" s="129" t="s">
        <v>13</v>
      </c>
      <c r="N5" s="129" t="s">
        <v>29</v>
      </c>
      <c r="O5" s="129" t="s">
        <v>30</v>
      </c>
      <c r="P5" s="129" t="s">
        <v>39</v>
      </c>
      <c r="Q5" s="129" t="s">
        <v>40</v>
      </c>
      <c r="R5" s="129" t="s">
        <v>41</v>
      </c>
      <c r="S5" s="129" t="s">
        <v>42</v>
      </c>
      <c r="T5" s="129" t="s">
        <v>43</v>
      </c>
    </row>
    <row r="6" spans="1:20" x14ac:dyDescent="0.25">
      <c r="A6" s="1">
        <v>1</v>
      </c>
      <c r="B6" s="33" t="s">
        <v>455</v>
      </c>
      <c r="C6" s="1">
        <v>0</v>
      </c>
      <c r="D6" s="1">
        <v>0</v>
      </c>
      <c r="E6" s="1"/>
      <c r="F6" s="1"/>
      <c r="G6" s="1"/>
      <c r="H6" s="1"/>
      <c r="I6" s="1"/>
      <c r="J6" s="1"/>
      <c r="K6" s="1"/>
      <c r="L6" s="1"/>
      <c r="M6" s="1"/>
      <c r="N6" s="25"/>
      <c r="O6" s="26"/>
      <c r="P6" s="27"/>
      <c r="Q6" s="27"/>
      <c r="R6" s="27"/>
      <c r="S6" s="27"/>
      <c r="T6" s="133"/>
    </row>
    <row r="7" spans="1:20" s="2" customFormat="1" ht="15" x14ac:dyDescent="0.3">
      <c r="A7" s="1">
        <v>2</v>
      </c>
      <c r="B7" s="33" t="s">
        <v>456</v>
      </c>
      <c r="C7" s="1">
        <v>0</v>
      </c>
      <c r="D7" s="1">
        <v>0</v>
      </c>
      <c r="E7" s="1"/>
      <c r="F7" s="1"/>
      <c r="G7" s="1"/>
      <c r="H7" s="1"/>
      <c r="I7" s="1"/>
      <c r="J7" s="1"/>
      <c r="K7" s="1"/>
      <c r="L7" s="1"/>
      <c r="M7" s="1"/>
      <c r="N7" s="25"/>
      <c r="O7" s="26"/>
      <c r="P7" s="27"/>
      <c r="Q7" s="27"/>
      <c r="R7" s="27"/>
      <c r="S7" s="27"/>
      <c r="T7" s="23"/>
    </row>
    <row r="8" spans="1:20" ht="15" x14ac:dyDescent="0.25">
      <c r="A8" s="1">
        <v>3</v>
      </c>
      <c r="B8" s="33" t="s">
        <v>457</v>
      </c>
      <c r="C8" s="1">
        <v>0</v>
      </c>
      <c r="D8" s="1">
        <v>0</v>
      </c>
      <c r="E8" s="1"/>
      <c r="F8" s="1"/>
      <c r="G8" s="1"/>
      <c r="H8" s="1"/>
      <c r="I8" s="1"/>
      <c r="J8" s="1"/>
      <c r="K8" s="1"/>
      <c r="L8" s="1"/>
      <c r="M8" s="1"/>
      <c r="N8" s="25"/>
      <c r="O8" s="26"/>
      <c r="P8" s="27"/>
      <c r="Q8" s="27"/>
      <c r="R8" s="27"/>
      <c r="S8" s="27"/>
      <c r="T8" s="90"/>
    </row>
    <row r="9" spans="1:20" x14ac:dyDescent="0.25">
      <c r="A9" s="1">
        <v>4</v>
      </c>
      <c r="B9" s="33" t="s">
        <v>458</v>
      </c>
      <c r="C9" s="1">
        <v>0</v>
      </c>
      <c r="D9" s="1">
        <v>0</v>
      </c>
      <c r="E9" s="1"/>
      <c r="F9" s="1"/>
      <c r="G9" s="1"/>
      <c r="H9" s="1"/>
      <c r="I9" s="1"/>
      <c r="J9" s="1"/>
      <c r="K9" s="1"/>
      <c r="L9" s="1"/>
      <c r="M9" s="1"/>
      <c r="N9" s="25"/>
      <c r="O9" s="26"/>
      <c r="P9" s="27"/>
      <c r="Q9" s="27"/>
      <c r="R9" s="27"/>
      <c r="S9" s="27"/>
      <c r="T9" s="34"/>
    </row>
    <row r="10" spans="1:20" ht="15" x14ac:dyDescent="0.25">
      <c r="A10" s="1">
        <v>5</v>
      </c>
      <c r="B10" s="33" t="s">
        <v>459</v>
      </c>
      <c r="C10" s="1">
        <v>0</v>
      </c>
      <c r="D10" s="1">
        <v>0</v>
      </c>
      <c r="E10" s="1"/>
      <c r="F10" s="1"/>
      <c r="G10" s="1"/>
      <c r="H10" s="1"/>
      <c r="I10" s="1"/>
      <c r="J10" s="1"/>
      <c r="K10" s="1"/>
      <c r="L10" s="1"/>
      <c r="M10" s="1"/>
      <c r="N10" s="25"/>
      <c r="O10" s="26"/>
      <c r="P10" s="27"/>
      <c r="Q10" s="27"/>
      <c r="R10" s="27"/>
      <c r="S10" s="27"/>
      <c r="T10" s="23"/>
    </row>
    <row r="11" spans="1:20" ht="15" x14ac:dyDescent="0.25">
      <c r="A11" s="1">
        <v>6</v>
      </c>
      <c r="B11" s="33" t="s">
        <v>460</v>
      </c>
      <c r="C11" s="1">
        <v>0</v>
      </c>
      <c r="D11" s="1">
        <v>0</v>
      </c>
      <c r="E11" s="1"/>
      <c r="F11" s="1"/>
      <c r="G11" s="1"/>
      <c r="H11" s="1"/>
      <c r="I11" s="1"/>
      <c r="J11" s="1"/>
      <c r="K11" s="1"/>
      <c r="L11" s="1"/>
      <c r="M11" s="1"/>
      <c r="N11" s="25"/>
      <c r="O11" s="26"/>
      <c r="P11" s="27"/>
      <c r="Q11" s="27"/>
      <c r="R11" s="27"/>
      <c r="S11" s="27"/>
      <c r="T11" s="23"/>
    </row>
    <row r="12" spans="1:20" ht="15" x14ac:dyDescent="0.25">
      <c r="A12" s="1">
        <v>7</v>
      </c>
      <c r="B12" s="33" t="s">
        <v>461</v>
      </c>
      <c r="C12" s="1">
        <v>0</v>
      </c>
      <c r="D12" s="1">
        <v>0</v>
      </c>
      <c r="E12" s="1"/>
      <c r="F12" s="1"/>
      <c r="G12" s="1"/>
      <c r="H12" s="1"/>
      <c r="I12" s="1"/>
      <c r="J12" s="1"/>
      <c r="K12" s="1"/>
      <c r="L12" s="1"/>
      <c r="M12" s="1"/>
      <c r="N12" s="25"/>
      <c r="O12" s="26"/>
      <c r="P12" s="27"/>
      <c r="Q12" s="27"/>
      <c r="R12" s="27"/>
      <c r="S12" s="27"/>
      <c r="T12" s="40"/>
    </row>
    <row r="13" spans="1:20" ht="15" x14ac:dyDescent="0.25">
      <c r="A13" s="1">
        <v>8</v>
      </c>
      <c r="B13" s="33" t="s">
        <v>462</v>
      </c>
      <c r="C13" s="1">
        <v>0</v>
      </c>
      <c r="D13" s="1">
        <v>0</v>
      </c>
      <c r="E13" s="1"/>
      <c r="F13" s="1"/>
      <c r="G13" s="1"/>
      <c r="H13" s="1"/>
      <c r="I13" s="1"/>
      <c r="J13" s="1"/>
      <c r="K13" s="1"/>
      <c r="L13" s="1"/>
      <c r="M13" s="1"/>
      <c r="N13" s="25"/>
      <c r="O13" s="26"/>
      <c r="P13" s="27"/>
      <c r="Q13" s="27"/>
      <c r="R13" s="27"/>
      <c r="S13" s="27"/>
      <c r="T13" s="35"/>
    </row>
    <row r="14" spans="1:20" ht="15" x14ac:dyDescent="0.25">
      <c r="A14" s="1">
        <v>9</v>
      </c>
      <c r="B14" s="33" t="s">
        <v>463</v>
      </c>
      <c r="C14" s="1">
        <v>0</v>
      </c>
      <c r="D14" s="1">
        <v>0</v>
      </c>
      <c r="E14" s="1"/>
      <c r="F14" s="1"/>
      <c r="G14" s="1"/>
      <c r="H14" s="1"/>
      <c r="I14" s="1"/>
      <c r="J14" s="1"/>
      <c r="K14" s="1"/>
      <c r="L14" s="1"/>
      <c r="M14" s="1"/>
      <c r="N14" s="25"/>
      <c r="O14" s="26"/>
      <c r="P14" s="27"/>
      <c r="Q14" s="27"/>
      <c r="R14" s="27"/>
      <c r="S14" s="27"/>
      <c r="T14" s="35"/>
    </row>
    <row r="15" spans="1:20" ht="15" x14ac:dyDescent="0.25">
      <c r="A15" s="1">
        <v>10</v>
      </c>
      <c r="B15" s="33" t="s">
        <v>464</v>
      </c>
      <c r="C15" s="1">
        <v>0</v>
      </c>
      <c r="D15" s="1">
        <v>0</v>
      </c>
      <c r="E15" s="1"/>
      <c r="F15" s="1"/>
      <c r="G15" s="1"/>
      <c r="H15" s="1"/>
      <c r="I15" s="1"/>
      <c r="J15" s="1"/>
      <c r="K15" s="1"/>
      <c r="L15" s="1"/>
      <c r="M15" s="1"/>
      <c r="N15" s="25"/>
      <c r="O15" s="26"/>
      <c r="P15" s="27"/>
      <c r="Q15" s="27"/>
      <c r="R15" s="27"/>
      <c r="S15" s="27"/>
      <c r="T15" s="35"/>
    </row>
    <row r="16" spans="1:20" ht="15" x14ac:dyDescent="0.25">
      <c r="A16" s="1">
        <v>11</v>
      </c>
      <c r="B16" s="33" t="s">
        <v>465</v>
      </c>
      <c r="C16" s="1">
        <v>0</v>
      </c>
      <c r="D16" s="1">
        <v>0</v>
      </c>
      <c r="E16" s="1"/>
      <c r="F16" s="1"/>
      <c r="G16" s="1"/>
      <c r="H16" s="1"/>
      <c r="I16" s="1"/>
      <c r="J16" s="1"/>
      <c r="K16" s="1"/>
      <c r="L16" s="1"/>
      <c r="M16" s="1"/>
      <c r="N16" s="25"/>
      <c r="O16" s="26"/>
      <c r="P16" s="27"/>
      <c r="Q16" s="27"/>
      <c r="R16" s="27"/>
      <c r="S16" s="27"/>
      <c r="T16" s="35"/>
    </row>
    <row r="17" spans="1:20" ht="180" x14ac:dyDescent="0.25">
      <c r="A17" s="1">
        <v>12</v>
      </c>
      <c r="B17" s="33" t="s">
        <v>466</v>
      </c>
      <c r="C17" s="1">
        <v>32</v>
      </c>
      <c r="D17" s="1">
        <f>32-8</f>
        <v>24</v>
      </c>
      <c r="E17" s="1">
        <v>0</v>
      </c>
      <c r="F17" s="1">
        <v>0</v>
      </c>
      <c r="G17" s="1">
        <v>0</v>
      </c>
      <c r="H17" s="1">
        <v>2</v>
      </c>
      <c r="I17" s="15">
        <v>0</v>
      </c>
      <c r="J17" s="15">
        <v>0</v>
      </c>
      <c r="K17" s="15">
        <v>0</v>
      </c>
      <c r="L17" s="15">
        <v>0</v>
      </c>
      <c r="M17" s="199">
        <f>SUM(E17:L17)</f>
        <v>2</v>
      </c>
      <c r="N17" s="16">
        <v>0</v>
      </c>
      <c r="O17" s="201">
        <f>D17-M17-N17</f>
        <v>22</v>
      </c>
      <c r="P17" s="202">
        <f>M17/D17</f>
        <v>8.3333333333333329E-2</v>
      </c>
      <c r="Q17" s="193">
        <f>N17/D17</f>
        <v>0</v>
      </c>
      <c r="R17" s="202">
        <f>O17/D17</f>
        <v>0.91666666666666663</v>
      </c>
      <c r="S17" s="202">
        <f>O17/D17</f>
        <v>0.91666666666666663</v>
      </c>
      <c r="T17" s="156" t="s">
        <v>474</v>
      </c>
    </row>
    <row r="18" spans="1:20" ht="15" x14ac:dyDescent="0.25">
      <c r="A18" s="1">
        <v>13</v>
      </c>
      <c r="B18" s="33" t="s">
        <v>467</v>
      </c>
      <c r="C18" s="1">
        <v>0</v>
      </c>
      <c r="D18" s="1">
        <v>0</v>
      </c>
      <c r="E18" s="1"/>
      <c r="F18" s="1"/>
      <c r="G18" s="1"/>
      <c r="H18" s="1"/>
      <c r="I18" s="1"/>
      <c r="J18" s="1"/>
      <c r="K18" s="1"/>
      <c r="L18" s="1"/>
      <c r="M18" s="1"/>
      <c r="N18" s="25"/>
      <c r="O18" s="26"/>
      <c r="P18" s="27"/>
      <c r="Q18" s="27"/>
      <c r="R18" s="27"/>
      <c r="S18" s="27"/>
      <c r="T18" s="35"/>
    </row>
    <row r="19" spans="1:20" ht="15" x14ac:dyDescent="0.25">
      <c r="A19" s="1">
        <v>14</v>
      </c>
      <c r="B19" s="33" t="s">
        <v>468</v>
      </c>
      <c r="C19" s="1">
        <v>0</v>
      </c>
      <c r="D19" s="1">
        <v>0</v>
      </c>
      <c r="E19" s="1"/>
      <c r="F19" s="1"/>
      <c r="G19" s="1"/>
      <c r="H19" s="1"/>
      <c r="I19" s="1"/>
      <c r="J19" s="1"/>
      <c r="K19" s="1"/>
      <c r="L19" s="1"/>
      <c r="M19" s="1"/>
      <c r="N19" s="25"/>
      <c r="O19" s="26"/>
      <c r="P19" s="27"/>
      <c r="Q19" s="27"/>
      <c r="R19" s="27"/>
      <c r="S19" s="27"/>
      <c r="T19" s="35"/>
    </row>
    <row r="20" spans="1:20" x14ac:dyDescent="0.25">
      <c r="A20" s="1">
        <v>15</v>
      </c>
      <c r="B20" s="33" t="s">
        <v>469</v>
      </c>
      <c r="C20" s="1">
        <v>0</v>
      </c>
      <c r="D20" s="1">
        <v>0</v>
      </c>
      <c r="E20" s="1"/>
      <c r="F20" s="1"/>
      <c r="G20" s="1"/>
      <c r="H20" s="1"/>
      <c r="I20" s="1"/>
      <c r="J20" s="1"/>
      <c r="K20" s="1"/>
      <c r="L20" s="1"/>
      <c r="M20" s="1"/>
      <c r="N20" s="25"/>
      <c r="O20" s="26"/>
      <c r="P20" s="27"/>
      <c r="Q20" s="27"/>
      <c r="R20" s="27"/>
      <c r="S20" s="27"/>
      <c r="T20" s="36"/>
    </row>
    <row r="21" spans="1:20" ht="15" x14ac:dyDescent="0.25">
      <c r="A21" s="1">
        <v>16</v>
      </c>
      <c r="B21" s="33" t="s">
        <v>470</v>
      </c>
      <c r="C21" s="1">
        <v>0</v>
      </c>
      <c r="D21" s="1">
        <v>0</v>
      </c>
      <c r="E21" s="1"/>
      <c r="F21" s="1"/>
      <c r="G21" s="1"/>
      <c r="H21" s="1"/>
      <c r="I21" s="1"/>
      <c r="J21" s="1"/>
      <c r="K21" s="1"/>
      <c r="L21" s="1"/>
      <c r="M21" s="1"/>
      <c r="N21" s="25"/>
      <c r="O21" s="26"/>
      <c r="P21" s="27"/>
      <c r="Q21" s="27"/>
      <c r="R21" s="27"/>
      <c r="S21" s="27"/>
      <c r="T21" s="35"/>
    </row>
    <row r="22" spans="1:20" x14ac:dyDescent="0.25">
      <c r="A22" s="1">
        <v>17</v>
      </c>
      <c r="B22" s="33" t="s">
        <v>471</v>
      </c>
      <c r="C22" s="1">
        <v>0</v>
      </c>
      <c r="D22" s="1">
        <v>0</v>
      </c>
      <c r="E22" s="1"/>
      <c r="F22" s="1"/>
      <c r="G22" s="1"/>
      <c r="H22" s="1"/>
      <c r="I22" s="1"/>
      <c r="J22" s="1"/>
      <c r="K22" s="1"/>
      <c r="L22" s="1"/>
      <c r="M22" s="1"/>
      <c r="N22" s="25"/>
      <c r="O22" s="26"/>
      <c r="P22" s="27"/>
      <c r="Q22" s="27"/>
      <c r="R22" s="27"/>
      <c r="S22" s="27"/>
      <c r="T22" s="51"/>
    </row>
    <row r="23" spans="1:20" ht="15" x14ac:dyDescent="0.25">
      <c r="A23" s="37">
        <v>18</v>
      </c>
      <c r="B23" s="33" t="s">
        <v>472</v>
      </c>
      <c r="C23" s="1">
        <v>0</v>
      </c>
      <c r="D23" s="1">
        <v>0</v>
      </c>
      <c r="E23" s="1"/>
      <c r="F23" s="1"/>
      <c r="G23" s="1"/>
      <c r="H23" s="1"/>
      <c r="I23" s="1"/>
      <c r="J23" s="1"/>
      <c r="K23" s="1"/>
      <c r="L23" s="1"/>
      <c r="M23" s="1"/>
      <c r="N23" s="38"/>
      <c r="O23" s="26"/>
      <c r="P23" s="27"/>
      <c r="Q23" s="27"/>
      <c r="R23" s="27"/>
      <c r="S23" s="27"/>
      <c r="T23" s="37"/>
    </row>
    <row r="24" spans="1:20" s="2" customFormat="1" ht="15" x14ac:dyDescent="0.3">
      <c r="A24" s="37">
        <v>19</v>
      </c>
      <c r="B24" s="33" t="s">
        <v>473</v>
      </c>
      <c r="C24" s="1">
        <v>0</v>
      </c>
      <c r="D24" s="1">
        <v>0</v>
      </c>
      <c r="E24" s="1"/>
      <c r="F24" s="1"/>
      <c r="G24" s="1"/>
      <c r="H24" s="1"/>
      <c r="I24" s="1"/>
      <c r="J24" s="1"/>
      <c r="K24" s="1"/>
      <c r="L24" s="1"/>
      <c r="M24" s="1"/>
      <c r="N24" s="38"/>
      <c r="O24" s="26"/>
      <c r="P24" s="27"/>
      <c r="Q24" s="27"/>
      <c r="R24" s="27"/>
      <c r="S24" s="27"/>
      <c r="T24" s="35"/>
    </row>
    <row r="25" spans="1:20" x14ac:dyDescent="0.3">
      <c r="T25" s="5" t="s">
        <v>52</v>
      </c>
    </row>
    <row r="27" spans="1:20" x14ac:dyDescent="0.3">
      <c r="S27" s="5" t="s">
        <v>52</v>
      </c>
    </row>
    <row r="29" spans="1:20" x14ac:dyDescent="0.3">
      <c r="T29" s="14"/>
    </row>
  </sheetData>
  <protectedRanges>
    <protectedRange sqref="T8" name="Range1"/>
  </protectedRanges>
  <mergeCells count="14">
    <mergeCell ref="A1:T1"/>
    <mergeCell ref="R2:T2"/>
    <mergeCell ref="A3:A4"/>
    <mergeCell ref="B3:B4"/>
    <mergeCell ref="C3:D3"/>
    <mergeCell ref="E3:L3"/>
    <mergeCell ref="M3:M4"/>
    <mergeCell ref="N3:N4"/>
    <mergeCell ref="O3:O4"/>
    <mergeCell ref="R3:R4"/>
    <mergeCell ref="S3:S4"/>
    <mergeCell ref="T3:T4"/>
    <mergeCell ref="P3:P4"/>
    <mergeCell ref="Q3:Q4"/>
  </mergeCells>
  <phoneticPr fontId="26" type="noConversion"/>
  <dataValidations count="2">
    <dataValidation type="whole" allowBlank="1" showInputMessage="1" showErrorMessage="1" errorTitle="Value Between 0 to 200000" sqref="O6:O24" xr:uid="{00000000-0002-0000-0300-000000000000}">
      <formula1>0</formula1>
      <formula2>200000</formula2>
    </dataValidation>
    <dataValidation type="whole" allowBlank="1" showInputMessage="1" showErrorMessage="1" sqref="N23:N24 N8:N13 N15:N21 C6:L24" xr:uid="{00000000-0002-0000-0300-000001000000}">
      <formula1>0</formula1>
      <formula2>50000</formula2>
    </dataValidation>
  </dataValidations>
  <pageMargins left="0.70866141732283472" right="0.31496062992125984" top="0.57999999999999996" bottom="0.23622047244094491" header="0.31496062992125984" footer="0.15748031496062992"/>
  <pageSetup paperSize="9" scale="42" orientation="portrait" r:id="rId1"/>
  <headerFooter differentFirst="1">
    <oddHeader>&amp;C&amp;"Arial,Regular"&amp;12&amp;P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7216"/>
    <pageSetUpPr fitToPage="1"/>
  </sheetPr>
  <dimension ref="A1:T34"/>
  <sheetViews>
    <sheetView view="pageBreakPreview" zoomScale="85" zoomScaleSheetLayoutView="85" workbookViewId="0">
      <pane ySplit="5" topLeftCell="A6" activePane="bottomLeft" state="frozen"/>
      <selection pane="bottomLeft" activeCell="Q27" sqref="Q27"/>
    </sheetView>
  </sheetViews>
  <sheetFormatPr defaultColWidth="9.109375" defaultRowHeight="15" x14ac:dyDescent="0.25"/>
  <cols>
    <col min="1" max="1" width="5.5546875" style="3" customWidth="1"/>
    <col min="2" max="2" width="37.33203125" style="14" customWidth="1"/>
    <col min="3" max="3" width="7.88671875" style="21" customWidth="1"/>
    <col min="4" max="4" width="7.33203125" style="21" customWidth="1"/>
    <col min="5" max="5" width="6.109375" style="21" customWidth="1"/>
    <col min="6" max="6" width="8.109375" style="21" customWidth="1"/>
    <col min="7" max="7" width="6.33203125" style="21" customWidth="1"/>
    <col min="8" max="8" width="13" style="21" customWidth="1"/>
    <col min="9" max="9" width="6.33203125" style="21" customWidth="1"/>
    <col min="10" max="10" width="7.88671875" style="21" customWidth="1"/>
    <col min="11" max="11" width="7.33203125" style="21" customWidth="1"/>
    <col min="12" max="12" width="7.109375" style="5" customWidth="1"/>
    <col min="13" max="13" width="8.5546875" style="5" customWidth="1"/>
    <col min="14" max="14" width="8.6640625" style="5" bestFit="1" customWidth="1"/>
    <col min="15" max="15" width="10.33203125" style="5" bestFit="1" customWidth="1"/>
    <col min="16" max="16" width="10.5546875" style="5" bestFit="1" customWidth="1"/>
    <col min="17" max="17" width="51.88671875" style="5" bestFit="1" customWidth="1"/>
    <col min="18" max="16384" width="9.109375" style="5"/>
  </cols>
  <sheetData>
    <row r="1" spans="1:20" ht="15.6" x14ac:dyDescent="0.25">
      <c r="A1" s="242" t="s">
        <v>45</v>
      </c>
      <c r="B1" s="242"/>
      <c r="C1" s="242"/>
      <c r="D1" s="242"/>
      <c r="E1" s="242"/>
      <c r="F1" s="242"/>
      <c r="G1" s="242"/>
      <c r="H1" s="242"/>
      <c r="I1" s="242"/>
      <c r="J1" s="242"/>
      <c r="K1" s="242"/>
      <c r="L1" s="242"/>
      <c r="M1" s="242"/>
      <c r="N1" s="242"/>
      <c r="O1" s="242"/>
      <c r="P1" s="242"/>
      <c r="Q1" s="242"/>
    </row>
    <row r="2" spans="1:20" ht="15.6" x14ac:dyDescent="0.25">
      <c r="A2" s="141"/>
      <c r="B2" s="141"/>
      <c r="C2" s="141"/>
      <c r="D2" s="141"/>
      <c r="E2" s="141"/>
      <c r="F2" s="141"/>
      <c r="G2" s="141"/>
      <c r="H2" s="141"/>
      <c r="I2" s="141"/>
      <c r="J2" s="141"/>
      <c r="K2" s="141"/>
      <c r="L2" s="141"/>
      <c r="M2" s="141"/>
      <c r="N2" s="141"/>
      <c r="O2" s="141"/>
      <c r="P2" s="141"/>
      <c r="Q2" s="141"/>
    </row>
    <row r="3" spans="1:20" s="53" customFormat="1" ht="15.75" customHeight="1" x14ac:dyDescent="0.3">
      <c r="A3" s="247" t="s">
        <v>0</v>
      </c>
      <c r="B3" s="248" t="s">
        <v>16</v>
      </c>
      <c r="C3" s="245" t="s">
        <v>17</v>
      </c>
      <c r="D3" s="245"/>
      <c r="E3" s="245" t="s">
        <v>31</v>
      </c>
      <c r="F3" s="245"/>
      <c r="G3" s="245"/>
      <c r="H3" s="245"/>
      <c r="I3" s="245"/>
      <c r="J3" s="248" t="s">
        <v>18</v>
      </c>
      <c r="K3" s="248" t="s">
        <v>19</v>
      </c>
      <c r="L3" s="248" t="s">
        <v>20</v>
      </c>
      <c r="M3" s="248" t="s">
        <v>21</v>
      </c>
      <c r="N3" s="248" t="s">
        <v>22</v>
      </c>
      <c r="O3" s="248" t="s">
        <v>23</v>
      </c>
      <c r="P3" s="248" t="s">
        <v>24</v>
      </c>
      <c r="Q3" s="248" t="s">
        <v>47</v>
      </c>
    </row>
    <row r="4" spans="1:20" s="53" customFormat="1" ht="62.4" x14ac:dyDescent="0.3">
      <c r="A4" s="231"/>
      <c r="B4" s="248"/>
      <c r="C4" s="130" t="s">
        <v>25</v>
      </c>
      <c r="D4" s="130" t="s">
        <v>26</v>
      </c>
      <c r="E4" s="107" t="s">
        <v>60</v>
      </c>
      <c r="F4" s="107" t="s">
        <v>34</v>
      </c>
      <c r="G4" s="62" t="s">
        <v>27</v>
      </c>
      <c r="H4" s="63" t="s">
        <v>59</v>
      </c>
      <c r="I4" s="62" t="s">
        <v>28</v>
      </c>
      <c r="J4" s="248"/>
      <c r="K4" s="248"/>
      <c r="L4" s="248"/>
      <c r="M4" s="248"/>
      <c r="N4" s="248"/>
      <c r="O4" s="248"/>
      <c r="P4" s="248"/>
      <c r="Q4" s="233"/>
      <c r="T4" s="53" t="s">
        <v>52</v>
      </c>
    </row>
    <row r="5" spans="1:20" s="6" customFormat="1" ht="18.75" customHeight="1" x14ac:dyDescent="0.25">
      <c r="A5" s="56" t="s">
        <v>1</v>
      </c>
      <c r="B5" s="42" t="s">
        <v>2</v>
      </c>
      <c r="C5" s="56" t="s">
        <v>3</v>
      </c>
      <c r="D5" s="56" t="s">
        <v>4</v>
      </c>
      <c r="E5" s="56" t="s">
        <v>5</v>
      </c>
      <c r="F5" s="56" t="s">
        <v>6</v>
      </c>
      <c r="G5" s="56" t="s">
        <v>7</v>
      </c>
      <c r="H5" s="56" t="s">
        <v>8</v>
      </c>
      <c r="I5" s="56" t="s">
        <v>9</v>
      </c>
      <c r="J5" s="56" t="s">
        <v>10</v>
      </c>
      <c r="K5" s="56" t="s">
        <v>11</v>
      </c>
      <c r="L5" s="56" t="s">
        <v>12</v>
      </c>
      <c r="M5" s="56" t="s">
        <v>13</v>
      </c>
      <c r="N5" s="56" t="s">
        <v>29</v>
      </c>
      <c r="O5" s="56" t="s">
        <v>30</v>
      </c>
      <c r="P5" s="56" t="s">
        <v>39</v>
      </c>
      <c r="Q5" s="56" t="s">
        <v>40</v>
      </c>
    </row>
    <row r="6" spans="1:20" s="2" customFormat="1" x14ac:dyDescent="0.3">
      <c r="A6" s="1">
        <v>1</v>
      </c>
      <c r="B6" s="23" t="s">
        <v>475</v>
      </c>
      <c r="C6" s="24">
        <v>0</v>
      </c>
      <c r="D6" s="24">
        <v>0</v>
      </c>
      <c r="E6" s="24"/>
      <c r="F6" s="24"/>
      <c r="G6" s="24"/>
      <c r="H6" s="24"/>
      <c r="I6" s="24"/>
      <c r="J6" s="24"/>
      <c r="K6" s="25"/>
      <c r="L6" s="26"/>
      <c r="M6" s="27"/>
      <c r="N6" s="66"/>
      <c r="O6" s="27"/>
      <c r="P6" s="27"/>
      <c r="Q6" s="50"/>
      <c r="S6" s="2" t="s">
        <v>52</v>
      </c>
    </row>
    <row r="7" spans="1:20" x14ac:dyDescent="0.25">
      <c r="A7" s="1">
        <v>2</v>
      </c>
      <c r="B7" s="23" t="s">
        <v>476</v>
      </c>
      <c r="C7" s="24">
        <v>0</v>
      </c>
      <c r="D7" s="24">
        <v>0</v>
      </c>
      <c r="E7" s="24"/>
      <c r="F7" s="24"/>
      <c r="G7" s="24"/>
      <c r="H7" s="24"/>
      <c r="I7" s="24"/>
      <c r="J7" s="24"/>
      <c r="K7" s="25"/>
      <c r="L7" s="26"/>
      <c r="M7" s="27"/>
      <c r="N7" s="66"/>
      <c r="O7" s="27"/>
      <c r="P7" s="27"/>
      <c r="Q7" s="44"/>
    </row>
    <row r="8" spans="1:20" s="2" customFormat="1" x14ac:dyDescent="0.3">
      <c r="A8" s="1">
        <v>3</v>
      </c>
      <c r="B8" s="23" t="s">
        <v>477</v>
      </c>
      <c r="C8" s="24">
        <v>0</v>
      </c>
      <c r="D8" s="24">
        <v>0</v>
      </c>
      <c r="E8" s="24"/>
      <c r="F8" s="24"/>
      <c r="G8" s="24"/>
      <c r="H8" s="24"/>
      <c r="I8" s="24"/>
      <c r="J8" s="24"/>
      <c r="K8" s="25"/>
      <c r="L8" s="26"/>
      <c r="M8" s="27"/>
      <c r="N8" s="66"/>
      <c r="O8" s="27"/>
      <c r="P8" s="27"/>
      <c r="Q8" s="50"/>
      <c r="T8" s="2" t="s">
        <v>52</v>
      </c>
    </row>
    <row r="9" spans="1:20" s="2" customFormat="1" ht="15.6" x14ac:dyDescent="0.3">
      <c r="A9" s="1">
        <v>4</v>
      </c>
      <c r="B9" s="23" t="s">
        <v>478</v>
      </c>
      <c r="C9" s="24">
        <v>0</v>
      </c>
      <c r="D9" s="24">
        <v>0</v>
      </c>
      <c r="E9" s="24"/>
      <c r="F9" s="24"/>
      <c r="G9" s="24"/>
      <c r="H9" s="24"/>
      <c r="I9" s="24"/>
      <c r="J9" s="24"/>
      <c r="K9" s="25"/>
      <c r="L9" s="26"/>
      <c r="M9" s="27"/>
      <c r="N9" s="66"/>
      <c r="O9" s="27"/>
      <c r="P9" s="27"/>
      <c r="Q9" s="95"/>
    </row>
    <row r="10" spans="1:20" x14ac:dyDescent="0.25">
      <c r="A10" s="1">
        <v>5</v>
      </c>
      <c r="B10" s="23" t="s">
        <v>479</v>
      </c>
      <c r="C10" s="24">
        <v>0</v>
      </c>
      <c r="D10" s="24">
        <v>0</v>
      </c>
      <c r="E10" s="24"/>
      <c r="F10" s="24"/>
      <c r="G10" s="24"/>
      <c r="H10" s="24"/>
      <c r="I10" s="24"/>
      <c r="J10" s="24"/>
      <c r="K10" s="25"/>
      <c r="L10" s="26"/>
      <c r="M10" s="27"/>
      <c r="N10" s="66"/>
      <c r="O10" s="27"/>
      <c r="P10" s="27"/>
      <c r="Q10" s="60"/>
      <c r="S10" s="5" t="s">
        <v>52</v>
      </c>
    </row>
    <row r="11" spans="1:20" s="2" customFormat="1" x14ac:dyDescent="0.3">
      <c r="A11" s="1">
        <v>6</v>
      </c>
      <c r="B11" s="23" t="s">
        <v>480</v>
      </c>
      <c r="C11" s="24">
        <v>0</v>
      </c>
      <c r="D11" s="24">
        <v>0</v>
      </c>
      <c r="E11" s="24"/>
      <c r="F11" s="24"/>
      <c r="G11" s="24"/>
      <c r="H11" s="24"/>
      <c r="I11" s="24"/>
      <c r="J11" s="24"/>
      <c r="K11" s="25"/>
      <c r="L11" s="26"/>
      <c r="M11" s="27"/>
      <c r="N11" s="66"/>
      <c r="O11" s="27"/>
      <c r="P11" s="27"/>
      <c r="Q11" s="50"/>
    </row>
    <row r="12" spans="1:20" s="2" customFormat="1" x14ac:dyDescent="0.3">
      <c r="A12" s="1">
        <v>7</v>
      </c>
      <c r="B12" s="23" t="s">
        <v>481</v>
      </c>
      <c r="C12" s="24">
        <v>0</v>
      </c>
      <c r="D12" s="24">
        <v>0</v>
      </c>
      <c r="E12" s="24"/>
      <c r="F12" s="24"/>
      <c r="G12" s="24"/>
      <c r="H12" s="24"/>
      <c r="I12" s="24"/>
      <c r="J12" s="24"/>
      <c r="K12" s="25"/>
      <c r="L12" s="26"/>
      <c r="M12" s="27"/>
      <c r="N12" s="66"/>
      <c r="O12" s="27"/>
      <c r="P12" s="27"/>
      <c r="Q12" s="49"/>
    </row>
    <row r="13" spans="1:20" x14ac:dyDescent="0.25">
      <c r="A13" s="1">
        <v>8</v>
      </c>
      <c r="B13" s="23" t="s">
        <v>482</v>
      </c>
      <c r="C13" s="24">
        <v>0</v>
      </c>
      <c r="D13" s="24">
        <v>0</v>
      </c>
      <c r="E13" s="24"/>
      <c r="F13" s="24"/>
      <c r="G13" s="24"/>
      <c r="H13" s="24"/>
      <c r="I13" s="24"/>
      <c r="J13" s="24"/>
      <c r="K13" s="25"/>
      <c r="L13" s="26"/>
      <c r="M13" s="27"/>
      <c r="N13" s="66"/>
      <c r="O13" s="27"/>
      <c r="P13" s="27"/>
      <c r="Q13" s="60"/>
    </row>
    <row r="14" spans="1:20" x14ac:dyDescent="0.25">
      <c r="A14" s="1">
        <v>9</v>
      </c>
      <c r="B14" s="23" t="s">
        <v>483</v>
      </c>
      <c r="C14" s="24">
        <v>0</v>
      </c>
      <c r="D14" s="24">
        <v>0</v>
      </c>
      <c r="E14" s="24"/>
      <c r="F14" s="24"/>
      <c r="G14" s="24"/>
      <c r="H14" s="24"/>
      <c r="I14" s="24"/>
      <c r="J14" s="24"/>
      <c r="K14" s="25"/>
      <c r="L14" s="26"/>
      <c r="M14" s="27"/>
      <c r="N14" s="66"/>
      <c r="O14" s="27"/>
      <c r="P14" s="27"/>
      <c r="Q14" s="60"/>
    </row>
    <row r="15" spans="1:20" s="2" customFormat="1" x14ac:dyDescent="0.3">
      <c r="A15" s="1">
        <v>10</v>
      </c>
      <c r="B15" s="23" t="s">
        <v>484</v>
      </c>
      <c r="C15" s="187">
        <f>SUM(51+0)</f>
        <v>51</v>
      </c>
      <c r="D15" s="187">
        <f>SUM(47-11+0)</f>
        <v>36</v>
      </c>
      <c r="E15" s="24">
        <v>0</v>
      </c>
      <c r="F15" s="24">
        <v>0</v>
      </c>
      <c r="G15" s="24">
        <v>0</v>
      </c>
      <c r="H15" s="24">
        <v>0</v>
      </c>
      <c r="I15" s="24">
        <v>0</v>
      </c>
      <c r="J15" s="24">
        <f>SUM(E15:I15)</f>
        <v>0</v>
      </c>
      <c r="K15" s="25">
        <v>0</v>
      </c>
      <c r="L15" s="26">
        <f>D15-J15-K15</f>
        <v>36</v>
      </c>
      <c r="M15" s="27">
        <f>J15/D15</f>
        <v>0</v>
      </c>
      <c r="N15" s="66">
        <f>K15/D15</f>
        <v>0</v>
      </c>
      <c r="O15" s="27">
        <f>L15/D15</f>
        <v>1</v>
      </c>
      <c r="P15" s="27">
        <f>L15/D15</f>
        <v>1</v>
      </c>
      <c r="Q15" s="124"/>
    </row>
    <row r="16" spans="1:20" s="2" customFormat="1" ht="15.6" x14ac:dyDescent="0.3">
      <c r="A16" s="1">
        <v>11</v>
      </c>
      <c r="B16" s="23" t="s">
        <v>485</v>
      </c>
      <c r="C16" s="24">
        <v>0</v>
      </c>
      <c r="D16" s="24">
        <v>0</v>
      </c>
      <c r="E16" s="24"/>
      <c r="F16" s="24"/>
      <c r="G16" s="24"/>
      <c r="H16" s="24"/>
      <c r="I16" s="24"/>
      <c r="J16" s="24"/>
      <c r="K16" s="25"/>
      <c r="L16" s="26"/>
      <c r="M16" s="27"/>
      <c r="N16" s="66"/>
      <c r="O16" s="27"/>
      <c r="P16" s="27"/>
      <c r="Q16" s="51"/>
    </row>
    <row r="17" spans="1:20" x14ac:dyDescent="0.25">
      <c r="A17" s="1">
        <v>12</v>
      </c>
      <c r="B17" s="23" t="s">
        <v>486</v>
      </c>
      <c r="C17" s="24">
        <v>0</v>
      </c>
      <c r="D17" s="24">
        <v>0</v>
      </c>
      <c r="E17" s="24"/>
      <c r="F17" s="24"/>
      <c r="G17" s="24"/>
      <c r="H17" s="24"/>
      <c r="I17" s="24"/>
      <c r="J17" s="24"/>
      <c r="K17" s="25"/>
      <c r="L17" s="26"/>
      <c r="M17" s="27"/>
      <c r="N17" s="66"/>
      <c r="O17" s="27"/>
      <c r="P17" s="27"/>
      <c r="Q17" s="49"/>
    </row>
    <row r="18" spans="1:20" x14ac:dyDescent="0.25">
      <c r="A18" s="1">
        <v>13</v>
      </c>
      <c r="B18" s="23" t="s">
        <v>487</v>
      </c>
      <c r="C18" s="24">
        <v>0</v>
      </c>
      <c r="D18" s="24">
        <v>0</v>
      </c>
      <c r="E18" s="24"/>
      <c r="F18" s="24"/>
      <c r="G18" s="24"/>
      <c r="H18" s="24"/>
      <c r="I18" s="24"/>
      <c r="J18" s="24"/>
      <c r="K18" s="25"/>
      <c r="L18" s="26"/>
      <c r="M18" s="27"/>
      <c r="N18" s="66"/>
      <c r="O18" s="27"/>
      <c r="P18" s="27"/>
      <c r="Q18" s="44"/>
    </row>
    <row r="19" spans="1:20" x14ac:dyDescent="0.25">
      <c r="A19" s="1">
        <v>14</v>
      </c>
      <c r="B19" s="23" t="s">
        <v>488</v>
      </c>
      <c r="C19" s="24">
        <v>0</v>
      </c>
      <c r="D19" s="24">
        <v>0</v>
      </c>
      <c r="E19" s="24"/>
      <c r="F19" s="24"/>
      <c r="G19" s="24"/>
      <c r="H19" s="24"/>
      <c r="I19" s="24"/>
      <c r="J19" s="24"/>
      <c r="K19" s="25"/>
      <c r="L19" s="26"/>
      <c r="M19" s="27"/>
      <c r="N19" s="66"/>
      <c r="O19" s="27"/>
      <c r="P19" s="27"/>
      <c r="Q19" s="60"/>
    </row>
    <row r="20" spans="1:20" x14ac:dyDescent="0.25">
      <c r="A20" s="1">
        <v>15</v>
      </c>
      <c r="B20" s="23" t="s">
        <v>489</v>
      </c>
      <c r="C20" s="24">
        <v>0</v>
      </c>
      <c r="D20" s="24">
        <v>0</v>
      </c>
      <c r="E20" s="24"/>
      <c r="F20" s="24"/>
      <c r="G20" s="24"/>
      <c r="H20" s="24"/>
      <c r="I20" s="24"/>
      <c r="J20" s="24"/>
      <c r="K20" s="25"/>
      <c r="L20" s="26"/>
      <c r="M20" s="27"/>
      <c r="N20" s="66"/>
      <c r="O20" s="27"/>
      <c r="P20" s="27"/>
      <c r="Q20" s="61"/>
    </row>
    <row r="21" spans="1:20" x14ac:dyDescent="0.25">
      <c r="A21" s="1">
        <v>16</v>
      </c>
      <c r="B21" s="23" t="s">
        <v>490</v>
      </c>
      <c r="C21" s="24">
        <v>0</v>
      </c>
      <c r="D21" s="24">
        <v>0</v>
      </c>
      <c r="E21" s="24"/>
      <c r="F21" s="24"/>
      <c r="G21" s="24"/>
      <c r="H21" s="24"/>
      <c r="I21" s="24"/>
      <c r="J21" s="24"/>
      <c r="K21" s="25"/>
      <c r="L21" s="26"/>
      <c r="M21" s="27"/>
      <c r="N21" s="66"/>
      <c r="O21" s="27"/>
      <c r="P21" s="27"/>
      <c r="Q21" s="61"/>
    </row>
    <row r="22" spans="1:20" x14ac:dyDescent="0.25">
      <c r="A22" s="1">
        <v>17</v>
      </c>
      <c r="B22" s="23" t="s">
        <v>491</v>
      </c>
      <c r="C22" s="24">
        <v>0</v>
      </c>
      <c r="D22" s="24">
        <v>0</v>
      </c>
      <c r="E22" s="24"/>
      <c r="F22" s="24"/>
      <c r="G22" s="24"/>
      <c r="H22" s="24"/>
      <c r="I22" s="24"/>
      <c r="J22" s="24"/>
      <c r="K22" s="25"/>
      <c r="L22" s="26"/>
      <c r="M22" s="27"/>
      <c r="N22" s="66"/>
      <c r="O22" s="27"/>
      <c r="P22" s="27"/>
      <c r="Q22" s="44"/>
    </row>
    <row r="23" spans="1:20" x14ac:dyDescent="0.25">
      <c r="A23" s="1">
        <v>18</v>
      </c>
      <c r="B23" s="23" t="s">
        <v>492</v>
      </c>
      <c r="C23" s="24">
        <v>0</v>
      </c>
      <c r="D23" s="24">
        <v>0</v>
      </c>
      <c r="E23" s="24"/>
      <c r="F23" s="24"/>
      <c r="G23" s="24"/>
      <c r="H23" s="24"/>
      <c r="I23" s="24"/>
      <c r="J23" s="24"/>
      <c r="K23" s="25"/>
      <c r="L23" s="26"/>
      <c r="M23" s="27"/>
      <c r="N23" s="66"/>
      <c r="O23" s="27"/>
      <c r="P23" s="27"/>
      <c r="Q23" s="44"/>
    </row>
    <row r="24" spans="1:20" x14ac:dyDescent="0.25">
      <c r="A24" s="1">
        <v>19</v>
      </c>
      <c r="B24" s="23" t="s">
        <v>493</v>
      </c>
      <c r="C24" s="24">
        <v>0</v>
      </c>
      <c r="D24" s="24">
        <v>0</v>
      </c>
      <c r="E24" s="24"/>
      <c r="F24" s="24"/>
      <c r="G24" s="24"/>
      <c r="H24" s="24"/>
      <c r="I24" s="24"/>
      <c r="J24" s="24"/>
      <c r="K24" s="25"/>
      <c r="L24" s="26"/>
      <c r="M24" s="27"/>
      <c r="N24" s="66"/>
      <c r="O24" s="27"/>
      <c r="P24" s="27"/>
      <c r="Q24" s="60"/>
    </row>
    <row r="25" spans="1:20" x14ac:dyDescent="0.25">
      <c r="A25" s="1">
        <v>20</v>
      </c>
      <c r="B25" s="23" t="s">
        <v>494</v>
      </c>
      <c r="C25" s="24">
        <v>0</v>
      </c>
      <c r="D25" s="24">
        <v>0</v>
      </c>
      <c r="E25" s="24"/>
      <c r="F25" s="24"/>
      <c r="G25" s="24"/>
      <c r="H25" s="24"/>
      <c r="I25" s="24"/>
      <c r="J25" s="24"/>
      <c r="K25" s="25"/>
      <c r="L25" s="26"/>
      <c r="M25" s="27"/>
      <c r="N25" s="66"/>
      <c r="O25" s="27"/>
      <c r="P25" s="27"/>
      <c r="Q25" s="50"/>
    </row>
    <row r="26" spans="1:20" s="2" customFormat="1" x14ac:dyDescent="0.3">
      <c r="A26" s="1">
        <v>21</v>
      </c>
      <c r="B26" s="23" t="s">
        <v>495</v>
      </c>
      <c r="C26" s="24">
        <v>0</v>
      </c>
      <c r="D26" s="24">
        <v>0</v>
      </c>
      <c r="E26" s="24"/>
      <c r="F26" s="24"/>
      <c r="G26" s="24"/>
      <c r="H26" s="24"/>
      <c r="I26" s="24"/>
      <c r="J26" s="24"/>
      <c r="K26" s="25"/>
      <c r="L26" s="26"/>
      <c r="M26" s="27"/>
      <c r="N26" s="66"/>
      <c r="O26" s="27"/>
      <c r="P26" s="27"/>
      <c r="Q26" s="50"/>
    </row>
    <row r="27" spans="1:20" s="2" customFormat="1" ht="30" x14ac:dyDescent="0.3">
      <c r="A27" s="1">
        <v>22</v>
      </c>
      <c r="B27" s="23" t="s">
        <v>496</v>
      </c>
      <c r="C27" s="24">
        <f>SUM(262+57)</f>
        <v>319</v>
      </c>
      <c r="D27" s="24">
        <f>SUM(267-44+66)</f>
        <v>289</v>
      </c>
      <c r="E27" s="24">
        <v>0</v>
      </c>
      <c r="F27" s="24">
        <v>0</v>
      </c>
      <c r="G27" s="24">
        <v>0</v>
      </c>
      <c r="H27" s="192">
        <v>1</v>
      </c>
      <c r="I27" s="192">
        <v>0</v>
      </c>
      <c r="J27" s="192">
        <f>SUM(E27:I27)</f>
        <v>1</v>
      </c>
      <c r="K27" s="16">
        <v>0</v>
      </c>
      <c r="L27" s="203">
        <f>D27-J27-K27</f>
        <v>288</v>
      </c>
      <c r="M27" s="193">
        <f>J27/D27</f>
        <v>3.4602076124567475E-3</v>
      </c>
      <c r="N27" s="194">
        <f>K27/D27</f>
        <v>0</v>
      </c>
      <c r="O27" s="193">
        <f>L27/D27</f>
        <v>0.9965397923875432</v>
      </c>
      <c r="P27" s="193">
        <f>L27/D27</f>
        <v>0.9965397923875432</v>
      </c>
      <c r="Q27" s="177" t="s">
        <v>117</v>
      </c>
    </row>
    <row r="28" spans="1:20" s="2" customFormat="1" x14ac:dyDescent="0.3">
      <c r="A28" s="1">
        <v>23</v>
      </c>
      <c r="B28" s="23" t="s">
        <v>497</v>
      </c>
      <c r="C28" s="24">
        <v>0</v>
      </c>
      <c r="D28" s="24">
        <v>0</v>
      </c>
      <c r="E28" s="24"/>
      <c r="F28" s="24"/>
      <c r="G28" s="24"/>
      <c r="H28" s="24"/>
      <c r="I28" s="24"/>
      <c r="J28" s="24"/>
      <c r="K28" s="25"/>
      <c r="L28" s="26"/>
      <c r="M28" s="27"/>
      <c r="N28" s="66"/>
      <c r="O28" s="27"/>
      <c r="P28" s="27"/>
      <c r="Q28" s="149"/>
      <c r="R28" s="134"/>
      <c r="S28" s="134"/>
      <c r="T28" s="135"/>
    </row>
    <row r="29" spans="1:20" s="2" customFormat="1" x14ac:dyDescent="0.3">
      <c r="A29" s="1">
        <v>24</v>
      </c>
      <c r="B29" s="23" t="s">
        <v>498</v>
      </c>
      <c r="C29" s="24">
        <f>SUM(308+40)</f>
        <v>348</v>
      </c>
      <c r="D29" s="24">
        <f>SUM(264-57+31)</f>
        <v>238</v>
      </c>
      <c r="E29" s="24">
        <v>0</v>
      </c>
      <c r="F29" s="24">
        <v>0</v>
      </c>
      <c r="G29" s="24">
        <v>0</v>
      </c>
      <c r="H29" s="24">
        <v>0</v>
      </c>
      <c r="I29" s="24">
        <v>0</v>
      </c>
      <c r="J29" s="24">
        <f>SUM(E29:I29)</f>
        <v>0</v>
      </c>
      <c r="K29" s="25">
        <v>0</v>
      </c>
      <c r="L29" s="26">
        <f>D29-J29-K29</f>
        <v>238</v>
      </c>
      <c r="M29" s="27">
        <f>J29/D29</f>
        <v>0</v>
      </c>
      <c r="N29" s="66">
        <f>K29/D29</f>
        <v>0</v>
      </c>
      <c r="O29" s="27">
        <f>L29/D29</f>
        <v>1</v>
      </c>
      <c r="P29" s="27">
        <f>L29/D29</f>
        <v>1</v>
      </c>
      <c r="Q29" s="35" t="s">
        <v>98</v>
      </c>
    </row>
    <row r="30" spans="1:20" ht="15.6" x14ac:dyDescent="0.25">
      <c r="A30" s="1">
        <v>25</v>
      </c>
      <c r="B30" s="23" t="s">
        <v>499</v>
      </c>
      <c r="C30" s="24">
        <v>0</v>
      </c>
      <c r="D30" s="24">
        <v>0</v>
      </c>
      <c r="E30" s="24"/>
      <c r="F30" s="24"/>
      <c r="G30" s="24"/>
      <c r="H30" s="24"/>
      <c r="I30" s="24"/>
      <c r="J30" s="24"/>
      <c r="K30" s="25"/>
      <c r="L30" s="26"/>
      <c r="M30" s="27"/>
      <c r="N30" s="66"/>
      <c r="O30" s="27"/>
      <c r="P30" s="27"/>
      <c r="Q30" s="36"/>
    </row>
    <row r="31" spans="1:20" x14ac:dyDescent="0.25">
      <c r="A31" s="1">
        <v>26</v>
      </c>
      <c r="B31" s="23" t="s">
        <v>500</v>
      </c>
      <c r="C31" s="24">
        <f>SUM(49+1)</f>
        <v>50</v>
      </c>
      <c r="D31" s="24">
        <f>SUM(10-1+1)</f>
        <v>10</v>
      </c>
      <c r="E31" s="24">
        <v>0</v>
      </c>
      <c r="F31" s="24">
        <v>0</v>
      </c>
      <c r="G31" s="24">
        <v>0</v>
      </c>
      <c r="H31" s="24">
        <v>0</v>
      </c>
      <c r="I31" s="24">
        <v>0</v>
      </c>
      <c r="J31" s="24">
        <f>SUM(E31:I31)</f>
        <v>0</v>
      </c>
      <c r="K31" s="25">
        <v>0</v>
      </c>
      <c r="L31" s="26">
        <f>D31-J31-K31</f>
        <v>10</v>
      </c>
      <c r="M31" s="27">
        <f>J31/D31</f>
        <v>0</v>
      </c>
      <c r="N31" s="66">
        <f>K31/D31</f>
        <v>0</v>
      </c>
      <c r="O31" s="27">
        <f>L31/D31</f>
        <v>1</v>
      </c>
      <c r="P31" s="27">
        <f>L31/D31</f>
        <v>1</v>
      </c>
      <c r="Q31" s="35" t="s">
        <v>99</v>
      </c>
    </row>
    <row r="32" spans="1:20" s="2" customFormat="1" ht="30" x14ac:dyDescent="0.3">
      <c r="A32" s="1">
        <v>27</v>
      </c>
      <c r="B32" s="23" t="s">
        <v>501</v>
      </c>
      <c r="C32" s="24">
        <v>0</v>
      </c>
      <c r="D32" s="24">
        <f>SUM(35-9+0)</f>
        <v>26</v>
      </c>
      <c r="E32" s="24">
        <v>0</v>
      </c>
      <c r="F32" s="24">
        <v>0</v>
      </c>
      <c r="G32" s="24">
        <v>0</v>
      </c>
      <c r="H32" s="192">
        <v>1</v>
      </c>
      <c r="I32" s="192">
        <v>0</v>
      </c>
      <c r="J32" s="192">
        <f>SUM(E32:I32)</f>
        <v>1</v>
      </c>
      <c r="K32" s="16">
        <v>0</v>
      </c>
      <c r="L32" s="203">
        <f>D32-J32-K32</f>
        <v>25</v>
      </c>
      <c r="M32" s="193">
        <f>J32/D32</f>
        <v>3.8461538461538464E-2</v>
      </c>
      <c r="N32" s="194">
        <f>K32/D32</f>
        <v>0</v>
      </c>
      <c r="O32" s="193">
        <f>L32/D32</f>
        <v>0.96153846153846156</v>
      </c>
      <c r="P32" s="193">
        <f>L32/D32</f>
        <v>0.96153846153846156</v>
      </c>
      <c r="Q32" s="17" t="s">
        <v>118</v>
      </c>
    </row>
    <row r="33" spans="13:14" x14ac:dyDescent="0.25">
      <c r="N33" s="5" t="s">
        <v>52</v>
      </c>
    </row>
    <row r="34" spans="13:14" x14ac:dyDescent="0.25">
      <c r="M34" s="5" t="s">
        <v>52</v>
      </c>
    </row>
  </sheetData>
  <mergeCells count="13">
    <mergeCell ref="A1:Q1"/>
    <mergeCell ref="A3:A4"/>
    <mergeCell ref="B3:B4"/>
    <mergeCell ref="C3:D3"/>
    <mergeCell ref="E3:I3"/>
    <mergeCell ref="J3:J4"/>
    <mergeCell ref="K3:K4"/>
    <mergeCell ref="L3:L4"/>
    <mergeCell ref="O3:O4"/>
    <mergeCell ref="P3:P4"/>
    <mergeCell ref="Q3:Q4"/>
    <mergeCell ref="M3:M4"/>
    <mergeCell ref="N3:N4"/>
  </mergeCells>
  <phoneticPr fontId="26" type="noConversion"/>
  <dataValidations xWindow="214" yWindow="556" count="3">
    <dataValidation type="whole" allowBlank="1" showInputMessage="1" showErrorMessage="1" sqref="Q30 C6:I32" xr:uid="{00000000-0002-0000-0400-000000000000}">
      <formula1>0</formula1>
      <formula2>50000</formula2>
    </dataValidation>
    <dataValidation allowBlank="1" showInputMessage="1" showErrorMessage="1" promptTitle="FORMULA USED" prompt="Don't Ammend Here" sqref="B6:B32" xr:uid="{00000000-0002-0000-0400-000001000000}"/>
    <dataValidation type="whole" allowBlank="1" showInputMessage="1" showErrorMessage="1" errorTitle="Value Between 0 to 200000" sqref="L6:L32" xr:uid="{00000000-0002-0000-0400-000002000000}">
      <formula1>0</formula1>
      <formula2>200000</formula2>
    </dataValidation>
  </dataValidations>
  <pageMargins left="0.6692913385826772" right="0.23622047244094491" top="0.31496062992125984" bottom="0.15748031496062992" header="0.23622047244094491" footer="0.19685039370078741"/>
  <pageSetup paperSize="9" scale="44" fitToHeight="0" orientation="portrait" r:id="rId1"/>
  <headerFooter>
    <oddHeader>&amp;C&amp;"Arial,Regular"&amp;12&amp;P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47216"/>
    <pageSetUpPr fitToPage="1"/>
  </sheetPr>
  <dimension ref="A1:R1616"/>
  <sheetViews>
    <sheetView tabSelected="1" view="pageBreakPreview" zoomScale="85" zoomScaleNormal="70" zoomScaleSheetLayoutView="85" workbookViewId="0">
      <pane ySplit="3" topLeftCell="A125" activePane="bottomLeft" state="frozen"/>
      <selection pane="bottomLeft" activeCell="Q128" sqref="Q128"/>
    </sheetView>
  </sheetViews>
  <sheetFormatPr defaultColWidth="9.109375" defaultRowHeight="15.6" x14ac:dyDescent="0.3"/>
  <cols>
    <col min="1" max="1" width="6.5546875" style="10" bestFit="1" customWidth="1"/>
    <col min="2" max="2" width="9.109375" style="219"/>
    <col min="3" max="3" width="41.44140625" style="219" customWidth="1"/>
    <col min="4" max="4" width="8.88671875" style="10" customWidth="1"/>
    <col min="5" max="5" width="7.33203125" style="10" customWidth="1"/>
    <col min="6" max="6" width="6" style="48" customWidth="1"/>
    <col min="7" max="7" width="15.109375" style="48" customWidth="1"/>
    <col min="8" max="8" width="6" style="48" customWidth="1"/>
    <col min="9" max="9" width="11" style="48" customWidth="1"/>
    <col min="10" max="10" width="7.33203125" style="48" customWidth="1"/>
    <col min="11" max="11" width="7.88671875" style="10" customWidth="1"/>
    <col min="12" max="12" width="11" style="10" customWidth="1"/>
    <col min="13" max="13" width="8.109375" style="10" customWidth="1"/>
    <col min="14" max="14" width="10.44140625" style="19" bestFit="1" customWidth="1"/>
    <col min="15" max="15" width="10.5546875" style="10" bestFit="1" customWidth="1"/>
    <col min="16" max="16" width="30.88671875" style="10" bestFit="1" customWidth="1"/>
    <col min="17" max="16384" width="9.109375" style="10"/>
  </cols>
  <sheetData>
    <row r="1" spans="1:16" s="67" customFormat="1" ht="27.75" customHeight="1" x14ac:dyDescent="0.3">
      <c r="A1" s="229" t="s">
        <v>111</v>
      </c>
      <c r="B1" s="229"/>
      <c r="C1" s="229"/>
      <c r="D1" s="229"/>
      <c r="E1" s="229"/>
      <c r="F1" s="229"/>
      <c r="G1" s="229"/>
      <c r="H1" s="229"/>
      <c r="I1" s="229"/>
      <c r="J1" s="229"/>
      <c r="K1" s="229"/>
      <c r="L1" s="229"/>
      <c r="M1" s="229"/>
      <c r="N1" s="229"/>
      <c r="O1" s="229"/>
      <c r="P1" s="229"/>
    </row>
    <row r="2" spans="1:16" s="152" customFormat="1" ht="31.5" customHeight="1" x14ac:dyDescent="0.3">
      <c r="A2" s="129" t="s">
        <v>0</v>
      </c>
      <c r="B2" s="215" t="s">
        <v>16</v>
      </c>
      <c r="C2" s="215"/>
      <c r="D2" s="142" t="s">
        <v>17</v>
      </c>
      <c r="E2" s="143"/>
      <c r="F2" s="224" t="s">
        <v>46</v>
      </c>
      <c r="G2" s="225"/>
      <c r="H2" s="226"/>
      <c r="I2" s="227" t="s">
        <v>18</v>
      </c>
      <c r="J2" s="227" t="s">
        <v>19</v>
      </c>
      <c r="K2" s="227" t="s">
        <v>20</v>
      </c>
      <c r="L2" s="227" t="s">
        <v>21</v>
      </c>
      <c r="M2" s="227" t="s">
        <v>22</v>
      </c>
      <c r="N2" s="227" t="s">
        <v>23</v>
      </c>
      <c r="O2" s="227" t="s">
        <v>24</v>
      </c>
      <c r="P2" s="227" t="s">
        <v>47</v>
      </c>
    </row>
    <row r="3" spans="1:16" s="20" customFormat="1" ht="46.8" x14ac:dyDescent="0.3">
      <c r="A3" s="129"/>
      <c r="B3" s="215"/>
      <c r="C3" s="215"/>
      <c r="D3" s="131" t="s">
        <v>53</v>
      </c>
      <c r="E3" s="131" t="s">
        <v>26</v>
      </c>
      <c r="F3" s="62" t="s">
        <v>27</v>
      </c>
      <c r="G3" s="107" t="s">
        <v>101</v>
      </c>
      <c r="H3" s="62" t="s">
        <v>28</v>
      </c>
      <c r="I3" s="228"/>
      <c r="J3" s="228"/>
      <c r="K3" s="228"/>
      <c r="L3" s="228"/>
      <c r="M3" s="228"/>
      <c r="N3" s="228"/>
      <c r="O3" s="228"/>
      <c r="P3" s="228"/>
    </row>
    <row r="4" spans="1:16" s="57" customFormat="1" x14ac:dyDescent="0.3">
      <c r="A4" s="1" t="s">
        <v>1</v>
      </c>
      <c r="B4" s="75" t="s">
        <v>2</v>
      </c>
      <c r="C4" s="75"/>
      <c r="D4" s="1" t="s">
        <v>3</v>
      </c>
      <c r="E4" s="1" t="s">
        <v>4</v>
      </c>
      <c r="F4" s="3" t="s">
        <v>5</v>
      </c>
      <c r="G4" s="30" t="s">
        <v>6</v>
      </c>
      <c r="H4" s="1" t="s">
        <v>7</v>
      </c>
      <c r="I4" s="1" t="s">
        <v>8</v>
      </c>
      <c r="J4" s="1" t="s">
        <v>9</v>
      </c>
      <c r="K4" s="1" t="s">
        <v>10</v>
      </c>
      <c r="L4" s="1" t="s">
        <v>11</v>
      </c>
      <c r="M4" s="1" t="s">
        <v>12</v>
      </c>
      <c r="N4" s="1" t="s">
        <v>13</v>
      </c>
      <c r="O4" s="1" t="s">
        <v>29</v>
      </c>
      <c r="P4" s="1" t="s">
        <v>30</v>
      </c>
    </row>
    <row r="5" spans="1:16" ht="15" customHeight="1" x14ac:dyDescent="0.3">
      <c r="A5" s="102">
        <v>1</v>
      </c>
      <c r="B5" s="215" t="s">
        <v>502</v>
      </c>
      <c r="C5" s="216"/>
      <c r="D5" s="69"/>
      <c r="E5" s="69"/>
      <c r="F5" s="70"/>
      <c r="G5" s="70"/>
      <c r="H5" s="70"/>
      <c r="I5" s="73"/>
      <c r="J5" s="70"/>
      <c r="K5" s="69"/>
      <c r="L5" s="69"/>
      <c r="M5" s="69"/>
      <c r="N5" s="71"/>
      <c r="O5" s="69"/>
      <c r="P5" s="87"/>
    </row>
    <row r="6" spans="1:16" s="19" customFormat="1" x14ac:dyDescent="0.3">
      <c r="A6" s="150"/>
      <c r="B6" s="217" t="s">
        <v>1</v>
      </c>
      <c r="C6" s="217" t="s">
        <v>503</v>
      </c>
      <c r="D6" s="24">
        <v>0</v>
      </c>
      <c r="E6" s="24">
        <v>0</v>
      </c>
      <c r="F6" s="24"/>
      <c r="G6" s="24"/>
      <c r="H6" s="24"/>
      <c r="I6" s="24"/>
      <c r="J6" s="1"/>
      <c r="K6" s="24"/>
      <c r="L6" s="27"/>
      <c r="M6" s="27"/>
      <c r="N6" s="27"/>
      <c r="O6" s="27"/>
      <c r="P6" s="34"/>
    </row>
    <row r="7" spans="1:16" x14ac:dyDescent="0.3">
      <c r="A7" s="150"/>
      <c r="B7" s="218" t="s">
        <v>2</v>
      </c>
      <c r="C7" s="217" t="s">
        <v>504</v>
      </c>
      <c r="D7" s="24">
        <v>0</v>
      </c>
      <c r="E7" s="24">
        <v>0</v>
      </c>
      <c r="F7" s="24"/>
      <c r="G7" s="24"/>
      <c r="H7" s="24"/>
      <c r="I7" s="24"/>
      <c r="J7" s="1"/>
      <c r="K7" s="24"/>
      <c r="L7" s="27"/>
      <c r="M7" s="27"/>
      <c r="N7" s="27"/>
      <c r="O7" s="27"/>
      <c r="P7" s="34"/>
    </row>
    <row r="8" spans="1:16" x14ac:dyDescent="0.3">
      <c r="A8" s="150"/>
      <c r="B8" s="219" t="s">
        <v>3</v>
      </c>
      <c r="C8" s="217" t="s">
        <v>505</v>
      </c>
      <c r="D8" s="24">
        <v>0</v>
      </c>
      <c r="E8" s="24">
        <v>0</v>
      </c>
      <c r="F8" s="24"/>
      <c r="G8" s="24"/>
      <c r="H8" s="24"/>
      <c r="I8" s="24"/>
      <c r="J8" s="1"/>
      <c r="K8" s="24"/>
      <c r="L8" s="27"/>
      <c r="M8" s="27"/>
      <c r="N8" s="27"/>
      <c r="O8" s="27"/>
      <c r="P8" s="40"/>
    </row>
    <row r="9" spans="1:16" x14ac:dyDescent="0.3">
      <c r="A9" s="150"/>
      <c r="B9" s="218" t="s">
        <v>4</v>
      </c>
      <c r="C9" s="217" t="s">
        <v>506</v>
      </c>
      <c r="D9" s="24">
        <v>0</v>
      </c>
      <c r="E9" s="24">
        <v>0</v>
      </c>
      <c r="F9" s="24"/>
      <c r="G9" s="24"/>
      <c r="H9" s="24"/>
      <c r="I9" s="24"/>
      <c r="J9" s="1"/>
      <c r="K9" s="24"/>
      <c r="L9" s="27"/>
      <c r="M9" s="27"/>
      <c r="N9" s="27"/>
      <c r="O9" s="27"/>
      <c r="P9" s="40"/>
    </row>
    <row r="10" spans="1:16" x14ac:dyDescent="0.3">
      <c r="A10" s="151"/>
      <c r="B10" s="218" t="s">
        <v>5</v>
      </c>
      <c r="C10" s="217" t="s">
        <v>507</v>
      </c>
      <c r="D10" s="24">
        <v>0</v>
      </c>
      <c r="E10" s="24">
        <v>0</v>
      </c>
      <c r="F10" s="24"/>
      <c r="G10" s="24"/>
      <c r="H10" s="24"/>
      <c r="I10" s="24"/>
      <c r="J10" s="1"/>
      <c r="K10" s="24"/>
      <c r="L10" s="27"/>
      <c r="M10" s="27"/>
      <c r="N10" s="27"/>
      <c r="O10" s="27"/>
      <c r="P10" s="40"/>
    </row>
    <row r="11" spans="1:16" ht="15.75" customHeight="1" x14ac:dyDescent="0.3">
      <c r="A11" s="102">
        <v>2</v>
      </c>
      <c r="B11" s="216" t="s">
        <v>508</v>
      </c>
      <c r="C11" s="216"/>
      <c r="D11" s="24">
        <v>0</v>
      </c>
      <c r="E11" s="24">
        <v>0</v>
      </c>
      <c r="F11" s="24"/>
      <c r="G11" s="24"/>
      <c r="H11" s="24"/>
      <c r="I11" s="108"/>
      <c r="J11" s="108"/>
      <c r="K11" s="24"/>
      <c r="L11" s="27"/>
      <c r="M11" s="27"/>
      <c r="N11" s="27"/>
      <c r="O11" s="27"/>
      <c r="P11" s="59"/>
    </row>
    <row r="12" spans="1:16" x14ac:dyDescent="0.3">
      <c r="A12" s="150"/>
      <c r="B12" s="218" t="s">
        <v>1</v>
      </c>
      <c r="C12" s="218" t="s">
        <v>509</v>
      </c>
      <c r="D12" s="24">
        <v>0</v>
      </c>
      <c r="E12" s="24">
        <v>0</v>
      </c>
      <c r="F12" s="24"/>
      <c r="G12" s="24"/>
      <c r="H12" s="24"/>
      <c r="I12" s="24"/>
      <c r="J12" s="1"/>
      <c r="K12" s="24"/>
      <c r="L12" s="27"/>
      <c r="M12" s="27"/>
      <c r="N12" s="27"/>
      <c r="O12" s="27"/>
    </row>
    <row r="13" spans="1:16" x14ac:dyDescent="0.3">
      <c r="A13" s="150"/>
      <c r="B13" s="218" t="s">
        <v>2</v>
      </c>
      <c r="C13" s="218" t="s">
        <v>510</v>
      </c>
      <c r="D13" s="24">
        <v>0</v>
      </c>
      <c r="E13" s="24">
        <v>0</v>
      </c>
      <c r="F13" s="24"/>
      <c r="G13" s="24"/>
      <c r="H13" s="24"/>
      <c r="I13" s="24"/>
      <c r="J13" s="1"/>
      <c r="K13" s="24"/>
      <c r="L13" s="27"/>
      <c r="M13" s="27"/>
      <c r="N13" s="27"/>
      <c r="O13" s="27"/>
      <c r="P13" s="88"/>
    </row>
    <row r="14" spans="1:16" x14ac:dyDescent="0.3">
      <c r="A14" s="151"/>
      <c r="B14" s="218" t="s">
        <v>3</v>
      </c>
      <c r="C14" s="218" t="s">
        <v>511</v>
      </c>
      <c r="D14" s="24">
        <v>0</v>
      </c>
      <c r="E14" s="24">
        <v>0</v>
      </c>
      <c r="F14" s="24"/>
      <c r="G14" s="24"/>
      <c r="H14" s="24"/>
      <c r="I14" s="24"/>
      <c r="J14" s="1"/>
      <c r="K14" s="24"/>
      <c r="L14" s="27"/>
      <c r="M14" s="27"/>
      <c r="N14" s="27"/>
      <c r="O14" s="27"/>
      <c r="P14" s="88"/>
    </row>
    <row r="15" spans="1:16" ht="15" customHeight="1" x14ac:dyDescent="0.3">
      <c r="A15" s="102">
        <v>3</v>
      </c>
      <c r="B15" s="216" t="s">
        <v>512</v>
      </c>
      <c r="C15" s="216"/>
      <c r="D15" s="24">
        <v>0</v>
      </c>
      <c r="E15" s="24">
        <v>0</v>
      </c>
      <c r="F15" s="24"/>
      <c r="G15" s="24"/>
      <c r="H15" s="24"/>
      <c r="I15" s="24"/>
      <c r="J15" s="70"/>
      <c r="K15" s="24"/>
      <c r="L15" s="27"/>
      <c r="M15" s="27"/>
      <c r="N15" s="27"/>
      <c r="O15" s="27"/>
      <c r="P15" s="87"/>
    </row>
    <row r="16" spans="1:16" x14ac:dyDescent="0.3">
      <c r="A16" s="150"/>
      <c r="B16" s="218" t="s">
        <v>1</v>
      </c>
      <c r="C16" s="218" t="s">
        <v>513</v>
      </c>
      <c r="D16" s="24">
        <v>0</v>
      </c>
      <c r="E16" s="24">
        <v>0</v>
      </c>
      <c r="F16" s="24"/>
      <c r="G16" s="24"/>
      <c r="H16" s="24"/>
      <c r="I16" s="24"/>
      <c r="J16" s="1"/>
      <c r="K16" s="24"/>
      <c r="L16" s="27"/>
      <c r="M16" s="27"/>
      <c r="N16" s="27"/>
      <c r="O16" s="27"/>
      <c r="P16" s="88"/>
    </row>
    <row r="17" spans="1:16" x14ac:dyDescent="0.3">
      <c r="A17" s="150"/>
      <c r="B17" s="218" t="s">
        <v>2</v>
      </c>
      <c r="C17" s="218" t="s">
        <v>514</v>
      </c>
      <c r="D17" s="24">
        <v>0</v>
      </c>
      <c r="E17" s="24">
        <v>0</v>
      </c>
      <c r="F17" s="24"/>
      <c r="G17" s="24"/>
      <c r="H17" s="24"/>
      <c r="I17" s="24"/>
      <c r="J17" s="1"/>
      <c r="K17" s="24"/>
      <c r="L17" s="27"/>
      <c r="M17" s="27"/>
      <c r="N17" s="27"/>
      <c r="O17" s="27"/>
      <c r="P17" s="40"/>
    </row>
    <row r="18" spans="1:16" x14ac:dyDescent="0.3">
      <c r="A18" s="150"/>
      <c r="B18" s="218" t="s">
        <v>3</v>
      </c>
      <c r="C18" s="218" t="s">
        <v>515</v>
      </c>
      <c r="D18" s="24">
        <v>0</v>
      </c>
      <c r="E18" s="24">
        <v>0</v>
      </c>
      <c r="F18" s="24"/>
      <c r="G18" s="24"/>
      <c r="H18" s="24"/>
      <c r="I18" s="24"/>
      <c r="J18" s="1"/>
      <c r="K18" s="24"/>
      <c r="L18" s="27"/>
      <c r="M18" s="27"/>
      <c r="N18" s="27"/>
      <c r="O18" s="27"/>
      <c r="P18" s="40"/>
    </row>
    <row r="19" spans="1:16" x14ac:dyDescent="0.3">
      <c r="A19" s="150"/>
      <c r="B19" s="218" t="s">
        <v>4</v>
      </c>
      <c r="C19" s="218" t="s">
        <v>516</v>
      </c>
      <c r="D19" s="24">
        <v>0</v>
      </c>
      <c r="E19" s="24">
        <v>0</v>
      </c>
      <c r="F19" s="24"/>
      <c r="G19" s="24"/>
      <c r="H19" s="24"/>
      <c r="I19" s="24"/>
      <c r="J19" s="1"/>
      <c r="K19" s="24"/>
      <c r="L19" s="27"/>
      <c r="M19" s="27"/>
      <c r="N19" s="27"/>
      <c r="O19" s="27"/>
      <c r="P19" s="89"/>
    </row>
    <row r="20" spans="1:16" x14ac:dyDescent="0.3">
      <c r="A20" s="151"/>
      <c r="B20" s="218" t="s">
        <v>4</v>
      </c>
      <c r="C20" s="218" t="s">
        <v>517</v>
      </c>
      <c r="D20" s="24">
        <v>0</v>
      </c>
      <c r="E20" s="24">
        <v>0</v>
      </c>
      <c r="F20" s="24"/>
      <c r="G20" s="24"/>
      <c r="H20" s="24"/>
      <c r="I20" s="24"/>
      <c r="J20" s="1"/>
      <c r="K20" s="24"/>
      <c r="L20" s="27"/>
      <c r="M20" s="27"/>
      <c r="N20" s="27"/>
      <c r="O20" s="27"/>
      <c r="P20" s="89"/>
    </row>
    <row r="21" spans="1:16" ht="15.75" customHeight="1" x14ac:dyDescent="0.3">
      <c r="A21" s="102">
        <v>4</v>
      </c>
      <c r="B21" s="216" t="s">
        <v>518</v>
      </c>
      <c r="C21" s="216"/>
      <c r="D21" s="24">
        <v>0</v>
      </c>
      <c r="E21" s="24">
        <v>0</v>
      </c>
      <c r="F21" s="24"/>
      <c r="G21" s="24"/>
      <c r="H21" s="24"/>
      <c r="I21" s="24"/>
      <c r="J21" s="108"/>
      <c r="K21" s="24"/>
      <c r="L21" s="27"/>
      <c r="M21" s="27"/>
      <c r="N21" s="27"/>
      <c r="O21" s="27"/>
      <c r="P21" s="59"/>
    </row>
    <row r="22" spans="1:16" x14ac:dyDescent="0.3">
      <c r="A22" s="150"/>
      <c r="B22" s="218" t="s">
        <v>1</v>
      </c>
      <c r="C22" s="218" t="s">
        <v>519</v>
      </c>
      <c r="D22" s="24">
        <v>0</v>
      </c>
      <c r="E22" s="24">
        <v>0</v>
      </c>
      <c r="F22" s="24"/>
      <c r="G22" s="24"/>
      <c r="H22" s="24"/>
      <c r="I22" s="24"/>
      <c r="J22" s="1"/>
      <c r="K22" s="24"/>
      <c r="L22" s="27"/>
      <c r="M22" s="27"/>
      <c r="N22" s="27"/>
      <c r="O22" s="27"/>
      <c r="P22" s="40"/>
    </row>
    <row r="23" spans="1:16" x14ac:dyDescent="0.3">
      <c r="A23" s="150"/>
      <c r="B23" s="218" t="s">
        <v>2</v>
      </c>
      <c r="C23" s="218" t="s">
        <v>520</v>
      </c>
      <c r="D23" s="24">
        <v>0</v>
      </c>
      <c r="E23" s="24">
        <v>0</v>
      </c>
      <c r="F23" s="24"/>
      <c r="G23" s="24"/>
      <c r="H23" s="24"/>
      <c r="I23" s="24"/>
      <c r="J23" s="1"/>
      <c r="K23" s="24"/>
      <c r="L23" s="27"/>
      <c r="M23" s="27"/>
      <c r="N23" s="27"/>
      <c r="O23" s="27"/>
      <c r="P23" s="40"/>
    </row>
    <row r="24" spans="1:16" x14ac:dyDescent="0.3">
      <c r="A24" s="150"/>
      <c r="B24" s="218" t="s">
        <v>3</v>
      </c>
      <c r="C24" s="218" t="s">
        <v>521</v>
      </c>
      <c r="D24" s="24">
        <v>0</v>
      </c>
      <c r="E24" s="24">
        <v>0</v>
      </c>
      <c r="F24" s="24"/>
      <c r="G24" s="24"/>
      <c r="H24" s="24"/>
      <c r="I24" s="24"/>
      <c r="J24" s="1"/>
      <c r="K24" s="24"/>
      <c r="L24" s="27"/>
      <c r="M24" s="27"/>
      <c r="N24" s="27"/>
      <c r="O24" s="27"/>
      <c r="P24" s="40"/>
    </row>
    <row r="25" spans="1:16" x14ac:dyDescent="0.3">
      <c r="A25" s="151"/>
      <c r="B25" s="218" t="s">
        <v>4</v>
      </c>
      <c r="C25" s="218" t="s">
        <v>522</v>
      </c>
      <c r="D25" s="24">
        <v>0</v>
      </c>
      <c r="E25" s="24">
        <v>0</v>
      </c>
      <c r="F25" s="24"/>
      <c r="G25" s="24"/>
      <c r="H25" s="24"/>
      <c r="I25" s="24"/>
      <c r="J25" s="1"/>
      <c r="K25" s="24"/>
      <c r="L25" s="27"/>
      <c r="M25" s="27"/>
      <c r="N25" s="27"/>
      <c r="O25" s="27"/>
      <c r="P25" s="40"/>
    </row>
    <row r="26" spans="1:16" ht="15.75" customHeight="1" x14ac:dyDescent="0.3">
      <c r="A26" s="102">
        <v>5</v>
      </c>
      <c r="B26" s="216" t="s">
        <v>523</v>
      </c>
      <c r="C26" s="216"/>
      <c r="D26" s="24">
        <v>0</v>
      </c>
      <c r="E26" s="24">
        <v>0</v>
      </c>
      <c r="F26" s="24"/>
      <c r="G26" s="24"/>
      <c r="H26" s="24"/>
      <c r="I26" s="24"/>
      <c r="J26" s="108"/>
      <c r="K26" s="24"/>
      <c r="L26" s="27"/>
      <c r="M26" s="27"/>
      <c r="N26" s="27"/>
      <c r="O26" s="27"/>
      <c r="P26" s="59"/>
    </row>
    <row r="27" spans="1:16" x14ac:dyDescent="0.3">
      <c r="A27" s="150"/>
      <c r="B27" s="218" t="s">
        <v>1</v>
      </c>
      <c r="C27" s="218" t="s">
        <v>524</v>
      </c>
      <c r="D27" s="24">
        <v>0</v>
      </c>
      <c r="E27" s="24">
        <v>0</v>
      </c>
      <c r="F27" s="24"/>
      <c r="G27" s="24"/>
      <c r="H27" s="24"/>
      <c r="I27" s="24"/>
      <c r="J27" s="1"/>
      <c r="K27" s="24"/>
      <c r="L27" s="27"/>
      <c r="M27" s="27"/>
      <c r="N27" s="27"/>
      <c r="O27" s="27"/>
      <c r="P27" s="40"/>
    </row>
    <row r="28" spans="1:16" x14ac:dyDescent="0.3">
      <c r="A28" s="151"/>
      <c r="B28" s="218" t="s">
        <v>2</v>
      </c>
      <c r="C28" s="218" t="s">
        <v>525</v>
      </c>
      <c r="D28" s="24">
        <v>0</v>
      </c>
      <c r="E28" s="24">
        <v>0</v>
      </c>
      <c r="F28" s="24"/>
      <c r="G28" s="24"/>
      <c r="H28" s="24"/>
      <c r="I28" s="24"/>
      <c r="J28" s="1"/>
      <c r="K28" s="24"/>
      <c r="L28" s="27"/>
      <c r="M28" s="27"/>
      <c r="N28" s="27"/>
      <c r="O28" s="27"/>
      <c r="P28" s="40"/>
    </row>
    <row r="29" spans="1:16" ht="15.75" customHeight="1" x14ac:dyDescent="0.3">
      <c r="A29" s="102">
        <v>6</v>
      </c>
      <c r="B29" s="216" t="s">
        <v>526</v>
      </c>
      <c r="C29" s="216"/>
      <c r="D29" s="24">
        <v>0</v>
      </c>
      <c r="E29" s="24">
        <v>0</v>
      </c>
      <c r="F29" s="24"/>
      <c r="G29" s="24"/>
      <c r="H29" s="24"/>
      <c r="I29" s="24"/>
      <c r="J29" s="108"/>
      <c r="K29" s="24"/>
      <c r="L29" s="27"/>
      <c r="M29" s="27"/>
      <c r="N29" s="27"/>
      <c r="O29" s="27"/>
      <c r="P29" s="59"/>
    </row>
    <row r="30" spans="1:16" x14ac:dyDescent="0.3">
      <c r="A30" s="150"/>
      <c r="B30" s="218" t="s">
        <v>1</v>
      </c>
      <c r="C30" s="218" t="s">
        <v>527</v>
      </c>
      <c r="D30" s="24">
        <v>0</v>
      </c>
      <c r="E30" s="24">
        <v>0</v>
      </c>
      <c r="F30" s="24"/>
      <c r="G30" s="24"/>
      <c r="H30" s="24"/>
      <c r="I30" s="24"/>
      <c r="J30" s="1"/>
      <c r="K30" s="24"/>
      <c r="L30" s="27"/>
      <c r="M30" s="27"/>
      <c r="N30" s="27"/>
      <c r="O30" s="27"/>
      <c r="P30" s="40"/>
    </row>
    <row r="31" spans="1:16" x14ac:dyDescent="0.3">
      <c r="A31" s="150"/>
      <c r="B31" s="218" t="s">
        <v>2</v>
      </c>
      <c r="C31" s="218" t="s">
        <v>528</v>
      </c>
      <c r="D31" s="24">
        <v>0</v>
      </c>
      <c r="E31" s="24">
        <v>0</v>
      </c>
      <c r="F31" s="24"/>
      <c r="G31" s="24"/>
      <c r="H31" s="24"/>
      <c r="I31" s="24"/>
      <c r="J31" s="1"/>
      <c r="K31" s="24"/>
      <c r="L31" s="27"/>
      <c r="M31" s="27"/>
      <c r="N31" s="27"/>
      <c r="O31" s="27"/>
      <c r="P31" s="40"/>
    </row>
    <row r="32" spans="1:16" x14ac:dyDescent="0.3">
      <c r="A32" s="150"/>
      <c r="B32" s="218" t="s">
        <v>3</v>
      </c>
      <c r="C32" s="218" t="s">
        <v>529</v>
      </c>
      <c r="D32" s="24">
        <v>0</v>
      </c>
      <c r="E32" s="24">
        <v>0</v>
      </c>
      <c r="F32" s="24"/>
      <c r="G32" s="24"/>
      <c r="H32" s="24"/>
      <c r="I32" s="24"/>
      <c r="J32" s="1"/>
      <c r="K32" s="24"/>
      <c r="L32" s="27"/>
      <c r="M32" s="27"/>
      <c r="N32" s="27"/>
      <c r="O32" s="27"/>
      <c r="P32" s="40"/>
    </row>
    <row r="33" spans="1:16" x14ac:dyDescent="0.3">
      <c r="A33" s="150"/>
      <c r="B33" s="218" t="s">
        <v>4</v>
      </c>
      <c r="C33" s="218" t="s">
        <v>530</v>
      </c>
      <c r="D33" s="24">
        <v>0</v>
      </c>
      <c r="E33" s="24">
        <v>0</v>
      </c>
      <c r="F33" s="24"/>
      <c r="G33" s="24"/>
      <c r="H33" s="24"/>
      <c r="I33" s="24"/>
      <c r="J33" s="1"/>
      <c r="K33" s="24"/>
      <c r="L33" s="27"/>
      <c r="M33" s="27"/>
      <c r="N33" s="27"/>
      <c r="O33" s="27"/>
      <c r="P33" s="40"/>
    </row>
    <row r="34" spans="1:16" x14ac:dyDescent="0.3">
      <c r="A34" s="151"/>
      <c r="B34" s="218" t="s">
        <v>5</v>
      </c>
      <c r="C34" s="218" t="s">
        <v>531</v>
      </c>
      <c r="D34" s="24">
        <v>0</v>
      </c>
      <c r="E34" s="24">
        <v>0</v>
      </c>
      <c r="F34" s="24"/>
      <c r="G34" s="24"/>
      <c r="H34" s="24"/>
      <c r="I34" s="24"/>
      <c r="J34" s="1"/>
      <c r="K34" s="24"/>
      <c r="L34" s="27"/>
      <c r="M34" s="27"/>
      <c r="N34" s="27"/>
      <c r="O34" s="27"/>
      <c r="P34" s="40"/>
    </row>
    <row r="35" spans="1:16" ht="15.75" customHeight="1" x14ac:dyDescent="0.3">
      <c r="A35" s="102">
        <v>7</v>
      </c>
      <c r="B35" s="216" t="s">
        <v>532</v>
      </c>
      <c r="C35" s="216"/>
      <c r="D35" s="24">
        <v>0</v>
      </c>
      <c r="E35" s="24">
        <v>0</v>
      </c>
      <c r="F35" s="24"/>
      <c r="G35" s="24"/>
      <c r="H35" s="24"/>
      <c r="I35" s="24"/>
      <c r="J35" s="108"/>
      <c r="K35" s="24"/>
      <c r="L35" s="27"/>
      <c r="M35" s="27"/>
      <c r="N35" s="27"/>
      <c r="O35" s="27"/>
      <c r="P35" s="59"/>
    </row>
    <row r="36" spans="1:16" x14ac:dyDescent="0.3">
      <c r="A36" s="150"/>
      <c r="B36" s="218" t="s">
        <v>1</v>
      </c>
      <c r="C36" s="218" t="s">
        <v>533</v>
      </c>
      <c r="D36" s="24">
        <v>0</v>
      </c>
      <c r="E36" s="24">
        <v>0</v>
      </c>
      <c r="F36" s="24"/>
      <c r="G36" s="24"/>
      <c r="H36" s="24"/>
      <c r="I36" s="24"/>
      <c r="J36" s="1"/>
      <c r="K36" s="24"/>
      <c r="L36" s="27"/>
      <c r="M36" s="27"/>
      <c r="N36" s="27"/>
      <c r="O36" s="27"/>
      <c r="P36" s="40"/>
    </row>
    <row r="37" spans="1:16" x14ac:dyDescent="0.3">
      <c r="A37" s="150"/>
      <c r="B37" s="218" t="s">
        <v>2</v>
      </c>
      <c r="C37" s="218" t="s">
        <v>534</v>
      </c>
      <c r="D37" s="24">
        <v>0</v>
      </c>
      <c r="E37" s="24">
        <v>0</v>
      </c>
      <c r="F37" s="24"/>
      <c r="G37" s="24"/>
      <c r="H37" s="24"/>
      <c r="I37" s="24"/>
      <c r="J37" s="1"/>
      <c r="K37" s="24"/>
      <c r="L37" s="27"/>
      <c r="M37" s="27"/>
      <c r="N37" s="27"/>
      <c r="O37" s="27"/>
      <c r="P37" s="40"/>
    </row>
    <row r="38" spans="1:16" x14ac:dyDescent="0.3">
      <c r="A38" s="150"/>
      <c r="B38" s="218" t="s">
        <v>3</v>
      </c>
      <c r="C38" s="218" t="s">
        <v>535</v>
      </c>
      <c r="D38" s="24">
        <v>0</v>
      </c>
      <c r="E38" s="24">
        <v>0</v>
      </c>
      <c r="F38" s="24"/>
      <c r="G38" s="24"/>
      <c r="H38" s="24"/>
      <c r="I38" s="24"/>
      <c r="J38" s="1"/>
      <c r="K38" s="24"/>
      <c r="L38" s="27"/>
      <c r="M38" s="27"/>
      <c r="N38" s="27"/>
      <c r="O38" s="27"/>
      <c r="P38" s="40"/>
    </row>
    <row r="39" spans="1:16" x14ac:dyDescent="0.3">
      <c r="A39" s="151"/>
      <c r="B39" s="218" t="s">
        <v>4</v>
      </c>
      <c r="C39" s="218" t="s">
        <v>536</v>
      </c>
      <c r="D39" s="24">
        <v>0</v>
      </c>
      <c r="E39" s="24">
        <v>0</v>
      </c>
      <c r="F39" s="24"/>
      <c r="G39" s="24"/>
      <c r="H39" s="24"/>
      <c r="I39" s="24"/>
      <c r="J39" s="1"/>
      <c r="K39" s="24"/>
      <c r="L39" s="27"/>
      <c r="M39" s="27"/>
      <c r="N39" s="27"/>
      <c r="O39" s="27"/>
      <c r="P39" s="40"/>
    </row>
    <row r="40" spans="1:16" ht="15.75" customHeight="1" x14ac:dyDescent="0.3">
      <c r="A40" s="102">
        <v>8</v>
      </c>
      <c r="B40" s="216" t="s">
        <v>537</v>
      </c>
      <c r="C40" s="216"/>
      <c r="D40" s="24">
        <v>0</v>
      </c>
      <c r="E40" s="24">
        <v>0</v>
      </c>
      <c r="F40" s="24"/>
      <c r="G40" s="24"/>
      <c r="H40" s="24"/>
      <c r="I40" s="24"/>
      <c r="J40" s="108"/>
      <c r="K40" s="24"/>
      <c r="L40" s="27"/>
      <c r="M40" s="27"/>
      <c r="N40" s="27"/>
      <c r="O40" s="27"/>
      <c r="P40" s="59"/>
    </row>
    <row r="41" spans="1:16" x14ac:dyDescent="0.3">
      <c r="A41" s="150"/>
      <c r="B41" s="218" t="s">
        <v>1</v>
      </c>
      <c r="C41" s="218" t="s">
        <v>538</v>
      </c>
      <c r="D41" s="24">
        <v>0</v>
      </c>
      <c r="E41" s="24">
        <v>0</v>
      </c>
      <c r="F41" s="24"/>
      <c r="G41" s="24"/>
      <c r="H41" s="24"/>
      <c r="I41" s="24"/>
      <c r="J41" s="1"/>
      <c r="K41" s="24"/>
      <c r="L41" s="27"/>
      <c r="M41" s="27"/>
      <c r="N41" s="27"/>
      <c r="O41" s="27"/>
      <c r="P41" s="40"/>
    </row>
    <row r="42" spans="1:16" x14ac:dyDescent="0.3">
      <c r="A42" s="151"/>
      <c r="B42" s="218" t="s">
        <v>2</v>
      </c>
      <c r="C42" s="218" t="s">
        <v>539</v>
      </c>
      <c r="D42" s="24">
        <v>0</v>
      </c>
      <c r="E42" s="24">
        <v>0</v>
      </c>
      <c r="F42" s="24"/>
      <c r="G42" s="24"/>
      <c r="H42" s="24"/>
      <c r="I42" s="24"/>
      <c r="J42" s="1"/>
      <c r="K42" s="24"/>
      <c r="L42" s="27"/>
      <c r="M42" s="27"/>
      <c r="N42" s="27"/>
      <c r="O42" s="27"/>
      <c r="P42" s="40"/>
    </row>
    <row r="43" spans="1:16" ht="15.75" customHeight="1" x14ac:dyDescent="0.3">
      <c r="A43" s="102">
        <v>9</v>
      </c>
      <c r="B43" s="216" t="s">
        <v>540</v>
      </c>
      <c r="C43" s="216"/>
      <c r="D43" s="24">
        <v>0</v>
      </c>
      <c r="E43" s="24">
        <v>0</v>
      </c>
      <c r="F43" s="24"/>
      <c r="G43" s="24"/>
      <c r="H43" s="24"/>
      <c r="I43" s="24"/>
      <c r="J43" s="108"/>
      <c r="K43" s="24"/>
      <c r="L43" s="27"/>
      <c r="M43" s="27"/>
      <c r="N43" s="27"/>
      <c r="O43" s="27"/>
      <c r="P43" s="59"/>
    </row>
    <row r="44" spans="1:16" x14ac:dyDescent="0.3">
      <c r="A44" s="150"/>
      <c r="B44" s="218" t="s">
        <v>1</v>
      </c>
      <c r="C44" s="218" t="s">
        <v>541</v>
      </c>
      <c r="D44" s="24">
        <v>0</v>
      </c>
      <c r="E44" s="24">
        <v>0</v>
      </c>
      <c r="F44" s="24"/>
      <c r="G44" s="24"/>
      <c r="H44" s="24"/>
      <c r="I44" s="24"/>
      <c r="J44" s="1"/>
      <c r="K44" s="24"/>
      <c r="L44" s="27"/>
      <c r="M44" s="27"/>
      <c r="N44" s="27"/>
      <c r="O44" s="27"/>
      <c r="P44" s="40"/>
    </row>
    <row r="45" spans="1:16" x14ac:dyDescent="0.3">
      <c r="A45" s="150"/>
      <c r="B45" s="218" t="s">
        <v>2</v>
      </c>
      <c r="C45" s="218" t="s">
        <v>542</v>
      </c>
      <c r="D45" s="24">
        <v>0</v>
      </c>
      <c r="E45" s="24">
        <v>0</v>
      </c>
      <c r="F45" s="24"/>
      <c r="G45" s="24"/>
      <c r="H45" s="24"/>
      <c r="I45" s="24"/>
      <c r="J45" s="1"/>
      <c r="K45" s="24"/>
      <c r="L45" s="27"/>
      <c r="M45" s="27"/>
      <c r="N45" s="27"/>
      <c r="O45" s="27"/>
      <c r="P45" s="40"/>
    </row>
    <row r="46" spans="1:16" x14ac:dyDescent="0.3">
      <c r="A46" s="150"/>
      <c r="B46" s="218" t="s">
        <v>3</v>
      </c>
      <c r="C46" s="218" t="s">
        <v>543</v>
      </c>
      <c r="D46" s="24">
        <v>0</v>
      </c>
      <c r="E46" s="24">
        <v>0</v>
      </c>
      <c r="F46" s="24"/>
      <c r="G46" s="24"/>
      <c r="H46" s="24"/>
      <c r="I46" s="24"/>
      <c r="J46" s="1"/>
      <c r="K46" s="24"/>
      <c r="L46" s="27"/>
      <c r="M46" s="27"/>
      <c r="N46" s="27"/>
      <c r="O46" s="27"/>
      <c r="P46" s="40"/>
    </row>
    <row r="47" spans="1:16" x14ac:dyDescent="0.3">
      <c r="A47" s="151"/>
      <c r="B47" s="218" t="s">
        <v>4</v>
      </c>
      <c r="C47" s="218" t="s">
        <v>544</v>
      </c>
      <c r="D47" s="24">
        <v>0</v>
      </c>
      <c r="E47" s="24">
        <v>0</v>
      </c>
      <c r="F47" s="24"/>
      <c r="G47" s="24"/>
      <c r="H47" s="24"/>
      <c r="I47" s="24"/>
      <c r="J47" s="1"/>
      <c r="K47" s="24"/>
      <c r="L47" s="27"/>
      <c r="M47" s="27"/>
      <c r="N47" s="27"/>
      <c r="O47" s="27"/>
      <c r="P47" s="40"/>
    </row>
    <row r="48" spans="1:16" ht="15.75" customHeight="1" x14ac:dyDescent="0.3">
      <c r="A48" s="102">
        <v>10</v>
      </c>
      <c r="B48" s="216" t="s">
        <v>545</v>
      </c>
      <c r="C48" s="216"/>
      <c r="D48" s="24">
        <v>0</v>
      </c>
      <c r="E48" s="24">
        <v>0</v>
      </c>
      <c r="F48" s="24"/>
      <c r="G48" s="24"/>
      <c r="H48" s="24"/>
      <c r="I48" s="24"/>
      <c r="J48" s="108"/>
      <c r="K48" s="24"/>
      <c r="L48" s="27"/>
      <c r="M48" s="27"/>
      <c r="N48" s="27"/>
      <c r="O48" s="27"/>
      <c r="P48" s="59"/>
    </row>
    <row r="49" spans="1:16" x14ac:dyDescent="0.3">
      <c r="A49" s="150"/>
      <c r="B49" s="218" t="s">
        <v>1</v>
      </c>
      <c r="C49" s="218" t="s">
        <v>546</v>
      </c>
      <c r="D49" s="24">
        <v>0</v>
      </c>
      <c r="E49" s="24">
        <v>0</v>
      </c>
      <c r="F49" s="24"/>
      <c r="G49" s="24"/>
      <c r="H49" s="24"/>
      <c r="I49" s="24"/>
      <c r="J49" s="1"/>
      <c r="K49" s="24"/>
      <c r="L49" s="27"/>
      <c r="M49" s="27"/>
      <c r="N49" s="27"/>
      <c r="O49" s="27"/>
      <c r="P49" s="40"/>
    </row>
    <row r="50" spans="1:16" x14ac:dyDescent="0.3">
      <c r="A50" s="150"/>
      <c r="B50" s="218" t="s">
        <v>2</v>
      </c>
      <c r="C50" s="218" t="s">
        <v>547</v>
      </c>
      <c r="D50" s="24">
        <v>0</v>
      </c>
      <c r="E50" s="24">
        <v>0</v>
      </c>
      <c r="F50" s="24"/>
      <c r="G50" s="24"/>
      <c r="H50" s="24"/>
      <c r="I50" s="24"/>
      <c r="J50" s="1"/>
      <c r="K50" s="24"/>
      <c r="L50" s="27"/>
      <c r="M50" s="27"/>
      <c r="N50" s="27"/>
      <c r="O50" s="27"/>
      <c r="P50" s="40"/>
    </row>
    <row r="51" spans="1:16" x14ac:dyDescent="0.3">
      <c r="A51" s="150"/>
      <c r="B51" s="218" t="s">
        <v>3</v>
      </c>
      <c r="C51" s="218" t="s">
        <v>548</v>
      </c>
      <c r="D51" s="24">
        <v>0</v>
      </c>
      <c r="E51" s="24">
        <v>0</v>
      </c>
      <c r="F51" s="24"/>
      <c r="G51" s="24"/>
      <c r="H51" s="24"/>
      <c r="I51" s="24"/>
      <c r="J51" s="1"/>
      <c r="K51" s="24"/>
      <c r="L51" s="27"/>
      <c r="M51" s="27"/>
      <c r="N51" s="27"/>
      <c r="O51" s="27"/>
      <c r="P51" s="40"/>
    </row>
    <row r="52" spans="1:16" x14ac:dyDescent="0.3">
      <c r="A52" s="151"/>
      <c r="B52" s="218" t="s">
        <v>4</v>
      </c>
      <c r="C52" s="218" t="s">
        <v>549</v>
      </c>
      <c r="D52" s="24">
        <v>0</v>
      </c>
      <c r="E52" s="24">
        <v>0</v>
      </c>
      <c r="F52" s="24"/>
      <c r="G52" s="24"/>
      <c r="H52" s="24"/>
      <c r="I52" s="24"/>
      <c r="J52" s="1"/>
      <c r="K52" s="24"/>
      <c r="L52" s="27"/>
      <c r="M52" s="27"/>
      <c r="N52" s="27"/>
      <c r="O52" s="27"/>
      <c r="P52" s="40"/>
    </row>
    <row r="53" spans="1:16" ht="15.75" customHeight="1" x14ac:dyDescent="0.3">
      <c r="A53" s="102">
        <v>11</v>
      </c>
      <c r="B53" s="216" t="s">
        <v>550</v>
      </c>
      <c r="C53" s="216"/>
      <c r="D53" s="24">
        <v>0</v>
      </c>
      <c r="E53" s="24">
        <v>0</v>
      </c>
      <c r="F53" s="24"/>
      <c r="G53" s="24"/>
      <c r="H53" s="24"/>
      <c r="I53" s="24"/>
      <c r="J53" s="108"/>
      <c r="K53" s="24"/>
      <c r="L53" s="27"/>
      <c r="M53" s="27"/>
      <c r="N53" s="27"/>
      <c r="O53" s="27"/>
      <c r="P53" s="59"/>
    </row>
    <row r="54" spans="1:16" x14ac:dyDescent="0.3">
      <c r="A54" s="150"/>
      <c r="B54" s="218" t="s">
        <v>1</v>
      </c>
      <c r="C54" s="218" t="s">
        <v>551</v>
      </c>
      <c r="D54" s="24">
        <v>0</v>
      </c>
      <c r="E54" s="24">
        <v>0</v>
      </c>
      <c r="F54" s="24"/>
      <c r="G54" s="24"/>
      <c r="H54" s="24"/>
      <c r="I54" s="24"/>
      <c r="J54" s="1"/>
      <c r="K54" s="24"/>
      <c r="L54" s="27"/>
      <c r="M54" s="27"/>
      <c r="N54" s="27"/>
      <c r="O54" s="27"/>
      <c r="P54" s="40"/>
    </row>
    <row r="55" spans="1:16" x14ac:dyDescent="0.3">
      <c r="A55" s="151"/>
      <c r="B55" s="218" t="s">
        <v>2</v>
      </c>
      <c r="C55" s="218" t="s">
        <v>552</v>
      </c>
      <c r="D55" s="24">
        <v>0</v>
      </c>
      <c r="E55" s="24">
        <v>0</v>
      </c>
      <c r="F55" s="24"/>
      <c r="G55" s="24"/>
      <c r="H55" s="24"/>
      <c r="I55" s="24"/>
      <c r="J55" s="1"/>
      <c r="K55" s="24"/>
      <c r="L55" s="27"/>
      <c r="M55" s="27"/>
      <c r="N55" s="27"/>
      <c r="O55" s="27"/>
      <c r="P55" s="40"/>
    </row>
    <row r="56" spans="1:16" ht="15.75" customHeight="1" x14ac:dyDescent="0.3">
      <c r="A56" s="102">
        <v>12</v>
      </c>
      <c r="B56" s="216" t="s">
        <v>553</v>
      </c>
      <c r="C56" s="216"/>
      <c r="D56" s="24">
        <v>0</v>
      </c>
      <c r="E56" s="24">
        <v>0</v>
      </c>
      <c r="F56" s="24"/>
      <c r="G56" s="24"/>
      <c r="H56" s="24"/>
      <c r="I56" s="24"/>
      <c r="J56" s="108"/>
      <c r="K56" s="24"/>
      <c r="L56" s="27"/>
      <c r="M56" s="27"/>
      <c r="N56" s="27"/>
      <c r="O56" s="27"/>
      <c r="P56" s="59"/>
    </row>
    <row r="57" spans="1:16" x14ac:dyDescent="0.3">
      <c r="A57" s="151"/>
      <c r="B57" s="218" t="s">
        <v>1</v>
      </c>
      <c r="C57" s="218" t="s">
        <v>554</v>
      </c>
      <c r="D57" s="24">
        <v>0</v>
      </c>
      <c r="E57" s="24">
        <v>0</v>
      </c>
      <c r="F57" s="24"/>
      <c r="G57" s="24"/>
      <c r="H57" s="24"/>
      <c r="I57" s="24"/>
      <c r="J57" s="1"/>
      <c r="K57" s="24"/>
      <c r="L57" s="27"/>
      <c r="M57" s="27"/>
      <c r="N57" s="27"/>
      <c r="O57" s="27"/>
      <c r="P57" s="40"/>
    </row>
    <row r="58" spans="1:16" ht="15.75" customHeight="1" x14ac:dyDescent="0.3">
      <c r="A58" s="102">
        <v>13</v>
      </c>
      <c r="B58" s="216" t="s">
        <v>555</v>
      </c>
      <c r="C58" s="216"/>
      <c r="D58" s="24">
        <v>0</v>
      </c>
      <c r="E58" s="24">
        <v>0</v>
      </c>
      <c r="F58" s="24"/>
      <c r="G58" s="24"/>
      <c r="H58" s="24"/>
      <c r="I58" s="24"/>
      <c r="J58" s="108"/>
      <c r="K58" s="24"/>
      <c r="L58" s="27"/>
      <c r="M58" s="27"/>
      <c r="N58" s="27"/>
      <c r="O58" s="27"/>
      <c r="P58" s="59"/>
    </row>
    <row r="59" spans="1:16" x14ac:dyDescent="0.3">
      <c r="A59" s="150"/>
      <c r="B59" s="218" t="s">
        <v>1</v>
      </c>
      <c r="C59" s="218" t="s">
        <v>556</v>
      </c>
      <c r="D59" s="24">
        <v>0</v>
      </c>
      <c r="E59" s="24">
        <v>0</v>
      </c>
      <c r="F59" s="24"/>
      <c r="G59" s="24"/>
      <c r="H59" s="24"/>
      <c r="I59" s="24"/>
      <c r="J59" s="1"/>
      <c r="K59" s="24"/>
      <c r="L59" s="27"/>
      <c r="M59" s="27"/>
      <c r="N59" s="27"/>
      <c r="O59" s="27"/>
      <c r="P59" s="40"/>
    </row>
    <row r="60" spans="1:16" x14ac:dyDescent="0.3">
      <c r="A60" s="151"/>
      <c r="B60" s="218" t="s">
        <v>2</v>
      </c>
      <c r="C60" s="218" t="s">
        <v>557</v>
      </c>
      <c r="D60" s="24">
        <v>0</v>
      </c>
      <c r="E60" s="24">
        <v>0</v>
      </c>
      <c r="F60" s="24"/>
      <c r="G60" s="24"/>
      <c r="H60" s="24"/>
      <c r="I60" s="24"/>
      <c r="J60" s="1"/>
      <c r="K60" s="24"/>
      <c r="L60" s="27"/>
      <c r="M60" s="27"/>
      <c r="N60" s="27"/>
      <c r="O60" s="27"/>
      <c r="P60" s="40"/>
    </row>
    <row r="61" spans="1:16" ht="15.75" customHeight="1" x14ac:dyDescent="0.3">
      <c r="A61" s="102">
        <v>14</v>
      </c>
      <c r="B61" s="216" t="s">
        <v>558</v>
      </c>
      <c r="C61" s="216"/>
      <c r="D61" s="24">
        <v>0</v>
      </c>
      <c r="E61" s="24">
        <v>0</v>
      </c>
      <c r="F61" s="24"/>
      <c r="G61" s="24"/>
      <c r="H61" s="24"/>
      <c r="I61" s="24"/>
      <c r="J61" s="1"/>
      <c r="K61" s="24"/>
      <c r="L61" s="27"/>
      <c r="M61" s="27"/>
      <c r="N61" s="27"/>
      <c r="O61" s="27"/>
      <c r="P61" s="40"/>
    </row>
    <row r="62" spans="1:16" x14ac:dyDescent="0.3">
      <c r="A62" s="150"/>
      <c r="B62" s="218" t="s">
        <v>1</v>
      </c>
      <c r="C62" s="218" t="s">
        <v>559</v>
      </c>
      <c r="D62" s="24">
        <v>0</v>
      </c>
      <c r="E62" s="24">
        <v>0</v>
      </c>
      <c r="F62" s="24"/>
      <c r="G62" s="24"/>
      <c r="H62" s="24"/>
      <c r="I62" s="24"/>
      <c r="J62" s="1"/>
      <c r="K62" s="24"/>
      <c r="L62" s="27"/>
      <c r="M62" s="27"/>
      <c r="N62" s="27"/>
      <c r="O62" s="27"/>
      <c r="P62" s="40"/>
    </row>
    <row r="63" spans="1:16" x14ac:dyDescent="0.3">
      <c r="A63" s="151"/>
      <c r="B63" s="218" t="s">
        <v>2</v>
      </c>
      <c r="C63" s="218" t="s">
        <v>560</v>
      </c>
      <c r="D63" s="24">
        <v>0</v>
      </c>
      <c r="E63" s="24">
        <v>0</v>
      </c>
      <c r="F63" s="24"/>
      <c r="G63" s="24"/>
      <c r="H63" s="24"/>
      <c r="I63" s="24"/>
      <c r="J63" s="1"/>
      <c r="K63" s="24"/>
      <c r="L63" s="27"/>
      <c r="M63" s="27"/>
      <c r="N63" s="27"/>
      <c r="O63" s="27"/>
      <c r="P63" s="40"/>
    </row>
    <row r="64" spans="1:16" ht="15.75" customHeight="1" x14ac:dyDescent="0.3">
      <c r="A64" s="102">
        <v>15</v>
      </c>
      <c r="B64" s="216" t="s">
        <v>561</v>
      </c>
      <c r="C64" s="216"/>
      <c r="D64" s="24">
        <v>0</v>
      </c>
      <c r="E64" s="24">
        <v>0</v>
      </c>
      <c r="F64" s="24"/>
      <c r="G64" s="24"/>
      <c r="H64" s="24"/>
      <c r="I64" s="24"/>
      <c r="J64" s="108"/>
      <c r="K64" s="24"/>
      <c r="L64" s="27"/>
      <c r="M64" s="27"/>
      <c r="N64" s="27"/>
      <c r="O64" s="27"/>
      <c r="P64" s="59"/>
    </row>
    <row r="65" spans="1:18" x14ac:dyDescent="0.3">
      <c r="A65" s="150"/>
      <c r="B65" s="218" t="s">
        <v>1</v>
      </c>
      <c r="C65" s="218" t="s">
        <v>562</v>
      </c>
      <c r="D65" s="24">
        <v>0</v>
      </c>
      <c r="E65" s="24">
        <v>0</v>
      </c>
      <c r="F65" s="24"/>
      <c r="G65" s="24"/>
      <c r="H65" s="24"/>
      <c r="I65" s="24"/>
      <c r="J65" s="1"/>
      <c r="K65" s="24"/>
      <c r="L65" s="27"/>
      <c r="M65" s="27"/>
      <c r="N65" s="27"/>
      <c r="O65" s="27"/>
      <c r="P65" s="40"/>
    </row>
    <row r="66" spans="1:18" x14ac:dyDescent="0.3">
      <c r="A66" s="151"/>
      <c r="B66" s="218" t="s">
        <v>2</v>
      </c>
      <c r="C66" s="218" t="s">
        <v>563</v>
      </c>
      <c r="D66" s="24">
        <v>0</v>
      </c>
      <c r="E66" s="24">
        <v>0</v>
      </c>
      <c r="F66" s="24"/>
      <c r="G66" s="24"/>
      <c r="H66" s="24"/>
      <c r="I66" s="24"/>
      <c r="J66" s="1"/>
      <c r="K66" s="24"/>
      <c r="L66" s="27"/>
      <c r="M66" s="27"/>
      <c r="N66" s="27"/>
      <c r="O66" s="27"/>
      <c r="P66" s="40"/>
    </row>
    <row r="67" spans="1:18" s="11" customFormat="1" ht="15" customHeight="1" x14ac:dyDescent="0.3">
      <c r="A67" s="189" t="s">
        <v>48</v>
      </c>
      <c r="B67" s="216"/>
      <c r="C67" s="216"/>
      <c r="D67" s="72"/>
      <c r="E67" s="72"/>
      <c r="F67" s="24"/>
      <c r="G67" s="24"/>
      <c r="H67" s="24"/>
      <c r="I67" s="24"/>
      <c r="J67" s="70"/>
      <c r="K67" s="24"/>
      <c r="L67" s="27"/>
      <c r="M67" s="27"/>
      <c r="N67" s="27"/>
      <c r="O67" s="27"/>
      <c r="P67" s="87"/>
    </row>
    <row r="68" spans="1:18" s="19" customFormat="1" x14ac:dyDescent="0.3">
      <c r="A68" s="1">
        <v>16</v>
      </c>
      <c r="B68" s="222" t="s">
        <v>564</v>
      </c>
      <c r="C68" s="222"/>
      <c r="D68" s="24">
        <v>0</v>
      </c>
      <c r="E68" s="24">
        <v>0</v>
      </c>
      <c r="F68" s="24"/>
      <c r="G68" s="24"/>
      <c r="H68" s="24"/>
      <c r="I68" s="24"/>
      <c r="J68" s="1"/>
      <c r="K68" s="24"/>
      <c r="L68" s="27"/>
      <c r="M68" s="27"/>
      <c r="N68" s="27"/>
      <c r="O68" s="27"/>
      <c r="P68" s="23"/>
      <c r="R68" s="19" t="s">
        <v>52</v>
      </c>
    </row>
    <row r="69" spans="1:18" s="19" customFormat="1" x14ac:dyDescent="0.3">
      <c r="A69" s="1">
        <v>17</v>
      </c>
      <c r="B69" s="222" t="s">
        <v>565</v>
      </c>
      <c r="C69" s="222"/>
      <c r="D69" s="24">
        <v>0</v>
      </c>
      <c r="E69" s="24">
        <v>0</v>
      </c>
      <c r="F69" s="24"/>
      <c r="G69" s="24"/>
      <c r="H69" s="24"/>
      <c r="I69" s="24"/>
      <c r="J69" s="1"/>
      <c r="K69" s="24"/>
      <c r="L69" s="27"/>
      <c r="M69" s="27"/>
      <c r="N69" s="27"/>
      <c r="O69" s="27"/>
      <c r="P69" s="188"/>
    </row>
    <row r="70" spans="1:18" ht="41.4" x14ac:dyDescent="0.3">
      <c r="A70" s="1">
        <v>18</v>
      </c>
      <c r="B70" s="222" t="s">
        <v>566</v>
      </c>
      <c r="C70" s="222"/>
      <c r="D70" s="24">
        <v>4</v>
      </c>
      <c r="E70" s="24">
        <f>SUM(6-1)</f>
        <v>5</v>
      </c>
      <c r="F70" s="24">
        <v>0</v>
      </c>
      <c r="G70" s="192">
        <v>5</v>
      </c>
      <c r="H70" s="192">
        <v>0</v>
      </c>
      <c r="I70" s="192">
        <f>SUM(F70:H70)</f>
        <v>5</v>
      </c>
      <c r="J70" s="15">
        <v>0</v>
      </c>
      <c r="K70" s="192">
        <f>E70-I70-J70</f>
        <v>0</v>
      </c>
      <c r="L70" s="193">
        <f>I70/E70</f>
        <v>1</v>
      </c>
      <c r="M70" s="193">
        <f>J70/E70</f>
        <v>0</v>
      </c>
      <c r="N70" s="193">
        <f>K70/E70</f>
        <v>0</v>
      </c>
      <c r="O70" s="193">
        <v>1</v>
      </c>
      <c r="P70" s="204" t="s">
        <v>663</v>
      </c>
    </row>
    <row r="71" spans="1:18" x14ac:dyDescent="0.3">
      <c r="A71" s="1">
        <v>19</v>
      </c>
      <c r="B71" s="222" t="s">
        <v>567</v>
      </c>
      <c r="C71" s="222"/>
      <c r="D71" s="24">
        <v>0</v>
      </c>
      <c r="E71" s="24">
        <v>0</v>
      </c>
      <c r="F71" s="24"/>
      <c r="G71" s="24"/>
      <c r="H71" s="24"/>
      <c r="I71" s="24"/>
      <c r="J71" s="1"/>
      <c r="K71" s="24"/>
      <c r="L71" s="27"/>
      <c r="M71" s="27"/>
      <c r="N71" s="27"/>
      <c r="O71" s="27"/>
      <c r="P71" s="49"/>
    </row>
    <row r="72" spans="1:18" x14ac:dyDescent="0.3">
      <c r="A72" s="1">
        <v>20</v>
      </c>
      <c r="B72" s="222" t="s">
        <v>568</v>
      </c>
      <c r="C72" s="222"/>
      <c r="D72" s="24">
        <v>0</v>
      </c>
      <c r="E72" s="24">
        <v>0</v>
      </c>
      <c r="F72" s="24"/>
      <c r="G72" s="24"/>
      <c r="H72" s="24"/>
      <c r="I72" s="24"/>
      <c r="J72" s="1"/>
      <c r="K72" s="24"/>
      <c r="L72" s="27"/>
      <c r="M72" s="27"/>
      <c r="N72" s="27"/>
      <c r="O72" s="27"/>
      <c r="P72" s="123"/>
    </row>
    <row r="73" spans="1:18" x14ac:dyDescent="0.3">
      <c r="A73" s="56">
        <v>21</v>
      </c>
      <c r="B73" s="222" t="s">
        <v>569</v>
      </c>
      <c r="C73" s="222"/>
      <c r="D73" s="24">
        <v>0</v>
      </c>
      <c r="E73" s="24">
        <v>0</v>
      </c>
      <c r="F73" s="24"/>
      <c r="G73" s="24"/>
      <c r="H73" s="24"/>
      <c r="I73" s="24"/>
      <c r="J73" s="1"/>
      <c r="K73" s="24"/>
      <c r="L73" s="27"/>
      <c r="M73" s="27"/>
      <c r="N73" s="27"/>
      <c r="O73" s="27"/>
      <c r="P73" s="45"/>
    </row>
    <row r="74" spans="1:18" s="19" customFormat="1" x14ac:dyDescent="0.3">
      <c r="A74" s="1">
        <v>22</v>
      </c>
      <c r="B74" s="222" t="s">
        <v>570</v>
      </c>
      <c r="C74" s="222"/>
      <c r="D74" s="24">
        <v>0</v>
      </c>
      <c r="E74" s="24">
        <v>0</v>
      </c>
      <c r="F74" s="24"/>
      <c r="G74" s="24"/>
      <c r="H74" s="24"/>
      <c r="I74" s="24"/>
      <c r="J74" s="1"/>
      <c r="K74" s="24"/>
      <c r="L74" s="27"/>
      <c r="M74" s="27"/>
      <c r="N74" s="27"/>
      <c r="O74" s="27"/>
      <c r="P74" s="44"/>
    </row>
    <row r="75" spans="1:18" x14ac:dyDescent="0.3">
      <c r="A75" s="56">
        <v>23</v>
      </c>
      <c r="B75" s="222" t="s">
        <v>571</v>
      </c>
      <c r="C75" s="222"/>
      <c r="D75" s="24">
        <v>0</v>
      </c>
      <c r="E75" s="24">
        <v>0</v>
      </c>
      <c r="F75" s="24"/>
      <c r="G75" s="24"/>
      <c r="H75" s="24"/>
      <c r="I75" s="24"/>
      <c r="J75" s="1"/>
      <c r="K75" s="24"/>
      <c r="L75" s="27"/>
      <c r="M75" s="27"/>
      <c r="N75" s="27"/>
      <c r="O75" s="27"/>
      <c r="P75" s="40"/>
    </row>
    <row r="76" spans="1:18" s="19" customFormat="1" x14ac:dyDescent="0.3">
      <c r="A76" s="1">
        <v>24</v>
      </c>
      <c r="B76" s="222" t="s">
        <v>572</v>
      </c>
      <c r="C76" s="222"/>
      <c r="D76" s="24">
        <v>0</v>
      </c>
      <c r="E76" s="24">
        <v>0</v>
      </c>
      <c r="F76" s="24"/>
      <c r="G76" s="24"/>
      <c r="H76" s="24"/>
      <c r="I76" s="24"/>
      <c r="J76" s="1"/>
      <c r="K76" s="24"/>
      <c r="L76" s="27"/>
      <c r="M76" s="27"/>
      <c r="N76" s="27"/>
      <c r="O76" s="27"/>
      <c r="P76" s="23"/>
    </row>
    <row r="77" spans="1:18" s="19" customFormat="1" ht="55.2" x14ac:dyDescent="0.3">
      <c r="A77" s="1">
        <v>25</v>
      </c>
      <c r="B77" s="222" t="s">
        <v>573</v>
      </c>
      <c r="C77" s="222"/>
      <c r="D77" s="24">
        <f>SUM(12+0)</f>
        <v>12</v>
      </c>
      <c r="E77" s="192">
        <f>SUM(9-2+8)</f>
        <v>15</v>
      </c>
      <c r="F77" s="24">
        <v>0</v>
      </c>
      <c r="G77" s="192">
        <v>2</v>
      </c>
      <c r="H77" s="192">
        <v>0</v>
      </c>
      <c r="I77" s="192">
        <f>SUM(F77:H77)</f>
        <v>2</v>
      </c>
      <c r="J77" s="15">
        <v>0</v>
      </c>
      <c r="K77" s="192">
        <f>E77-I77-J77</f>
        <v>13</v>
      </c>
      <c r="L77" s="193">
        <f>I77/E77</f>
        <v>0.13333333333333333</v>
      </c>
      <c r="M77" s="193">
        <f>J77/E77</f>
        <v>0</v>
      </c>
      <c r="N77" s="193">
        <f>K77/E77</f>
        <v>0.8666666666666667</v>
      </c>
      <c r="O77" s="193">
        <f>K77/E77</f>
        <v>0.8666666666666667</v>
      </c>
      <c r="P77" s="204" t="s">
        <v>664</v>
      </c>
    </row>
    <row r="78" spans="1:18" x14ac:dyDescent="0.3">
      <c r="A78" s="56">
        <v>26</v>
      </c>
      <c r="B78" s="222" t="s">
        <v>574</v>
      </c>
      <c r="C78" s="222"/>
      <c r="D78" s="24">
        <v>0</v>
      </c>
      <c r="E78" s="24">
        <v>0</v>
      </c>
      <c r="F78" s="24"/>
      <c r="G78" s="24"/>
      <c r="H78" s="24"/>
      <c r="I78" s="24"/>
      <c r="J78" s="1"/>
      <c r="K78" s="24"/>
      <c r="L78" s="27"/>
      <c r="M78" s="27"/>
      <c r="N78" s="27"/>
      <c r="O78" s="27"/>
      <c r="P78" s="40"/>
    </row>
    <row r="79" spans="1:18" s="19" customFormat="1" x14ac:dyDescent="0.3">
      <c r="A79" s="1">
        <v>27</v>
      </c>
      <c r="B79" s="222" t="s">
        <v>575</v>
      </c>
      <c r="C79" s="222"/>
      <c r="D79" s="24">
        <v>0</v>
      </c>
      <c r="E79" s="24">
        <v>0</v>
      </c>
      <c r="F79" s="24"/>
      <c r="G79" s="24"/>
      <c r="H79" s="24"/>
      <c r="I79" s="24"/>
      <c r="J79" s="1"/>
      <c r="K79" s="24"/>
      <c r="L79" s="27"/>
      <c r="M79" s="27"/>
      <c r="N79" s="27"/>
      <c r="O79" s="27"/>
      <c r="P79" s="90"/>
    </row>
    <row r="80" spans="1:18" s="11" customFormat="1" x14ac:dyDescent="0.3">
      <c r="A80" s="189" t="s">
        <v>49</v>
      </c>
      <c r="B80" s="216"/>
      <c r="C80" s="216"/>
      <c r="D80" s="54"/>
      <c r="E80" s="54"/>
      <c r="F80" s="54"/>
      <c r="G80" s="54"/>
      <c r="H80" s="54"/>
      <c r="I80" s="54"/>
      <c r="J80" s="54"/>
      <c r="K80" s="54"/>
      <c r="L80" s="54"/>
      <c r="M80" s="54"/>
      <c r="N80" s="54"/>
      <c r="O80" s="54"/>
      <c r="P80" s="55"/>
    </row>
    <row r="81" spans="1:16" x14ac:dyDescent="0.3">
      <c r="A81" s="1">
        <v>28</v>
      </c>
      <c r="B81" s="222" t="s">
        <v>576</v>
      </c>
      <c r="C81" s="222"/>
      <c r="D81" s="24">
        <v>0</v>
      </c>
      <c r="E81" s="24">
        <f>SUM(1+0)</f>
        <v>1</v>
      </c>
      <c r="F81" s="24">
        <v>0</v>
      </c>
      <c r="G81" s="24">
        <v>0</v>
      </c>
      <c r="H81" s="24">
        <v>0</v>
      </c>
      <c r="I81" s="24">
        <f>SUM(F81:H81)</f>
        <v>0</v>
      </c>
      <c r="J81" s="1">
        <v>0</v>
      </c>
      <c r="K81" s="24">
        <f>E81-I81-J81</f>
        <v>1</v>
      </c>
      <c r="L81" s="27">
        <f>I81/E81</f>
        <v>0</v>
      </c>
      <c r="M81" s="27">
        <f>J81/E81</f>
        <v>0</v>
      </c>
      <c r="N81" s="27">
        <f>K81/E81</f>
        <v>1</v>
      </c>
      <c r="O81" s="27">
        <v>1</v>
      </c>
      <c r="P81" s="125"/>
    </row>
    <row r="82" spans="1:16" x14ac:dyDescent="0.3">
      <c r="A82" s="56">
        <v>29</v>
      </c>
      <c r="B82" s="222" t="s">
        <v>577</v>
      </c>
      <c r="C82" s="222"/>
      <c r="D82" s="24">
        <v>0</v>
      </c>
      <c r="E82" s="24">
        <v>0</v>
      </c>
      <c r="F82" s="24"/>
      <c r="G82" s="24"/>
      <c r="H82" s="24"/>
      <c r="I82" s="24"/>
      <c r="J82" s="1"/>
      <c r="K82" s="24"/>
      <c r="L82" s="27"/>
      <c r="M82" s="27"/>
      <c r="N82" s="27"/>
      <c r="O82" s="27"/>
      <c r="P82" s="40"/>
    </row>
    <row r="83" spans="1:16" x14ac:dyDescent="0.3">
      <c r="A83" s="56">
        <v>30</v>
      </c>
      <c r="B83" s="222" t="s">
        <v>578</v>
      </c>
      <c r="C83" s="222"/>
      <c r="D83" s="24">
        <v>0</v>
      </c>
      <c r="E83" s="24">
        <v>0</v>
      </c>
      <c r="F83" s="24"/>
      <c r="G83" s="24"/>
      <c r="H83" s="24"/>
      <c r="I83" s="24"/>
      <c r="J83" s="1"/>
      <c r="K83" s="24"/>
      <c r="L83" s="27"/>
      <c r="M83" s="27"/>
      <c r="N83" s="27"/>
      <c r="O83" s="27"/>
      <c r="P83" s="40"/>
    </row>
    <row r="84" spans="1:16" x14ac:dyDescent="0.3">
      <c r="A84" s="56">
        <v>31</v>
      </c>
      <c r="B84" s="222" t="s">
        <v>579</v>
      </c>
      <c r="C84" s="222"/>
      <c r="D84" s="24">
        <v>0</v>
      </c>
      <c r="E84" s="24">
        <v>0</v>
      </c>
      <c r="F84" s="24"/>
      <c r="G84" s="24"/>
      <c r="H84" s="24"/>
      <c r="I84" s="24"/>
      <c r="J84" s="1"/>
      <c r="K84" s="24"/>
      <c r="L84" s="27"/>
      <c r="M84" s="27"/>
      <c r="N84" s="27"/>
      <c r="O84" s="27"/>
      <c r="P84" s="40"/>
    </row>
    <row r="85" spans="1:16" x14ac:dyDescent="0.3">
      <c r="A85" s="56">
        <v>32</v>
      </c>
      <c r="B85" s="222" t="s">
        <v>580</v>
      </c>
      <c r="C85" s="222"/>
      <c r="D85" s="24">
        <v>0</v>
      </c>
      <c r="E85" s="24">
        <v>0</v>
      </c>
      <c r="F85" s="24"/>
      <c r="G85" s="24"/>
      <c r="H85" s="24"/>
      <c r="I85" s="24"/>
      <c r="J85" s="1"/>
      <c r="K85" s="24"/>
      <c r="L85" s="27"/>
      <c r="M85" s="27"/>
      <c r="N85" s="27"/>
      <c r="O85" s="27"/>
      <c r="P85" s="90"/>
    </row>
    <row r="86" spans="1:16" x14ac:dyDescent="0.3">
      <c r="A86" s="56">
        <v>33</v>
      </c>
      <c r="B86" s="222" t="s">
        <v>581</v>
      </c>
      <c r="C86" s="222"/>
      <c r="D86" s="24">
        <v>0</v>
      </c>
      <c r="E86" s="24">
        <v>0</v>
      </c>
      <c r="F86" s="24"/>
      <c r="G86" s="24"/>
      <c r="H86" s="24"/>
      <c r="I86" s="24"/>
      <c r="J86" s="1"/>
      <c r="K86" s="24"/>
      <c r="L86" s="27"/>
      <c r="M86" s="27"/>
      <c r="N86" s="27"/>
      <c r="O86" s="27"/>
      <c r="P86" s="40"/>
    </row>
    <row r="87" spans="1:16" s="11" customFormat="1" x14ac:dyDescent="0.3">
      <c r="A87" s="189" t="s">
        <v>50</v>
      </c>
      <c r="B87" s="216"/>
      <c r="C87" s="216"/>
      <c r="D87" s="54"/>
      <c r="E87" s="54"/>
      <c r="F87" s="54"/>
      <c r="G87" s="54"/>
      <c r="H87" s="54"/>
      <c r="I87" s="54"/>
      <c r="J87" s="54"/>
      <c r="K87" s="54"/>
      <c r="L87" s="54"/>
      <c r="M87" s="54"/>
      <c r="N87" s="54"/>
      <c r="O87" s="54"/>
      <c r="P87" s="55"/>
    </row>
    <row r="88" spans="1:16" x14ac:dyDescent="0.3">
      <c r="A88" s="56">
        <v>34</v>
      </c>
      <c r="B88" s="223" t="s">
        <v>582</v>
      </c>
      <c r="C88" s="223"/>
      <c r="D88" s="24">
        <v>0</v>
      </c>
      <c r="E88" s="24">
        <v>0</v>
      </c>
      <c r="F88" s="24"/>
      <c r="G88" s="24"/>
      <c r="H88" s="24"/>
      <c r="I88" s="24"/>
      <c r="J88" s="1"/>
      <c r="K88" s="24"/>
      <c r="L88" s="27"/>
      <c r="M88" s="27"/>
      <c r="N88" s="27"/>
      <c r="O88" s="27"/>
      <c r="P88" s="132"/>
    </row>
    <row r="89" spans="1:16" x14ac:dyDescent="0.3">
      <c r="A89" s="102">
        <v>35</v>
      </c>
      <c r="B89" s="223" t="s">
        <v>583</v>
      </c>
      <c r="C89" s="223"/>
      <c r="D89" s="24">
        <v>0</v>
      </c>
      <c r="E89" s="24">
        <v>0</v>
      </c>
      <c r="F89" s="24"/>
      <c r="G89" s="24"/>
      <c r="H89" s="24"/>
      <c r="I89" s="24"/>
      <c r="J89" s="37"/>
      <c r="K89" s="24"/>
      <c r="L89" s="27"/>
      <c r="M89" s="27"/>
      <c r="N89" s="27"/>
      <c r="O89" s="27"/>
      <c r="P89" s="90"/>
    </row>
    <row r="90" spans="1:16" x14ac:dyDescent="0.3">
      <c r="A90" s="1">
        <v>36</v>
      </c>
      <c r="B90" s="223" t="s">
        <v>584</v>
      </c>
      <c r="C90" s="223"/>
      <c r="D90" s="24">
        <v>0</v>
      </c>
      <c r="E90" s="24">
        <f>SUM(3-1)</f>
        <v>2</v>
      </c>
      <c r="F90" s="24">
        <v>0</v>
      </c>
      <c r="G90" s="24">
        <v>0</v>
      </c>
      <c r="H90" s="24">
        <v>0</v>
      </c>
      <c r="I90" s="24">
        <f>SUM(F90:H90)</f>
        <v>0</v>
      </c>
      <c r="J90" s="1">
        <v>0</v>
      </c>
      <c r="K90" s="24">
        <f>E90-I90-J90</f>
        <v>2</v>
      </c>
      <c r="L90" s="27">
        <f>I90/E90</f>
        <v>0</v>
      </c>
      <c r="M90" s="27">
        <f>J90/E90</f>
        <v>0</v>
      </c>
      <c r="N90" s="27">
        <f>K90/E90</f>
        <v>1</v>
      </c>
      <c r="O90" s="27">
        <v>1</v>
      </c>
      <c r="P90" s="188" t="s">
        <v>100</v>
      </c>
    </row>
    <row r="91" spans="1:16" x14ac:dyDescent="0.3">
      <c r="A91" s="103">
        <v>37</v>
      </c>
      <c r="B91" s="223" t="s">
        <v>585</v>
      </c>
      <c r="C91" s="223"/>
      <c r="D91" s="24">
        <f>SUM(2+0)</f>
        <v>2</v>
      </c>
      <c r="E91" s="24">
        <f>SUM(1+0)</f>
        <v>1</v>
      </c>
      <c r="F91" s="24">
        <v>0</v>
      </c>
      <c r="G91" s="24">
        <v>0</v>
      </c>
      <c r="H91" s="24">
        <v>0</v>
      </c>
      <c r="I91" s="24">
        <f>SUM(F91:H91)</f>
        <v>0</v>
      </c>
      <c r="J91" s="1">
        <v>0</v>
      </c>
      <c r="K91" s="24">
        <f>E91-I91-J91</f>
        <v>1</v>
      </c>
      <c r="L91" s="27">
        <f>I91/E91</f>
        <v>0</v>
      </c>
      <c r="M91" s="27">
        <f>J91/E91</f>
        <v>0</v>
      </c>
      <c r="N91" s="27">
        <f>K91/E91</f>
        <v>1</v>
      </c>
      <c r="O91" s="27">
        <v>1</v>
      </c>
      <c r="P91" s="23"/>
    </row>
    <row r="92" spans="1:16" x14ac:dyDescent="0.3">
      <c r="A92" s="56">
        <v>38</v>
      </c>
      <c r="B92" s="223" t="s">
        <v>586</v>
      </c>
      <c r="C92" s="223"/>
      <c r="D92" s="24">
        <v>0</v>
      </c>
      <c r="E92" s="24">
        <v>0</v>
      </c>
      <c r="F92" s="24"/>
      <c r="G92" s="24"/>
      <c r="H92" s="24"/>
      <c r="I92" s="24"/>
      <c r="J92" s="1"/>
      <c r="K92" s="24"/>
      <c r="L92" s="27"/>
      <c r="M92" s="27"/>
      <c r="N92" s="27"/>
      <c r="O92" s="27"/>
      <c r="P92" s="90"/>
    </row>
    <row r="93" spans="1:16" x14ac:dyDescent="0.3">
      <c r="A93" s="56">
        <v>39</v>
      </c>
      <c r="B93" s="223" t="s">
        <v>587</v>
      </c>
      <c r="C93" s="223"/>
      <c r="D93" s="24">
        <v>0</v>
      </c>
      <c r="E93" s="24">
        <v>0</v>
      </c>
      <c r="F93" s="24"/>
      <c r="G93" s="24"/>
      <c r="H93" s="24"/>
      <c r="I93" s="24"/>
      <c r="J93" s="1"/>
      <c r="K93" s="24"/>
      <c r="L93" s="27"/>
      <c r="M93" s="27"/>
      <c r="N93" s="27"/>
      <c r="O93" s="27"/>
      <c r="P93" s="40"/>
    </row>
    <row r="94" spans="1:16" x14ac:dyDescent="0.3">
      <c r="A94" s="56">
        <v>40</v>
      </c>
      <c r="B94" s="223" t="s">
        <v>588</v>
      </c>
      <c r="C94" s="223"/>
      <c r="D94" s="24">
        <v>0</v>
      </c>
      <c r="E94" s="24">
        <v>0</v>
      </c>
      <c r="F94" s="24"/>
      <c r="G94" s="24"/>
      <c r="H94" s="24"/>
      <c r="I94" s="24"/>
      <c r="J94" s="1"/>
      <c r="K94" s="24"/>
      <c r="L94" s="27"/>
      <c r="M94" s="27"/>
      <c r="N94" s="27"/>
      <c r="O94" s="27"/>
      <c r="P94" s="90"/>
    </row>
    <row r="95" spans="1:16" x14ac:dyDescent="0.3">
      <c r="A95" s="56">
        <v>41</v>
      </c>
      <c r="B95" s="223" t="s">
        <v>589</v>
      </c>
      <c r="C95" s="223"/>
      <c r="D95" s="24">
        <v>0</v>
      </c>
      <c r="E95" s="24">
        <v>0</v>
      </c>
      <c r="F95" s="24"/>
      <c r="G95" s="24"/>
      <c r="H95" s="24"/>
      <c r="I95" s="24"/>
      <c r="J95" s="1"/>
      <c r="K95" s="24"/>
      <c r="L95" s="27"/>
      <c r="M95" s="27"/>
      <c r="N95" s="27"/>
      <c r="O95" s="27"/>
      <c r="P95" s="91"/>
    </row>
    <row r="96" spans="1:16" s="19" customFormat="1" x14ac:dyDescent="0.3">
      <c r="A96" s="56">
        <v>42</v>
      </c>
      <c r="B96" s="223" t="s">
        <v>590</v>
      </c>
      <c r="C96" s="223"/>
      <c r="D96" s="24">
        <v>0</v>
      </c>
      <c r="E96" s="24">
        <v>0</v>
      </c>
      <c r="F96" s="24"/>
      <c r="G96" s="24"/>
      <c r="H96" s="24"/>
      <c r="I96" s="24"/>
      <c r="J96" s="1"/>
      <c r="K96" s="24"/>
      <c r="L96" s="27"/>
      <c r="M96" s="27"/>
      <c r="N96" s="27"/>
      <c r="O96" s="27"/>
      <c r="P96" s="90"/>
    </row>
    <row r="97" spans="1:16" x14ac:dyDescent="0.3">
      <c r="A97" s="56">
        <v>43</v>
      </c>
      <c r="B97" s="223" t="s">
        <v>591</v>
      </c>
      <c r="C97" s="223"/>
      <c r="D97" s="24">
        <v>0</v>
      </c>
      <c r="E97" s="24">
        <v>0</v>
      </c>
      <c r="F97" s="24"/>
      <c r="G97" s="24"/>
      <c r="H97" s="24"/>
      <c r="I97" s="24"/>
      <c r="J97" s="1"/>
      <c r="K97" s="24"/>
      <c r="L97" s="27"/>
      <c r="M97" s="27"/>
      <c r="N97" s="27"/>
      <c r="O97" s="27"/>
      <c r="P97" s="32"/>
    </row>
    <row r="98" spans="1:16" x14ac:dyDescent="0.3">
      <c r="A98" s="1">
        <v>44</v>
      </c>
      <c r="B98" s="223" t="s">
        <v>592</v>
      </c>
      <c r="C98" s="223"/>
      <c r="D98" s="24">
        <v>0</v>
      </c>
      <c r="E98" s="24">
        <v>0</v>
      </c>
      <c r="F98" s="24"/>
      <c r="G98" s="24"/>
      <c r="H98" s="24"/>
      <c r="I98" s="24"/>
      <c r="J98" s="1"/>
      <c r="K98" s="24"/>
      <c r="L98" s="27"/>
      <c r="M98" s="27"/>
      <c r="N98" s="27"/>
      <c r="O98" s="27"/>
      <c r="P98" s="125"/>
    </row>
    <row r="99" spans="1:16" x14ac:dyDescent="0.3">
      <c r="A99" s="56">
        <v>45</v>
      </c>
      <c r="B99" s="223" t="s">
        <v>593</v>
      </c>
      <c r="C99" s="223"/>
      <c r="D99" s="24">
        <v>0</v>
      </c>
      <c r="E99" s="24">
        <v>0</v>
      </c>
      <c r="F99" s="24"/>
      <c r="G99" s="24"/>
      <c r="H99" s="24"/>
      <c r="I99" s="24"/>
      <c r="J99" s="1"/>
      <c r="K99" s="24"/>
      <c r="L99" s="27"/>
      <c r="M99" s="27"/>
      <c r="N99" s="27"/>
      <c r="O99" s="27"/>
      <c r="P99" s="90"/>
    </row>
    <row r="100" spans="1:16" x14ac:dyDescent="0.3">
      <c r="A100" s="56">
        <v>46</v>
      </c>
      <c r="B100" s="223" t="s">
        <v>594</v>
      </c>
      <c r="C100" s="223"/>
      <c r="D100" s="24">
        <v>0</v>
      </c>
      <c r="E100" s="24">
        <v>0</v>
      </c>
      <c r="F100" s="24"/>
      <c r="G100" s="24"/>
      <c r="H100" s="24"/>
      <c r="I100" s="24"/>
      <c r="J100" s="1"/>
      <c r="K100" s="24"/>
      <c r="L100" s="27"/>
      <c r="M100" s="27"/>
      <c r="N100" s="27"/>
      <c r="O100" s="27"/>
      <c r="P100" s="40"/>
    </row>
    <row r="101" spans="1:16" x14ac:dyDescent="0.3">
      <c r="A101" s="56">
        <v>47</v>
      </c>
      <c r="B101" s="223" t="s">
        <v>595</v>
      </c>
      <c r="C101" s="223"/>
      <c r="D101" s="24">
        <v>0</v>
      </c>
      <c r="E101" s="24">
        <v>0</v>
      </c>
      <c r="F101" s="24"/>
      <c r="G101" s="24"/>
      <c r="H101" s="24"/>
      <c r="I101" s="24"/>
      <c r="J101" s="1"/>
      <c r="K101" s="24"/>
      <c r="L101" s="27"/>
      <c r="M101" s="27"/>
      <c r="N101" s="27"/>
      <c r="O101" s="27"/>
      <c r="P101" s="40"/>
    </row>
    <row r="102" spans="1:16" x14ac:dyDescent="0.3">
      <c r="A102" s="56">
        <v>48</v>
      </c>
      <c r="B102" s="223" t="s">
        <v>596</v>
      </c>
      <c r="C102" s="223"/>
      <c r="D102" s="24">
        <v>0</v>
      </c>
      <c r="E102" s="24">
        <v>0</v>
      </c>
      <c r="F102" s="24"/>
      <c r="G102" s="24"/>
      <c r="H102" s="24"/>
      <c r="I102" s="24"/>
      <c r="J102" s="1"/>
      <c r="K102" s="24"/>
      <c r="L102" s="27"/>
      <c r="M102" s="27"/>
      <c r="N102" s="27"/>
      <c r="O102" s="27"/>
      <c r="P102" s="90"/>
    </row>
    <row r="103" spans="1:16" x14ac:dyDescent="0.3">
      <c r="A103" s="56">
        <v>49</v>
      </c>
      <c r="B103" s="223" t="s">
        <v>597</v>
      </c>
      <c r="C103" s="223"/>
      <c r="D103" s="24">
        <v>0</v>
      </c>
      <c r="E103" s="24">
        <v>0</v>
      </c>
      <c r="F103" s="24"/>
      <c r="G103" s="24"/>
      <c r="H103" s="24"/>
      <c r="I103" s="24"/>
      <c r="J103" s="1"/>
      <c r="K103" s="24"/>
      <c r="L103" s="27"/>
      <c r="M103" s="27"/>
      <c r="N103" s="27"/>
      <c r="O103" s="27"/>
      <c r="P103" s="92"/>
    </row>
    <row r="104" spans="1:16" x14ac:dyDescent="0.3">
      <c r="A104" s="56">
        <v>50</v>
      </c>
      <c r="B104" s="223" t="s">
        <v>598</v>
      </c>
      <c r="C104" s="223"/>
      <c r="D104" s="24">
        <v>0</v>
      </c>
      <c r="E104" s="24">
        <v>0</v>
      </c>
      <c r="F104" s="24"/>
      <c r="G104" s="24"/>
      <c r="H104" s="24"/>
      <c r="I104" s="24"/>
      <c r="J104" s="1"/>
      <c r="K104" s="24"/>
      <c r="L104" s="27"/>
      <c r="M104" s="27"/>
      <c r="N104" s="27"/>
      <c r="O104" s="27"/>
      <c r="P104" s="40"/>
    </row>
    <row r="105" spans="1:16" x14ac:dyDescent="0.3">
      <c r="A105" s="56">
        <v>51</v>
      </c>
      <c r="B105" s="223" t="s">
        <v>599</v>
      </c>
      <c r="C105" s="223"/>
      <c r="D105" s="24">
        <v>0</v>
      </c>
      <c r="E105" s="24">
        <v>0</v>
      </c>
      <c r="F105" s="24"/>
      <c r="G105" s="24"/>
      <c r="H105" s="24"/>
      <c r="I105" s="24"/>
      <c r="J105" s="99"/>
      <c r="K105" s="24"/>
      <c r="L105" s="27"/>
      <c r="M105" s="27"/>
      <c r="N105" s="27"/>
      <c r="O105" s="27"/>
      <c r="P105" s="125"/>
    </row>
    <row r="106" spans="1:16" x14ac:dyDescent="0.3">
      <c r="A106" s="56">
        <v>52</v>
      </c>
      <c r="B106" s="223" t="s">
        <v>600</v>
      </c>
      <c r="C106" s="223"/>
      <c r="D106" s="24">
        <v>0</v>
      </c>
      <c r="E106" s="24">
        <v>0</v>
      </c>
      <c r="F106" s="24"/>
      <c r="G106" s="24"/>
      <c r="H106" s="24"/>
      <c r="I106" s="24"/>
      <c r="J106" s="1"/>
      <c r="K106" s="24"/>
      <c r="L106" s="27"/>
      <c r="M106" s="27"/>
      <c r="N106" s="27"/>
      <c r="O106" s="27"/>
      <c r="P106" s="90"/>
    </row>
    <row r="107" spans="1:16" s="19" customFormat="1" x14ac:dyDescent="0.3">
      <c r="A107" s="189" t="s">
        <v>51</v>
      </c>
      <c r="B107" s="216"/>
      <c r="C107" s="216"/>
      <c r="D107" s="54"/>
      <c r="E107" s="54"/>
      <c r="F107" s="54"/>
      <c r="G107" s="54"/>
      <c r="H107" s="54"/>
      <c r="I107" s="54"/>
      <c r="J107" s="54"/>
      <c r="K107" s="54"/>
      <c r="L107" s="54"/>
      <c r="M107" s="54"/>
      <c r="N107" s="54"/>
      <c r="O107" s="54"/>
      <c r="P107" s="55"/>
    </row>
    <row r="108" spans="1:16" x14ac:dyDescent="0.3">
      <c r="A108" s="1">
        <v>53</v>
      </c>
      <c r="B108" s="222" t="s">
        <v>601</v>
      </c>
      <c r="C108" s="222"/>
      <c r="D108" s="24">
        <v>0</v>
      </c>
      <c r="E108" s="24">
        <v>0</v>
      </c>
      <c r="F108" s="24"/>
      <c r="G108" s="24"/>
      <c r="H108" s="24"/>
      <c r="I108" s="24"/>
      <c r="J108" s="1"/>
      <c r="K108" s="24"/>
      <c r="L108" s="27"/>
      <c r="M108" s="27"/>
      <c r="N108" s="27"/>
      <c r="O108" s="27"/>
      <c r="P108" s="126"/>
    </row>
    <row r="109" spans="1:16" x14ac:dyDescent="0.3">
      <c r="A109" s="1">
        <v>54</v>
      </c>
      <c r="B109" s="222" t="s">
        <v>602</v>
      </c>
      <c r="C109" s="222"/>
      <c r="D109" s="24">
        <v>0</v>
      </c>
      <c r="E109" s="24">
        <v>0</v>
      </c>
      <c r="F109" s="24"/>
      <c r="G109" s="24"/>
      <c r="H109" s="24"/>
      <c r="I109" s="24"/>
      <c r="J109" s="1"/>
      <c r="K109" s="24"/>
      <c r="L109" s="27"/>
      <c r="M109" s="27"/>
      <c r="N109" s="27"/>
      <c r="O109" s="27"/>
      <c r="P109" s="90"/>
    </row>
    <row r="110" spans="1:16" x14ac:dyDescent="0.3">
      <c r="A110" s="1">
        <v>55</v>
      </c>
      <c r="B110" s="222" t="s">
        <v>603</v>
      </c>
      <c r="C110" s="222"/>
      <c r="D110" s="24">
        <v>0</v>
      </c>
      <c r="E110" s="24">
        <v>0</v>
      </c>
      <c r="F110" s="24"/>
      <c r="G110" s="24"/>
      <c r="H110" s="24"/>
      <c r="I110" s="24"/>
      <c r="J110" s="1"/>
      <c r="K110" s="24"/>
      <c r="L110" s="27"/>
      <c r="M110" s="27"/>
      <c r="N110" s="27"/>
      <c r="O110" s="27"/>
      <c r="P110" s="90"/>
    </row>
    <row r="111" spans="1:16" x14ac:dyDescent="0.3">
      <c r="A111" s="1">
        <v>56</v>
      </c>
      <c r="B111" s="222" t="s">
        <v>604</v>
      </c>
      <c r="C111" s="222"/>
      <c r="D111" s="24">
        <v>0</v>
      </c>
      <c r="E111" s="24">
        <v>0</v>
      </c>
      <c r="F111" s="24"/>
      <c r="G111" s="24"/>
      <c r="H111" s="24"/>
      <c r="I111" s="24"/>
      <c r="J111" s="1"/>
      <c r="K111" s="24"/>
      <c r="L111" s="27"/>
      <c r="M111" s="27"/>
      <c r="N111" s="27"/>
      <c r="O111" s="27"/>
      <c r="P111" s="29"/>
    </row>
    <row r="112" spans="1:16" x14ac:dyDescent="0.3">
      <c r="A112" s="1">
        <v>57</v>
      </c>
      <c r="B112" s="222" t="s">
        <v>605</v>
      </c>
      <c r="C112" s="222"/>
      <c r="D112" s="24">
        <v>0</v>
      </c>
      <c r="E112" s="24">
        <v>0</v>
      </c>
      <c r="F112" s="24"/>
      <c r="G112" s="24"/>
      <c r="H112" s="24"/>
      <c r="I112" s="24"/>
      <c r="J112" s="1"/>
      <c r="K112" s="24"/>
      <c r="L112" s="27"/>
      <c r="M112" s="27"/>
      <c r="N112" s="27"/>
      <c r="O112" s="27"/>
      <c r="P112" s="90"/>
    </row>
    <row r="113" spans="1:16" s="19" customFormat="1" x14ac:dyDescent="0.3">
      <c r="A113" s="1">
        <v>58</v>
      </c>
      <c r="B113" s="222" t="s">
        <v>606</v>
      </c>
      <c r="C113" s="222"/>
      <c r="D113" s="24">
        <v>0</v>
      </c>
      <c r="E113" s="24">
        <v>0</v>
      </c>
      <c r="F113" s="24"/>
      <c r="G113" s="24"/>
      <c r="H113" s="24"/>
      <c r="I113" s="24"/>
      <c r="J113" s="1"/>
      <c r="K113" s="24"/>
      <c r="L113" s="27"/>
      <c r="M113" s="27"/>
      <c r="N113" s="27"/>
      <c r="O113" s="27"/>
      <c r="P113" s="90"/>
    </row>
    <row r="114" spans="1:16" x14ac:dyDescent="0.3">
      <c r="A114" s="1">
        <v>59</v>
      </c>
      <c r="B114" s="222" t="s">
        <v>607</v>
      </c>
      <c r="C114" s="222"/>
      <c r="D114" s="24">
        <v>0</v>
      </c>
      <c r="E114" s="24">
        <v>0</v>
      </c>
      <c r="F114" s="24"/>
      <c r="G114" s="24"/>
      <c r="H114" s="24"/>
      <c r="I114" s="24"/>
      <c r="J114" s="1"/>
      <c r="K114" s="24"/>
      <c r="L114" s="27"/>
      <c r="M114" s="27"/>
      <c r="N114" s="27"/>
      <c r="O114" s="27"/>
      <c r="P114" s="90"/>
    </row>
    <row r="115" spans="1:16" ht="27.6" x14ac:dyDescent="0.3">
      <c r="A115" s="1">
        <v>60</v>
      </c>
      <c r="B115" s="222" t="s">
        <v>608</v>
      </c>
      <c r="C115" s="222"/>
      <c r="D115" s="24">
        <f>SUM(95+2)</f>
        <v>97</v>
      </c>
      <c r="E115" s="24">
        <f>SUM(21+2)</f>
        <v>23</v>
      </c>
      <c r="F115" s="24">
        <v>0</v>
      </c>
      <c r="G115" s="24">
        <v>0</v>
      </c>
      <c r="H115" s="192">
        <v>4</v>
      </c>
      <c r="I115" s="192">
        <f>SUM(F115:H115)</f>
        <v>4</v>
      </c>
      <c r="J115" s="15">
        <v>0</v>
      </c>
      <c r="K115" s="192">
        <f>E115-I115-J115</f>
        <v>19</v>
      </c>
      <c r="L115" s="193">
        <f>I115/E115</f>
        <v>0.17391304347826086</v>
      </c>
      <c r="M115" s="193">
        <f>J115/E115</f>
        <v>0</v>
      </c>
      <c r="N115" s="193">
        <f>K115/E115</f>
        <v>0.82608695652173914</v>
      </c>
      <c r="O115" s="193">
        <v>1</v>
      </c>
      <c r="P115" s="196" t="s">
        <v>109</v>
      </c>
    </row>
    <row r="116" spans="1:16" x14ac:dyDescent="0.3">
      <c r="A116" s="1">
        <v>61</v>
      </c>
      <c r="B116" s="222" t="s">
        <v>609</v>
      </c>
      <c r="C116" s="222"/>
      <c r="D116" s="24">
        <v>0</v>
      </c>
      <c r="E116" s="24">
        <v>0</v>
      </c>
      <c r="F116" s="24"/>
      <c r="G116" s="24"/>
      <c r="H116" s="24"/>
      <c r="I116" s="24"/>
      <c r="J116" s="1"/>
      <c r="K116" s="24"/>
      <c r="L116" s="27"/>
      <c r="M116" s="27"/>
      <c r="N116" s="27"/>
      <c r="O116" s="27"/>
      <c r="P116" s="90"/>
    </row>
    <row r="117" spans="1:16" s="19" customFormat="1" x14ac:dyDescent="0.3">
      <c r="A117" s="1">
        <v>62</v>
      </c>
      <c r="B117" s="222" t="s">
        <v>610</v>
      </c>
      <c r="C117" s="222"/>
      <c r="D117" s="24">
        <v>0</v>
      </c>
      <c r="E117" s="24">
        <v>0</v>
      </c>
      <c r="F117" s="24"/>
      <c r="G117" s="24"/>
      <c r="H117" s="24"/>
      <c r="I117" s="24"/>
      <c r="J117" s="1"/>
      <c r="K117" s="24"/>
      <c r="L117" s="27"/>
      <c r="M117" s="27"/>
      <c r="N117" s="27"/>
      <c r="O117" s="27"/>
      <c r="P117" s="132"/>
    </row>
    <row r="118" spans="1:16" s="19" customFormat="1" x14ac:dyDescent="0.3">
      <c r="A118" s="1">
        <v>63</v>
      </c>
      <c r="B118" s="222" t="s">
        <v>611</v>
      </c>
      <c r="C118" s="222"/>
      <c r="D118" s="24">
        <v>0</v>
      </c>
      <c r="E118" s="24">
        <v>0</v>
      </c>
      <c r="F118" s="24"/>
      <c r="G118" s="24"/>
      <c r="H118" s="24"/>
      <c r="I118" s="24"/>
      <c r="J118" s="1"/>
      <c r="K118" s="24"/>
      <c r="L118" s="27"/>
      <c r="M118" s="27"/>
      <c r="N118" s="27"/>
      <c r="O118" s="27"/>
      <c r="P118" s="90"/>
    </row>
    <row r="119" spans="1:16" x14ac:dyDescent="0.3">
      <c r="A119" s="1">
        <v>64</v>
      </c>
      <c r="B119" s="222" t="s">
        <v>612</v>
      </c>
      <c r="C119" s="222"/>
      <c r="D119" s="24">
        <f>SUM(7+0)</f>
        <v>7</v>
      </c>
      <c r="E119" s="24">
        <f>SUM(7+2)</f>
        <v>9</v>
      </c>
      <c r="F119" s="24">
        <v>0</v>
      </c>
      <c r="G119" s="24">
        <v>0</v>
      </c>
      <c r="H119" s="24">
        <v>0</v>
      </c>
      <c r="I119" s="24">
        <f>SUM(F119:H119)</f>
        <v>0</v>
      </c>
      <c r="J119" s="1">
        <v>0</v>
      </c>
      <c r="K119" s="24">
        <f>E119-I119-J119</f>
        <v>9</v>
      </c>
      <c r="L119" s="27">
        <f>I119/E119</f>
        <v>0</v>
      </c>
      <c r="M119" s="27">
        <f>J119/E119</f>
        <v>0</v>
      </c>
      <c r="N119" s="27">
        <f>K119/E119</f>
        <v>1</v>
      </c>
      <c r="O119" s="27">
        <v>1</v>
      </c>
      <c r="P119" s="190" t="s">
        <v>102</v>
      </c>
    </row>
    <row r="120" spans="1:16" ht="52.8" x14ac:dyDescent="0.3">
      <c r="A120" s="1">
        <v>65</v>
      </c>
      <c r="B120" s="222" t="s">
        <v>613</v>
      </c>
      <c r="C120" s="222"/>
      <c r="D120" s="24">
        <f>SUM(35+10+2)</f>
        <v>47</v>
      </c>
      <c r="E120" s="24">
        <f>SUM(35+10-12+2)</f>
        <v>35</v>
      </c>
      <c r="F120" s="24">
        <v>0</v>
      </c>
      <c r="G120" s="192">
        <v>5</v>
      </c>
      <c r="H120" s="192">
        <v>0</v>
      </c>
      <c r="I120" s="192">
        <v>5</v>
      </c>
      <c r="J120" s="15">
        <v>0</v>
      </c>
      <c r="K120" s="192">
        <f>E120-I120-J120</f>
        <v>30</v>
      </c>
      <c r="L120" s="193">
        <f>I120/E120</f>
        <v>0.14285714285714285</v>
      </c>
      <c r="M120" s="193">
        <f>J120/E120</f>
        <v>0</v>
      </c>
      <c r="N120" s="193">
        <f>K120/E120</f>
        <v>0.8571428571428571</v>
      </c>
      <c r="O120" s="193">
        <v>1</v>
      </c>
      <c r="P120" s="197" t="s">
        <v>108</v>
      </c>
    </row>
    <row r="121" spans="1:16" s="19" customFormat="1" x14ac:dyDescent="0.3">
      <c r="A121" s="1">
        <v>66</v>
      </c>
      <c r="B121" s="222" t="s">
        <v>614</v>
      </c>
      <c r="C121" s="222"/>
      <c r="D121" s="24">
        <v>0</v>
      </c>
      <c r="E121" s="24">
        <v>0</v>
      </c>
      <c r="F121" s="24"/>
      <c r="G121" s="24"/>
      <c r="H121" s="24"/>
      <c r="I121" s="24"/>
      <c r="J121" s="1"/>
      <c r="K121" s="24"/>
      <c r="L121" s="27"/>
      <c r="M121" s="27"/>
      <c r="N121" s="27"/>
      <c r="O121" s="27"/>
      <c r="P121" s="90"/>
    </row>
    <row r="122" spans="1:16" s="19" customFormat="1" x14ac:dyDescent="0.3">
      <c r="A122" s="1">
        <v>67</v>
      </c>
      <c r="B122" s="221" t="s">
        <v>615</v>
      </c>
      <c r="C122" s="221"/>
      <c r="D122" s="24">
        <v>0</v>
      </c>
      <c r="E122" s="24">
        <v>0</v>
      </c>
      <c r="F122" s="24"/>
      <c r="G122" s="24"/>
      <c r="H122" s="24"/>
      <c r="I122" s="24"/>
      <c r="J122" s="1"/>
      <c r="K122" s="24"/>
      <c r="L122" s="27"/>
      <c r="M122" s="27"/>
      <c r="N122" s="27"/>
      <c r="O122" s="27"/>
      <c r="P122" s="90"/>
    </row>
    <row r="123" spans="1:16" x14ac:dyDescent="0.3">
      <c r="A123" s="1">
        <v>68</v>
      </c>
      <c r="B123" s="221" t="s">
        <v>616</v>
      </c>
      <c r="C123" s="221"/>
      <c r="D123" s="24">
        <v>0</v>
      </c>
      <c r="E123" s="24">
        <v>0</v>
      </c>
      <c r="F123" s="24"/>
      <c r="G123" s="24"/>
      <c r="H123" s="24"/>
      <c r="I123" s="24"/>
      <c r="J123" s="1"/>
      <c r="K123" s="24"/>
      <c r="L123" s="27"/>
      <c r="M123" s="27"/>
      <c r="N123" s="27"/>
      <c r="O123" s="27"/>
      <c r="P123" s="90"/>
    </row>
    <row r="124" spans="1:16" s="19" customFormat="1" x14ac:dyDescent="0.3">
      <c r="A124" s="1">
        <v>69</v>
      </c>
      <c r="B124" s="221" t="s">
        <v>617</v>
      </c>
      <c r="C124" s="221"/>
      <c r="D124" s="24">
        <v>0</v>
      </c>
      <c r="E124" s="24">
        <v>0</v>
      </c>
      <c r="F124" s="24"/>
      <c r="G124" s="24"/>
      <c r="H124" s="24"/>
      <c r="I124" s="24"/>
      <c r="J124" s="1"/>
      <c r="K124" s="24"/>
      <c r="L124" s="27"/>
      <c r="M124" s="27"/>
      <c r="N124" s="27"/>
      <c r="O124" s="27"/>
      <c r="P124" s="90"/>
    </row>
    <row r="125" spans="1:16" x14ac:dyDescent="0.3">
      <c r="A125" s="1">
        <v>70</v>
      </c>
      <c r="B125" s="221" t="s">
        <v>618</v>
      </c>
      <c r="C125" s="221"/>
      <c r="D125" s="24">
        <v>0</v>
      </c>
      <c r="E125" s="24">
        <v>0</v>
      </c>
      <c r="F125" s="24"/>
      <c r="G125" s="24"/>
      <c r="H125" s="24"/>
      <c r="I125" s="24"/>
      <c r="J125" s="1"/>
      <c r="K125" s="24"/>
      <c r="L125" s="27"/>
      <c r="M125" s="27"/>
      <c r="N125" s="27"/>
      <c r="O125" s="27"/>
      <c r="P125" s="90"/>
    </row>
    <row r="126" spans="1:16" s="19" customFormat="1" x14ac:dyDescent="0.3">
      <c r="A126" s="1">
        <v>71</v>
      </c>
      <c r="B126" s="221" t="s">
        <v>619</v>
      </c>
      <c r="C126" s="221"/>
      <c r="D126" s="24">
        <v>0</v>
      </c>
      <c r="E126" s="24">
        <v>0</v>
      </c>
      <c r="F126" s="24"/>
      <c r="G126" s="24"/>
      <c r="H126" s="24"/>
      <c r="I126" s="24"/>
      <c r="J126" s="1"/>
      <c r="K126" s="24"/>
      <c r="L126" s="27"/>
      <c r="M126" s="27"/>
      <c r="N126" s="27"/>
      <c r="O126" s="27"/>
      <c r="P126" s="90"/>
    </row>
    <row r="127" spans="1:16" s="19" customFormat="1" x14ac:dyDescent="0.3">
      <c r="A127" s="1">
        <v>72</v>
      </c>
      <c r="B127" s="221" t="s">
        <v>620</v>
      </c>
      <c r="C127" s="221"/>
      <c r="D127" s="24">
        <v>0</v>
      </c>
      <c r="E127" s="24">
        <v>0</v>
      </c>
      <c r="F127" s="24"/>
      <c r="G127" s="24"/>
      <c r="H127" s="24"/>
      <c r="I127" s="24"/>
      <c r="J127" s="1"/>
      <c r="K127" s="24"/>
      <c r="L127" s="27"/>
      <c r="M127" s="27"/>
      <c r="N127" s="27"/>
      <c r="O127" s="27"/>
      <c r="P127" s="34"/>
    </row>
    <row r="128" spans="1:16" s="19" customFormat="1" x14ac:dyDescent="0.3">
      <c r="A128" s="1">
        <v>73</v>
      </c>
      <c r="B128" s="221" t="s">
        <v>621</v>
      </c>
      <c r="C128" s="221"/>
      <c r="D128" s="24">
        <v>0</v>
      </c>
      <c r="E128" s="24">
        <v>0</v>
      </c>
      <c r="F128" s="24"/>
      <c r="G128" s="24"/>
      <c r="H128" s="24"/>
      <c r="I128" s="24"/>
      <c r="J128" s="1"/>
      <c r="K128" s="24"/>
      <c r="L128" s="27"/>
      <c r="M128" s="27"/>
      <c r="N128" s="27"/>
      <c r="O128" s="27"/>
      <c r="P128" s="125"/>
    </row>
    <row r="129" spans="1:16" x14ac:dyDescent="0.3">
      <c r="A129" s="1">
        <v>74</v>
      </c>
      <c r="B129" s="221" t="s">
        <v>622</v>
      </c>
      <c r="C129" s="221"/>
      <c r="D129" s="24">
        <v>0</v>
      </c>
      <c r="E129" s="24">
        <v>0</v>
      </c>
      <c r="F129" s="24"/>
      <c r="G129" s="24"/>
      <c r="H129" s="24"/>
      <c r="I129" s="24"/>
      <c r="J129" s="1"/>
      <c r="K129" s="24"/>
      <c r="L129" s="27"/>
      <c r="M129" s="27"/>
      <c r="N129" s="27"/>
      <c r="O129" s="27"/>
      <c r="P129" s="125"/>
    </row>
    <row r="130" spans="1:16" x14ac:dyDescent="0.3">
      <c r="A130" s="1">
        <v>75</v>
      </c>
      <c r="B130" s="221" t="s">
        <v>623</v>
      </c>
      <c r="C130" s="221"/>
      <c r="D130" s="24">
        <f>SUM(0+5)</f>
        <v>5</v>
      </c>
      <c r="E130" s="24">
        <f>SUM(0+5)</f>
        <v>5</v>
      </c>
      <c r="F130" s="24">
        <v>0</v>
      </c>
      <c r="G130" s="24">
        <v>0</v>
      </c>
      <c r="H130" s="24">
        <v>0</v>
      </c>
      <c r="I130" s="24">
        <f>SUM(F130:H130)</f>
        <v>0</v>
      </c>
      <c r="J130" s="1">
        <v>0</v>
      </c>
      <c r="K130" s="24">
        <f>E130-I130-J130</f>
        <v>5</v>
      </c>
      <c r="L130" s="27">
        <f>I130/E130</f>
        <v>0</v>
      </c>
      <c r="M130" s="27">
        <f>J130/E130</f>
        <v>0</v>
      </c>
      <c r="N130" s="27">
        <f>K130/E130</f>
        <v>1</v>
      </c>
      <c r="O130" s="27">
        <v>1</v>
      </c>
      <c r="P130" s="125"/>
    </row>
    <row r="131" spans="1:16" x14ac:dyDescent="0.3">
      <c r="A131" s="1">
        <v>76</v>
      </c>
      <c r="B131" s="221" t="s">
        <v>624</v>
      </c>
      <c r="C131" s="221"/>
      <c r="D131" s="24">
        <v>0</v>
      </c>
      <c r="E131" s="24">
        <v>0</v>
      </c>
      <c r="F131" s="24"/>
      <c r="G131" s="24"/>
      <c r="H131" s="24"/>
      <c r="I131" s="24"/>
      <c r="J131" s="1"/>
      <c r="K131" s="24"/>
      <c r="L131" s="27"/>
      <c r="M131" s="27"/>
      <c r="N131" s="27"/>
      <c r="O131" s="27"/>
      <c r="P131" s="40"/>
    </row>
    <row r="132" spans="1:16" s="48" customFormat="1" x14ac:dyDescent="0.3">
      <c r="A132" s="1">
        <v>77</v>
      </c>
      <c r="B132" s="221" t="s">
        <v>625</v>
      </c>
      <c r="C132" s="221"/>
      <c r="D132" s="24">
        <v>0</v>
      </c>
      <c r="E132" s="24">
        <v>0</v>
      </c>
      <c r="F132" s="24"/>
      <c r="G132" s="24"/>
      <c r="H132" s="24"/>
      <c r="I132" s="24"/>
      <c r="J132" s="1"/>
      <c r="K132" s="24"/>
      <c r="L132" s="27"/>
      <c r="M132" s="27"/>
      <c r="N132" s="27"/>
      <c r="O132" s="27"/>
      <c r="P132" s="90"/>
    </row>
    <row r="133" spans="1:16" x14ac:dyDescent="0.3">
      <c r="A133" s="1">
        <v>78</v>
      </c>
      <c r="B133" s="221" t="s">
        <v>626</v>
      </c>
      <c r="C133" s="221"/>
      <c r="D133" s="24">
        <v>0</v>
      </c>
      <c r="E133" s="24">
        <v>0</v>
      </c>
      <c r="F133" s="24"/>
      <c r="G133" s="24"/>
      <c r="H133" s="24"/>
      <c r="I133" s="24"/>
      <c r="J133" s="1"/>
      <c r="K133" s="24"/>
      <c r="L133" s="27"/>
      <c r="M133" s="27"/>
      <c r="N133" s="27"/>
      <c r="O133" s="27"/>
      <c r="P133" s="90"/>
    </row>
    <row r="134" spans="1:16" x14ac:dyDescent="0.3">
      <c r="A134" s="1">
        <v>79</v>
      </c>
      <c r="B134" s="221" t="s">
        <v>627</v>
      </c>
      <c r="C134" s="221"/>
      <c r="D134" s="24">
        <v>0</v>
      </c>
      <c r="E134" s="24">
        <v>0</v>
      </c>
      <c r="F134" s="24"/>
      <c r="G134" s="24"/>
      <c r="H134" s="24"/>
      <c r="I134" s="24"/>
      <c r="J134" s="1"/>
      <c r="K134" s="24"/>
      <c r="L134" s="27"/>
      <c r="M134" s="27"/>
      <c r="N134" s="27"/>
      <c r="O134" s="27"/>
      <c r="P134" s="91"/>
    </row>
    <row r="135" spans="1:16" x14ac:dyDescent="0.3">
      <c r="A135" s="1">
        <v>80</v>
      </c>
      <c r="B135" s="221" t="s">
        <v>628</v>
      </c>
      <c r="C135" s="221"/>
      <c r="D135" s="24">
        <v>0</v>
      </c>
      <c r="E135" s="24">
        <v>0</v>
      </c>
      <c r="F135" s="24"/>
      <c r="G135" s="24"/>
      <c r="H135" s="24"/>
      <c r="I135" s="24"/>
      <c r="J135" s="1"/>
      <c r="K135" s="24"/>
      <c r="L135" s="27"/>
      <c r="M135" s="27"/>
      <c r="N135" s="27"/>
      <c r="O135" s="27"/>
      <c r="P135" s="90"/>
    </row>
    <row r="136" spans="1:16" x14ac:dyDescent="0.3">
      <c r="A136" s="1">
        <v>81</v>
      </c>
      <c r="B136" s="221" t="s">
        <v>629</v>
      </c>
      <c r="C136" s="221"/>
      <c r="D136" s="24">
        <v>0</v>
      </c>
      <c r="E136" s="24">
        <v>0</v>
      </c>
      <c r="F136" s="24"/>
      <c r="G136" s="24"/>
      <c r="H136" s="24"/>
      <c r="I136" s="24"/>
      <c r="J136" s="1"/>
      <c r="K136" s="24"/>
      <c r="L136" s="27"/>
      <c r="M136" s="27"/>
      <c r="N136" s="27"/>
      <c r="O136" s="27"/>
      <c r="P136" s="90"/>
    </row>
    <row r="137" spans="1:16" x14ac:dyDescent="0.3">
      <c r="A137" s="1">
        <v>82</v>
      </c>
      <c r="B137" s="221" t="s">
        <v>630</v>
      </c>
      <c r="C137" s="221"/>
      <c r="D137" s="24">
        <v>0</v>
      </c>
      <c r="E137" s="24">
        <v>0</v>
      </c>
      <c r="F137" s="24"/>
      <c r="G137" s="24"/>
      <c r="H137" s="24"/>
      <c r="I137" s="24"/>
      <c r="J137" s="1"/>
      <c r="K137" s="24"/>
      <c r="L137" s="27"/>
      <c r="M137" s="27"/>
      <c r="N137" s="27"/>
      <c r="O137" s="27"/>
      <c r="P137" s="90"/>
    </row>
    <row r="138" spans="1:16" x14ac:dyDescent="0.3">
      <c r="A138" s="1">
        <v>83</v>
      </c>
      <c r="B138" s="221" t="s">
        <v>631</v>
      </c>
      <c r="C138" s="221"/>
      <c r="D138" s="24">
        <v>0</v>
      </c>
      <c r="E138" s="24">
        <v>0</v>
      </c>
      <c r="F138" s="24"/>
      <c r="G138" s="24"/>
      <c r="H138" s="24"/>
      <c r="I138" s="24"/>
      <c r="J138" s="1"/>
      <c r="K138" s="24"/>
      <c r="L138" s="27"/>
      <c r="M138" s="27"/>
      <c r="N138" s="27"/>
      <c r="O138" s="27"/>
      <c r="P138" s="93"/>
    </row>
    <row r="139" spans="1:16" x14ac:dyDescent="0.3">
      <c r="A139" s="1">
        <v>84</v>
      </c>
      <c r="B139" s="221" t="s">
        <v>632</v>
      </c>
      <c r="C139" s="221"/>
      <c r="D139" s="24">
        <v>0</v>
      </c>
      <c r="E139" s="24">
        <v>0</v>
      </c>
      <c r="F139" s="24"/>
      <c r="G139" s="24"/>
      <c r="H139" s="24"/>
      <c r="I139" s="24"/>
      <c r="J139" s="1"/>
      <c r="K139" s="24"/>
      <c r="L139" s="27"/>
      <c r="M139" s="27"/>
      <c r="N139" s="27"/>
      <c r="O139" s="27"/>
      <c r="P139" s="90"/>
    </row>
    <row r="140" spans="1:16" x14ac:dyDescent="0.3">
      <c r="A140" s="1">
        <v>85</v>
      </c>
      <c r="B140" s="221" t="s">
        <v>633</v>
      </c>
      <c r="C140" s="221"/>
      <c r="D140" s="24">
        <v>0</v>
      </c>
      <c r="E140" s="24">
        <v>0</v>
      </c>
      <c r="F140" s="24"/>
      <c r="G140" s="24"/>
      <c r="H140" s="24"/>
      <c r="I140" s="24"/>
      <c r="J140" s="1"/>
      <c r="K140" s="24"/>
      <c r="L140" s="27"/>
      <c r="M140" s="27"/>
      <c r="N140" s="27"/>
      <c r="O140" s="27"/>
      <c r="P140" s="93"/>
    </row>
    <row r="141" spans="1:16" x14ac:dyDescent="0.3">
      <c r="A141" s="1">
        <v>86</v>
      </c>
      <c r="B141" s="221" t="s">
        <v>634</v>
      </c>
      <c r="C141" s="221"/>
      <c r="D141" s="24">
        <v>0</v>
      </c>
      <c r="E141" s="24">
        <v>0</v>
      </c>
      <c r="F141" s="24"/>
      <c r="G141" s="24"/>
      <c r="H141" s="24"/>
      <c r="I141" s="24"/>
      <c r="J141" s="1"/>
      <c r="K141" s="24"/>
      <c r="L141" s="27"/>
      <c r="M141" s="27"/>
      <c r="N141" s="27"/>
      <c r="O141" s="27"/>
      <c r="P141" s="94"/>
    </row>
    <row r="142" spans="1:16" x14ac:dyDescent="0.3">
      <c r="A142" s="1">
        <v>87</v>
      </c>
      <c r="B142" s="221" t="s">
        <v>635</v>
      </c>
      <c r="C142" s="221"/>
      <c r="D142" s="24">
        <f>SUM(2+0)</f>
        <v>2</v>
      </c>
      <c r="E142" s="24">
        <f>SUM(5+0)</f>
        <v>5</v>
      </c>
      <c r="F142" s="24">
        <v>0</v>
      </c>
      <c r="G142" s="24">
        <v>0</v>
      </c>
      <c r="H142" s="24">
        <v>0</v>
      </c>
      <c r="I142" s="24">
        <f>SUM(F142:H142)</f>
        <v>0</v>
      </c>
      <c r="J142" s="1">
        <v>0</v>
      </c>
      <c r="K142" s="24">
        <f>E142-I142-J142</f>
        <v>5</v>
      </c>
      <c r="L142" s="27">
        <f>I142/E142</f>
        <v>0</v>
      </c>
      <c r="M142" s="27">
        <f>J142/E142</f>
        <v>0</v>
      </c>
      <c r="N142" s="27">
        <f>K142/E142</f>
        <v>1</v>
      </c>
      <c r="O142" s="27">
        <v>1</v>
      </c>
      <c r="P142" s="94"/>
    </row>
    <row r="143" spans="1:16" x14ac:dyDescent="0.3">
      <c r="A143" s="1">
        <v>88</v>
      </c>
      <c r="B143" s="221" t="s">
        <v>636</v>
      </c>
      <c r="C143" s="221"/>
      <c r="D143" s="24">
        <v>0</v>
      </c>
      <c r="E143" s="24">
        <v>0</v>
      </c>
      <c r="F143" s="24"/>
      <c r="G143" s="24"/>
      <c r="H143" s="24"/>
      <c r="I143" s="24"/>
      <c r="J143" s="24"/>
      <c r="K143" s="24"/>
      <c r="L143" s="27"/>
      <c r="M143" s="27"/>
      <c r="N143" s="27"/>
      <c r="O143" s="27"/>
      <c r="P143" s="94"/>
    </row>
    <row r="144" spans="1:16" x14ac:dyDescent="0.3">
      <c r="A144" s="1">
        <v>89</v>
      </c>
      <c r="B144" s="221" t="s">
        <v>637</v>
      </c>
      <c r="C144" s="221"/>
      <c r="D144" s="24">
        <v>0</v>
      </c>
      <c r="E144" s="24">
        <v>0</v>
      </c>
      <c r="F144" s="24"/>
      <c r="G144" s="24"/>
      <c r="H144" s="24"/>
      <c r="I144" s="24"/>
      <c r="J144" s="24"/>
      <c r="K144" s="24"/>
      <c r="L144" s="27"/>
      <c r="M144" s="27"/>
      <c r="N144" s="27"/>
      <c r="O144" s="27"/>
      <c r="P144" s="94"/>
    </row>
    <row r="145" spans="1:16" x14ac:dyDescent="0.3">
      <c r="A145" s="1">
        <v>90</v>
      </c>
      <c r="B145" s="221" t="s">
        <v>638</v>
      </c>
      <c r="C145" s="221"/>
      <c r="D145" s="24">
        <v>0</v>
      </c>
      <c r="E145" s="24">
        <v>0</v>
      </c>
      <c r="F145" s="24"/>
      <c r="G145" s="24"/>
      <c r="H145" s="24"/>
      <c r="I145" s="24"/>
      <c r="J145" s="24"/>
      <c r="K145" s="24"/>
      <c r="L145" s="27"/>
      <c r="M145" s="27"/>
      <c r="N145" s="27"/>
      <c r="O145" s="27"/>
      <c r="P145" s="94"/>
    </row>
    <row r="146" spans="1:16" x14ac:dyDescent="0.3">
      <c r="A146" s="1">
        <v>91</v>
      </c>
      <c r="B146" s="221" t="s">
        <v>639</v>
      </c>
      <c r="C146" s="221"/>
      <c r="D146" s="24">
        <v>0</v>
      </c>
      <c r="E146" s="24">
        <v>0</v>
      </c>
      <c r="F146" s="24"/>
      <c r="G146" s="24"/>
      <c r="H146" s="24"/>
      <c r="I146" s="24"/>
      <c r="J146" s="24"/>
      <c r="K146" s="24"/>
      <c r="L146" s="27"/>
      <c r="M146" s="27"/>
      <c r="N146" s="27"/>
      <c r="O146" s="27"/>
      <c r="P146" s="127"/>
    </row>
    <row r="147" spans="1:16" x14ac:dyDescent="0.3">
      <c r="A147" s="1">
        <v>92</v>
      </c>
      <c r="B147" s="221" t="s">
        <v>640</v>
      </c>
      <c r="C147" s="221"/>
      <c r="D147" s="24">
        <v>0</v>
      </c>
      <c r="E147" s="24">
        <v>0</v>
      </c>
      <c r="F147" s="24"/>
      <c r="G147" s="24"/>
      <c r="H147" s="24"/>
      <c r="I147" s="24"/>
      <c r="J147" s="47"/>
      <c r="K147" s="24"/>
      <c r="L147" s="27"/>
      <c r="M147" s="27"/>
      <c r="N147" s="27"/>
      <c r="O147" s="27"/>
      <c r="P147" s="32"/>
    </row>
    <row r="148" spans="1:16" x14ac:dyDescent="0.3">
      <c r="A148" s="1">
        <v>93</v>
      </c>
      <c r="B148" s="221" t="s">
        <v>641</v>
      </c>
      <c r="C148" s="221"/>
      <c r="D148" s="24">
        <v>0</v>
      </c>
      <c r="E148" s="24">
        <v>0</v>
      </c>
      <c r="F148" s="24"/>
      <c r="G148" s="24"/>
      <c r="H148" s="24"/>
      <c r="I148" s="24"/>
      <c r="J148" s="47"/>
      <c r="K148" s="24"/>
      <c r="L148" s="27"/>
      <c r="M148" s="27"/>
      <c r="N148" s="27"/>
      <c r="O148" s="27"/>
      <c r="P148" s="90"/>
    </row>
    <row r="149" spans="1:16" x14ac:dyDescent="0.3">
      <c r="A149" s="1">
        <v>94</v>
      </c>
      <c r="B149" s="221" t="s">
        <v>642</v>
      </c>
      <c r="C149" s="221"/>
      <c r="D149" s="24">
        <f>SUM(32+0)</f>
        <v>32</v>
      </c>
      <c r="E149" s="24">
        <f>(32-8+0)</f>
        <v>24</v>
      </c>
      <c r="F149" s="24">
        <v>0</v>
      </c>
      <c r="G149" s="24">
        <v>0</v>
      </c>
      <c r="H149" s="24">
        <v>0</v>
      </c>
      <c r="I149" s="24">
        <f>SUM(F149:H149)</f>
        <v>0</v>
      </c>
      <c r="J149" s="1">
        <v>0</v>
      </c>
      <c r="K149" s="24">
        <f>E149-I149-J149</f>
        <v>24</v>
      </c>
      <c r="L149" s="27">
        <f>I149/E149</f>
        <v>0</v>
      </c>
      <c r="M149" s="27">
        <f>J149/E149</f>
        <v>0</v>
      </c>
      <c r="N149" s="27">
        <f>K149/E149</f>
        <v>1</v>
      </c>
      <c r="O149" s="27">
        <v>1</v>
      </c>
      <c r="P149" s="191" t="s">
        <v>103</v>
      </c>
    </row>
    <row r="150" spans="1:16" s="3" customFormat="1" ht="26.4" x14ac:dyDescent="0.3">
      <c r="A150" s="1">
        <v>95</v>
      </c>
      <c r="B150" s="221" t="s">
        <v>643</v>
      </c>
      <c r="C150" s="221"/>
      <c r="D150" s="24">
        <f>SUM(32+0)</f>
        <v>32</v>
      </c>
      <c r="E150" s="24">
        <f>(32-8+0)</f>
        <v>24</v>
      </c>
      <c r="F150" s="24">
        <v>0</v>
      </c>
      <c r="G150" s="24">
        <v>0</v>
      </c>
      <c r="H150" s="24">
        <v>0</v>
      </c>
      <c r="I150" s="24">
        <f>SUM(F150:H150)</f>
        <v>0</v>
      </c>
      <c r="J150" s="1">
        <v>0</v>
      </c>
      <c r="K150" s="24">
        <f>E150-I150-J150</f>
        <v>24</v>
      </c>
      <c r="L150" s="27">
        <f>I150/E150</f>
        <v>0</v>
      </c>
      <c r="M150" s="27">
        <f>J150/E150</f>
        <v>0</v>
      </c>
      <c r="N150" s="27">
        <f>K150/E150</f>
        <v>1</v>
      </c>
      <c r="O150" s="27">
        <v>1</v>
      </c>
      <c r="P150" s="191" t="s">
        <v>110</v>
      </c>
    </row>
    <row r="151" spans="1:16" s="19" customFormat="1" x14ac:dyDescent="0.3">
      <c r="A151" s="1">
        <v>96</v>
      </c>
      <c r="B151" s="221" t="s">
        <v>644</v>
      </c>
      <c r="C151" s="221"/>
      <c r="D151" s="24">
        <v>0</v>
      </c>
      <c r="E151" s="24">
        <v>0</v>
      </c>
      <c r="F151" s="24"/>
      <c r="G151" s="24"/>
      <c r="H151" s="24"/>
      <c r="I151" s="24"/>
      <c r="J151" s="24"/>
      <c r="K151" s="24"/>
      <c r="L151" s="27"/>
      <c r="M151" s="27"/>
      <c r="N151" s="27"/>
      <c r="O151" s="27"/>
      <c r="P151" s="90"/>
    </row>
    <row r="152" spans="1:16" s="19" customFormat="1" x14ac:dyDescent="0.3">
      <c r="A152" s="1">
        <v>97</v>
      </c>
      <c r="B152" s="221" t="s">
        <v>645</v>
      </c>
      <c r="C152" s="221"/>
      <c r="D152" s="24">
        <v>0</v>
      </c>
      <c r="E152" s="24">
        <v>0</v>
      </c>
      <c r="F152" s="24"/>
      <c r="G152" s="24"/>
      <c r="H152" s="24"/>
      <c r="I152" s="24"/>
      <c r="J152" s="24"/>
      <c r="K152" s="24"/>
      <c r="L152" s="27"/>
      <c r="M152" s="27"/>
      <c r="N152" s="27"/>
      <c r="O152" s="27"/>
      <c r="P152" s="125"/>
    </row>
    <row r="153" spans="1:16" x14ac:dyDescent="0.3">
      <c r="A153" s="1">
        <v>98</v>
      </c>
      <c r="B153" s="221" t="s">
        <v>646</v>
      </c>
      <c r="C153" s="221"/>
      <c r="D153" s="24">
        <v>0</v>
      </c>
      <c r="E153" s="24">
        <v>0</v>
      </c>
      <c r="F153" s="24"/>
      <c r="G153" s="24"/>
      <c r="H153" s="24"/>
      <c r="I153" s="24"/>
      <c r="J153" s="47"/>
      <c r="K153" s="24"/>
      <c r="L153" s="27"/>
      <c r="M153" s="27"/>
      <c r="N153" s="27"/>
      <c r="O153" s="27"/>
      <c r="P153" s="100"/>
    </row>
    <row r="154" spans="1:16" x14ac:dyDescent="0.3">
      <c r="A154" s="1">
        <v>99</v>
      </c>
      <c r="B154" s="221" t="s">
        <v>647</v>
      </c>
      <c r="C154" s="221"/>
      <c r="D154" s="24">
        <v>0</v>
      </c>
      <c r="E154" s="24">
        <v>0</v>
      </c>
      <c r="F154" s="24"/>
      <c r="G154" s="24"/>
      <c r="H154" s="24"/>
      <c r="I154" s="24"/>
      <c r="J154" s="47"/>
      <c r="K154" s="24"/>
      <c r="L154" s="27"/>
      <c r="M154" s="27"/>
      <c r="N154" s="27"/>
      <c r="O154" s="27"/>
      <c r="P154" s="101"/>
    </row>
    <row r="155" spans="1:16" s="19" customFormat="1" x14ac:dyDescent="0.3">
      <c r="A155" s="1">
        <v>100</v>
      </c>
      <c r="B155" s="221" t="s">
        <v>648</v>
      </c>
      <c r="C155" s="221"/>
      <c r="D155" s="24">
        <v>0</v>
      </c>
      <c r="E155" s="24">
        <v>0</v>
      </c>
      <c r="F155" s="24"/>
      <c r="G155" s="24"/>
      <c r="H155" s="24"/>
      <c r="I155" s="24"/>
      <c r="J155" s="47"/>
      <c r="K155" s="24"/>
      <c r="L155" s="27"/>
      <c r="M155" s="27"/>
      <c r="N155" s="27"/>
      <c r="O155" s="27"/>
      <c r="P155" s="100"/>
    </row>
    <row r="156" spans="1:16" x14ac:dyDescent="0.3">
      <c r="A156" s="1">
        <v>101</v>
      </c>
      <c r="B156" s="221" t="s">
        <v>649</v>
      </c>
      <c r="C156" s="221"/>
      <c r="D156" s="24">
        <v>0</v>
      </c>
      <c r="E156" s="24">
        <v>0</v>
      </c>
      <c r="F156" s="24"/>
      <c r="G156" s="24"/>
      <c r="H156" s="24"/>
      <c r="I156" s="24"/>
      <c r="J156" s="47"/>
      <c r="K156" s="24"/>
      <c r="L156" s="27"/>
      <c r="M156" s="27"/>
      <c r="N156" s="27"/>
      <c r="O156" s="27"/>
      <c r="P156" s="39"/>
    </row>
    <row r="157" spans="1:16" x14ac:dyDescent="0.3">
      <c r="A157" s="1">
        <v>102</v>
      </c>
      <c r="B157" s="221" t="s">
        <v>650</v>
      </c>
      <c r="C157" s="221"/>
      <c r="D157" s="24">
        <v>0</v>
      </c>
      <c r="E157" s="24">
        <v>0</v>
      </c>
      <c r="F157" s="24"/>
      <c r="G157" s="24"/>
      <c r="H157" s="24"/>
      <c r="I157" s="24"/>
      <c r="J157" s="47"/>
      <c r="K157" s="24"/>
      <c r="L157" s="27"/>
      <c r="M157" s="27"/>
      <c r="N157" s="27"/>
      <c r="O157" s="27"/>
      <c r="P157" s="128"/>
    </row>
    <row r="158" spans="1:16" x14ac:dyDescent="0.3">
      <c r="A158" s="1">
        <v>103</v>
      </c>
      <c r="B158" s="221" t="s">
        <v>651</v>
      </c>
      <c r="C158" s="221"/>
      <c r="D158" s="24">
        <f>SUM(2+0)</f>
        <v>2</v>
      </c>
      <c r="E158" s="24">
        <f>SUM(1+0)</f>
        <v>1</v>
      </c>
      <c r="F158" s="24">
        <v>0</v>
      </c>
      <c r="G158" s="24">
        <v>0</v>
      </c>
      <c r="H158" s="24">
        <v>0</v>
      </c>
      <c r="I158" s="24">
        <f>SUM(F158:H158)</f>
        <v>0</v>
      </c>
      <c r="J158" s="1">
        <v>0</v>
      </c>
      <c r="K158" s="24">
        <f>E158-I158-J158</f>
        <v>1</v>
      </c>
      <c r="L158" s="27">
        <f>I158/E158</f>
        <v>0</v>
      </c>
      <c r="M158" s="27">
        <f>J158/E158</f>
        <v>0</v>
      </c>
      <c r="N158" s="27">
        <f>K158/E158</f>
        <v>1</v>
      </c>
      <c r="O158" s="27">
        <v>1</v>
      </c>
      <c r="P158" s="128"/>
    </row>
    <row r="159" spans="1:16" ht="15.75" customHeight="1" x14ac:dyDescent="0.3">
      <c r="A159" s="1">
        <v>104</v>
      </c>
      <c r="B159" s="221" t="s">
        <v>652</v>
      </c>
      <c r="C159" s="221"/>
      <c r="D159" s="24">
        <v>0</v>
      </c>
      <c r="E159" s="24">
        <v>0</v>
      </c>
      <c r="F159" s="24"/>
      <c r="G159" s="24"/>
      <c r="H159" s="24"/>
      <c r="I159" s="24"/>
      <c r="J159" s="47"/>
      <c r="K159" s="24"/>
      <c r="L159" s="27"/>
      <c r="M159" s="27"/>
      <c r="N159" s="27"/>
      <c r="O159" s="27"/>
      <c r="P159" s="123"/>
    </row>
    <row r="160" spans="1:16" x14ac:dyDescent="0.3">
      <c r="A160" s="1">
        <v>105</v>
      </c>
      <c r="B160" s="221" t="s">
        <v>653</v>
      </c>
      <c r="C160" s="221"/>
      <c r="D160" s="24">
        <v>0</v>
      </c>
      <c r="E160" s="24">
        <v>0</v>
      </c>
      <c r="F160" s="24"/>
      <c r="G160" s="24"/>
      <c r="H160" s="24"/>
      <c r="I160" s="24"/>
      <c r="J160" s="47"/>
      <c r="K160" s="24"/>
      <c r="L160" s="27"/>
      <c r="M160" s="27"/>
      <c r="N160" s="27"/>
      <c r="O160" s="27"/>
      <c r="P160" s="95"/>
    </row>
    <row r="161" spans="1:16" x14ac:dyDescent="0.3">
      <c r="A161" s="1">
        <v>106</v>
      </c>
      <c r="B161" s="221" t="s">
        <v>654</v>
      </c>
      <c r="C161" s="221"/>
      <c r="D161" s="24">
        <v>0</v>
      </c>
      <c r="E161" s="24">
        <v>0</v>
      </c>
      <c r="F161" s="24"/>
      <c r="G161" s="24"/>
      <c r="H161" s="24"/>
      <c r="I161" s="24"/>
      <c r="J161" s="47"/>
      <c r="K161" s="24"/>
      <c r="L161" s="27"/>
      <c r="M161" s="27"/>
      <c r="N161" s="27"/>
      <c r="O161" s="27"/>
      <c r="P161" s="95"/>
    </row>
    <row r="162" spans="1:16" x14ac:dyDescent="0.3">
      <c r="A162" s="1">
        <v>107</v>
      </c>
      <c r="B162" s="221" t="s">
        <v>655</v>
      </c>
      <c r="C162" s="221"/>
      <c r="D162" s="24">
        <v>0</v>
      </c>
      <c r="E162" s="24">
        <v>0</v>
      </c>
      <c r="F162" s="24"/>
      <c r="G162" s="24"/>
      <c r="H162" s="24"/>
      <c r="I162" s="24"/>
      <c r="J162" s="47"/>
      <c r="K162" s="24"/>
      <c r="L162" s="27"/>
      <c r="M162" s="27"/>
      <c r="N162" s="27"/>
      <c r="O162" s="27"/>
      <c r="P162" s="95"/>
    </row>
    <row r="163" spans="1:16" x14ac:dyDescent="0.3">
      <c r="A163" s="1">
        <v>108</v>
      </c>
      <c r="B163" s="221" t="s">
        <v>656</v>
      </c>
      <c r="C163" s="221"/>
      <c r="D163" s="25">
        <f>SUM(13+0)</f>
        <v>13</v>
      </c>
      <c r="E163" s="24">
        <f>SUM(13+0)</f>
        <v>13</v>
      </c>
      <c r="F163" s="24">
        <v>0</v>
      </c>
      <c r="G163" s="24">
        <v>0</v>
      </c>
      <c r="H163" s="24">
        <v>0</v>
      </c>
      <c r="I163" s="24">
        <f>SUM(F163:H163)</f>
        <v>0</v>
      </c>
      <c r="J163" s="1">
        <v>0</v>
      </c>
      <c r="K163" s="24">
        <f>E163-I163-J163</f>
        <v>13</v>
      </c>
      <c r="L163" s="27">
        <f>I163/E163</f>
        <v>0</v>
      </c>
      <c r="M163" s="27">
        <f>J163/E163</f>
        <v>0</v>
      </c>
      <c r="N163" s="27">
        <f>K163/E163</f>
        <v>1</v>
      </c>
      <c r="O163" s="27">
        <v>1</v>
      </c>
      <c r="P163" s="95"/>
    </row>
    <row r="164" spans="1:16" x14ac:dyDescent="0.3">
      <c r="A164" s="1">
        <v>109</v>
      </c>
      <c r="B164" s="221" t="s">
        <v>657</v>
      </c>
      <c r="C164" s="221"/>
      <c r="D164" s="24">
        <v>0</v>
      </c>
      <c r="E164" s="24">
        <v>0</v>
      </c>
      <c r="F164" s="24"/>
      <c r="G164" s="24"/>
      <c r="H164" s="24"/>
      <c r="I164" s="24"/>
      <c r="J164" s="47"/>
      <c r="K164" s="24"/>
      <c r="L164" s="27"/>
      <c r="M164" s="27"/>
      <c r="N164" s="27"/>
      <c r="O164" s="27"/>
      <c r="P164" s="29"/>
    </row>
    <row r="165" spans="1:16" x14ac:dyDescent="0.3">
      <c r="A165" s="1">
        <v>110</v>
      </c>
      <c r="B165" s="221" t="s">
        <v>658</v>
      </c>
      <c r="C165" s="221"/>
      <c r="D165" s="24">
        <v>0</v>
      </c>
      <c r="E165" s="24">
        <v>0</v>
      </c>
      <c r="F165" s="24"/>
      <c r="G165" s="24"/>
      <c r="H165" s="24"/>
      <c r="I165" s="24"/>
      <c r="J165" s="47"/>
      <c r="K165" s="24"/>
      <c r="L165" s="27"/>
      <c r="M165" s="27"/>
      <c r="N165" s="27"/>
      <c r="O165" s="27"/>
      <c r="P165" s="29"/>
    </row>
    <row r="166" spans="1:16" x14ac:dyDescent="0.3">
      <c r="A166" s="1">
        <v>111</v>
      </c>
      <c r="B166" s="221" t="s">
        <v>659</v>
      </c>
      <c r="C166" s="221"/>
      <c r="D166" s="24">
        <v>0</v>
      </c>
      <c r="E166" s="24">
        <v>0</v>
      </c>
      <c r="F166" s="24"/>
      <c r="G166" s="24"/>
      <c r="H166" s="24"/>
      <c r="I166" s="24"/>
      <c r="J166" s="47"/>
      <c r="K166" s="24"/>
      <c r="L166" s="27"/>
      <c r="M166" s="27"/>
      <c r="N166" s="27"/>
      <c r="O166" s="27"/>
      <c r="P166" s="29"/>
    </row>
    <row r="167" spans="1:16" ht="15.75" customHeight="1" x14ac:dyDescent="0.3">
      <c r="A167" s="1">
        <v>112</v>
      </c>
      <c r="B167" s="221" t="s">
        <v>660</v>
      </c>
      <c r="C167" s="221"/>
      <c r="D167" s="24">
        <v>0</v>
      </c>
      <c r="E167" s="24">
        <v>0</v>
      </c>
      <c r="F167" s="24"/>
      <c r="G167" s="24"/>
      <c r="H167" s="24"/>
      <c r="I167" s="24"/>
      <c r="J167" s="47"/>
      <c r="K167" s="24"/>
      <c r="L167" s="27"/>
      <c r="M167" s="27"/>
      <c r="N167" s="27"/>
      <c r="O167" s="27"/>
      <c r="P167" s="29"/>
    </row>
    <row r="168" spans="1:16" x14ac:dyDescent="0.3">
      <c r="A168" s="144">
        <v>113</v>
      </c>
      <c r="B168" s="221" t="s">
        <v>661</v>
      </c>
      <c r="C168" s="221"/>
      <c r="D168" s="24">
        <v>0</v>
      </c>
      <c r="E168" s="24">
        <v>0</v>
      </c>
      <c r="F168" s="24"/>
      <c r="G168" s="24"/>
      <c r="H168" s="24"/>
      <c r="I168" s="24"/>
      <c r="J168" s="47"/>
      <c r="K168" s="24"/>
      <c r="L168" s="27"/>
      <c r="M168" s="27"/>
      <c r="N168" s="27"/>
      <c r="O168" s="27"/>
      <c r="P168" s="123"/>
    </row>
    <row r="169" spans="1:16" x14ac:dyDescent="0.3">
      <c r="A169" s="144">
        <v>114</v>
      </c>
      <c r="B169" s="221" t="s">
        <v>662</v>
      </c>
      <c r="C169" s="221"/>
      <c r="D169" s="24">
        <v>0</v>
      </c>
      <c r="E169" s="24">
        <v>0</v>
      </c>
      <c r="F169" s="24"/>
      <c r="G169" s="24"/>
      <c r="H169" s="24"/>
      <c r="I169" s="24"/>
      <c r="J169" s="47"/>
      <c r="K169" s="24"/>
      <c r="L169" s="27"/>
      <c r="M169" s="27"/>
      <c r="N169" s="27"/>
      <c r="O169" s="27"/>
      <c r="P169" s="29"/>
    </row>
    <row r="170" spans="1:16" x14ac:dyDescent="0.3">
      <c r="B170" s="220"/>
      <c r="C170" s="220"/>
    </row>
    <row r="171" spans="1:16" x14ac:dyDescent="0.3">
      <c r="B171" s="10"/>
      <c r="C171" s="10"/>
    </row>
    <row r="172" spans="1:16" x14ac:dyDescent="0.3">
      <c r="B172" s="10"/>
      <c r="C172" s="10"/>
    </row>
    <row r="173" spans="1:16" x14ac:dyDescent="0.3">
      <c r="B173" s="10"/>
      <c r="C173" s="10"/>
    </row>
    <row r="174" spans="1:16" x14ac:dyDescent="0.3">
      <c r="B174" s="10"/>
      <c r="C174" s="10"/>
    </row>
    <row r="175" spans="1:16" x14ac:dyDescent="0.3">
      <c r="B175" s="10"/>
      <c r="C175" s="10"/>
    </row>
    <row r="176" spans="1:16" x14ac:dyDescent="0.3">
      <c r="B176" s="10"/>
      <c r="C176" s="10"/>
    </row>
    <row r="177" spans="2:3" x14ac:dyDescent="0.3">
      <c r="B177" s="10"/>
      <c r="C177" s="10"/>
    </row>
    <row r="178" spans="2:3" x14ac:dyDescent="0.3">
      <c r="B178" s="10"/>
      <c r="C178" s="10"/>
    </row>
    <row r="179" spans="2:3" x14ac:dyDescent="0.3">
      <c r="B179" s="10"/>
      <c r="C179" s="10"/>
    </row>
    <row r="180" spans="2:3" x14ac:dyDescent="0.3">
      <c r="B180" s="10"/>
      <c r="C180" s="10"/>
    </row>
    <row r="181" spans="2:3" x14ac:dyDescent="0.3">
      <c r="B181" s="10"/>
      <c r="C181" s="10"/>
    </row>
    <row r="182" spans="2:3" x14ac:dyDescent="0.3">
      <c r="B182" s="10"/>
      <c r="C182" s="10"/>
    </row>
    <row r="183" spans="2:3" x14ac:dyDescent="0.3">
      <c r="B183" s="10"/>
      <c r="C183" s="10"/>
    </row>
    <row r="184" spans="2:3" x14ac:dyDescent="0.3">
      <c r="B184" s="10"/>
      <c r="C184" s="10"/>
    </row>
    <row r="185" spans="2:3" x14ac:dyDescent="0.3">
      <c r="B185" s="10"/>
      <c r="C185" s="10"/>
    </row>
    <row r="186" spans="2:3" x14ac:dyDescent="0.3">
      <c r="B186" s="10"/>
      <c r="C186" s="10"/>
    </row>
    <row r="187" spans="2:3" x14ac:dyDescent="0.3">
      <c r="B187" s="10"/>
      <c r="C187" s="10"/>
    </row>
    <row r="188" spans="2:3" x14ac:dyDescent="0.3">
      <c r="B188" s="10"/>
      <c r="C188" s="10"/>
    </row>
    <row r="189" spans="2:3" x14ac:dyDescent="0.3">
      <c r="B189" s="10"/>
      <c r="C189" s="10"/>
    </row>
    <row r="190" spans="2:3" x14ac:dyDescent="0.3">
      <c r="B190" s="10"/>
      <c r="C190" s="10"/>
    </row>
    <row r="191" spans="2:3" x14ac:dyDescent="0.3">
      <c r="B191" s="10"/>
      <c r="C191" s="10"/>
    </row>
    <row r="192" spans="2:3" x14ac:dyDescent="0.3">
      <c r="B192" s="10"/>
      <c r="C192" s="10"/>
    </row>
    <row r="193" spans="2:3" x14ac:dyDescent="0.3">
      <c r="B193" s="10"/>
      <c r="C193" s="10"/>
    </row>
    <row r="194" spans="2:3" x14ac:dyDescent="0.3">
      <c r="B194" s="10"/>
      <c r="C194" s="10"/>
    </row>
    <row r="195" spans="2:3" x14ac:dyDescent="0.3">
      <c r="B195" s="10"/>
      <c r="C195" s="10"/>
    </row>
    <row r="196" spans="2:3" x14ac:dyDescent="0.3">
      <c r="B196" s="10"/>
      <c r="C196" s="10"/>
    </row>
    <row r="197" spans="2:3" x14ac:dyDescent="0.3">
      <c r="B197" s="10"/>
      <c r="C197" s="10"/>
    </row>
    <row r="198" spans="2:3" x14ac:dyDescent="0.3">
      <c r="B198" s="10"/>
      <c r="C198" s="10"/>
    </row>
    <row r="199" spans="2:3" x14ac:dyDescent="0.3">
      <c r="B199" s="10"/>
      <c r="C199" s="10"/>
    </row>
    <row r="200" spans="2:3" x14ac:dyDescent="0.3">
      <c r="B200" s="10"/>
      <c r="C200" s="10"/>
    </row>
    <row r="201" spans="2:3" x14ac:dyDescent="0.3">
      <c r="B201" s="10"/>
      <c r="C201" s="10"/>
    </row>
    <row r="202" spans="2:3" x14ac:dyDescent="0.3">
      <c r="B202" s="10"/>
      <c r="C202" s="10"/>
    </row>
    <row r="203" spans="2:3" x14ac:dyDescent="0.3">
      <c r="B203" s="10"/>
      <c r="C203" s="10"/>
    </row>
    <row r="204" spans="2:3" x14ac:dyDescent="0.3">
      <c r="B204" s="10"/>
      <c r="C204" s="10"/>
    </row>
    <row r="205" spans="2:3" x14ac:dyDescent="0.3">
      <c r="B205" s="10"/>
      <c r="C205" s="10"/>
    </row>
    <row r="206" spans="2:3" x14ac:dyDescent="0.3">
      <c r="B206" s="10"/>
      <c r="C206" s="10"/>
    </row>
    <row r="207" spans="2:3" x14ac:dyDescent="0.3">
      <c r="B207" s="10"/>
      <c r="C207" s="10"/>
    </row>
    <row r="208" spans="2:3" x14ac:dyDescent="0.3">
      <c r="B208" s="10"/>
      <c r="C208" s="10"/>
    </row>
    <row r="209" spans="2:3" x14ac:dyDescent="0.3">
      <c r="B209" s="10"/>
      <c r="C209" s="10"/>
    </row>
    <row r="210" spans="2:3" x14ac:dyDescent="0.3">
      <c r="B210" s="10"/>
      <c r="C210" s="10"/>
    </row>
    <row r="211" spans="2:3" x14ac:dyDescent="0.3">
      <c r="B211" s="10"/>
      <c r="C211" s="10"/>
    </row>
    <row r="212" spans="2:3" x14ac:dyDescent="0.3">
      <c r="B212" s="10"/>
      <c r="C212" s="10"/>
    </row>
    <row r="213" spans="2:3" x14ac:dyDescent="0.3">
      <c r="B213" s="10"/>
      <c r="C213" s="10"/>
    </row>
    <row r="214" spans="2:3" x14ac:dyDescent="0.3">
      <c r="B214" s="10"/>
      <c r="C214" s="10"/>
    </row>
    <row r="215" spans="2:3" x14ac:dyDescent="0.3">
      <c r="B215" s="10"/>
      <c r="C215" s="10"/>
    </row>
    <row r="216" spans="2:3" x14ac:dyDescent="0.3">
      <c r="B216" s="10"/>
      <c r="C216" s="10"/>
    </row>
    <row r="217" spans="2:3" x14ac:dyDescent="0.3">
      <c r="B217" s="10"/>
      <c r="C217" s="10"/>
    </row>
    <row r="218" spans="2:3" x14ac:dyDescent="0.3">
      <c r="B218" s="10"/>
      <c r="C218" s="10"/>
    </row>
    <row r="219" spans="2:3" x14ac:dyDescent="0.3">
      <c r="B219" s="10"/>
      <c r="C219" s="10"/>
    </row>
    <row r="220" spans="2:3" x14ac:dyDescent="0.3">
      <c r="B220" s="10"/>
      <c r="C220" s="10"/>
    </row>
    <row r="221" spans="2:3" x14ac:dyDescent="0.3">
      <c r="B221" s="10"/>
      <c r="C221" s="10"/>
    </row>
    <row r="222" spans="2:3" x14ac:dyDescent="0.3">
      <c r="B222" s="10"/>
      <c r="C222" s="10"/>
    </row>
    <row r="223" spans="2:3" x14ac:dyDescent="0.3">
      <c r="B223" s="10"/>
      <c r="C223" s="10"/>
    </row>
    <row r="224" spans="2:3" x14ac:dyDescent="0.3">
      <c r="B224" s="10"/>
      <c r="C224" s="10"/>
    </row>
    <row r="225" spans="2:3" x14ac:dyDescent="0.3">
      <c r="B225" s="10"/>
      <c r="C225" s="10"/>
    </row>
    <row r="226" spans="2:3" x14ac:dyDescent="0.3">
      <c r="B226" s="10"/>
      <c r="C226" s="10"/>
    </row>
    <row r="227" spans="2:3" x14ac:dyDescent="0.3">
      <c r="B227" s="10"/>
      <c r="C227" s="10"/>
    </row>
    <row r="228" spans="2:3" x14ac:dyDescent="0.3">
      <c r="B228" s="10"/>
      <c r="C228" s="10"/>
    </row>
    <row r="229" spans="2:3" x14ac:dyDescent="0.3">
      <c r="B229" s="10"/>
      <c r="C229" s="10"/>
    </row>
    <row r="230" spans="2:3" x14ac:dyDescent="0.3">
      <c r="B230" s="10"/>
      <c r="C230" s="10"/>
    </row>
    <row r="231" spans="2:3" x14ac:dyDescent="0.3">
      <c r="B231" s="10"/>
      <c r="C231" s="10"/>
    </row>
    <row r="232" spans="2:3" x14ac:dyDescent="0.3">
      <c r="B232" s="10"/>
      <c r="C232" s="10"/>
    </row>
    <row r="233" spans="2:3" x14ac:dyDescent="0.3">
      <c r="B233" s="10"/>
      <c r="C233" s="10"/>
    </row>
    <row r="234" spans="2:3" x14ac:dyDescent="0.3">
      <c r="B234" s="10"/>
      <c r="C234" s="10"/>
    </row>
    <row r="235" spans="2:3" x14ac:dyDescent="0.3">
      <c r="B235" s="10"/>
      <c r="C235" s="10"/>
    </row>
    <row r="236" spans="2:3" x14ac:dyDescent="0.3">
      <c r="B236" s="10"/>
      <c r="C236" s="10"/>
    </row>
    <row r="237" spans="2:3" x14ac:dyDescent="0.3">
      <c r="B237" s="10"/>
      <c r="C237" s="10"/>
    </row>
    <row r="238" spans="2:3" x14ac:dyDescent="0.3">
      <c r="B238" s="10"/>
      <c r="C238" s="10"/>
    </row>
    <row r="239" spans="2:3" x14ac:dyDescent="0.3">
      <c r="B239" s="10"/>
      <c r="C239" s="10"/>
    </row>
    <row r="240" spans="2:3" x14ac:dyDescent="0.3">
      <c r="B240" s="10"/>
      <c r="C240" s="10"/>
    </row>
    <row r="241" spans="2:3" x14ac:dyDescent="0.3">
      <c r="B241" s="10"/>
      <c r="C241" s="10"/>
    </row>
    <row r="242" spans="2:3" x14ac:dyDescent="0.3">
      <c r="B242" s="10"/>
      <c r="C242" s="10"/>
    </row>
    <row r="243" spans="2:3" x14ac:dyDescent="0.3">
      <c r="B243" s="10"/>
      <c r="C243" s="10"/>
    </row>
    <row r="244" spans="2:3" x14ac:dyDescent="0.3">
      <c r="B244" s="10"/>
      <c r="C244" s="10"/>
    </row>
    <row r="245" spans="2:3" x14ac:dyDescent="0.3">
      <c r="B245" s="10"/>
      <c r="C245" s="10"/>
    </row>
    <row r="246" spans="2:3" x14ac:dyDescent="0.3">
      <c r="B246" s="10"/>
      <c r="C246" s="10"/>
    </row>
    <row r="247" spans="2:3" x14ac:dyDescent="0.3">
      <c r="B247" s="10"/>
      <c r="C247" s="10"/>
    </row>
    <row r="248" spans="2:3" x14ac:dyDescent="0.3">
      <c r="B248" s="10"/>
      <c r="C248" s="10"/>
    </row>
    <row r="249" spans="2:3" x14ac:dyDescent="0.3">
      <c r="B249" s="10"/>
      <c r="C249" s="10"/>
    </row>
    <row r="250" spans="2:3" x14ac:dyDescent="0.3">
      <c r="B250" s="10"/>
      <c r="C250" s="10"/>
    </row>
    <row r="251" spans="2:3" x14ac:dyDescent="0.3">
      <c r="B251" s="10"/>
      <c r="C251" s="10"/>
    </row>
    <row r="252" spans="2:3" x14ac:dyDescent="0.3">
      <c r="B252" s="10"/>
      <c r="C252" s="10"/>
    </row>
    <row r="253" spans="2:3" x14ac:dyDescent="0.3">
      <c r="B253" s="10"/>
      <c r="C253" s="10"/>
    </row>
    <row r="254" spans="2:3" x14ac:dyDescent="0.3">
      <c r="B254" s="10"/>
      <c r="C254" s="10"/>
    </row>
    <row r="255" spans="2:3" x14ac:dyDescent="0.3">
      <c r="B255" s="10"/>
      <c r="C255" s="10"/>
    </row>
    <row r="256" spans="2:3" x14ac:dyDescent="0.3">
      <c r="B256" s="10"/>
      <c r="C256" s="10"/>
    </row>
    <row r="257" spans="2:3" x14ac:dyDescent="0.3">
      <c r="B257" s="10"/>
      <c r="C257" s="10"/>
    </row>
    <row r="258" spans="2:3" x14ac:dyDescent="0.3">
      <c r="B258" s="10"/>
      <c r="C258" s="10"/>
    </row>
    <row r="259" spans="2:3" x14ac:dyDescent="0.3">
      <c r="B259" s="10"/>
      <c r="C259" s="10"/>
    </row>
    <row r="260" spans="2:3" x14ac:dyDescent="0.3">
      <c r="B260" s="10"/>
      <c r="C260" s="10"/>
    </row>
    <row r="261" spans="2:3" x14ac:dyDescent="0.3">
      <c r="B261" s="10"/>
      <c r="C261" s="10"/>
    </row>
    <row r="262" spans="2:3" x14ac:dyDescent="0.3">
      <c r="B262" s="10"/>
      <c r="C262" s="10"/>
    </row>
    <row r="263" spans="2:3" x14ac:dyDescent="0.3">
      <c r="B263" s="10"/>
      <c r="C263" s="10"/>
    </row>
    <row r="264" spans="2:3" x14ac:dyDescent="0.3">
      <c r="B264" s="10"/>
      <c r="C264" s="10"/>
    </row>
    <row r="265" spans="2:3" x14ac:dyDescent="0.3">
      <c r="B265" s="10"/>
      <c r="C265" s="10"/>
    </row>
    <row r="266" spans="2:3" x14ac:dyDescent="0.3">
      <c r="B266" s="10"/>
      <c r="C266" s="10"/>
    </row>
    <row r="267" spans="2:3" x14ac:dyDescent="0.3">
      <c r="B267" s="10"/>
      <c r="C267" s="10"/>
    </row>
    <row r="268" spans="2:3" x14ac:dyDescent="0.3">
      <c r="B268" s="10"/>
      <c r="C268" s="10"/>
    </row>
    <row r="269" spans="2:3" x14ac:dyDescent="0.3">
      <c r="B269" s="10"/>
      <c r="C269" s="10"/>
    </row>
    <row r="270" spans="2:3" x14ac:dyDescent="0.3">
      <c r="B270" s="10"/>
      <c r="C270" s="10"/>
    </row>
    <row r="271" spans="2:3" x14ac:dyDescent="0.3">
      <c r="B271" s="10"/>
      <c r="C271" s="10"/>
    </row>
    <row r="272" spans="2:3" x14ac:dyDescent="0.3">
      <c r="B272" s="10"/>
      <c r="C272" s="10"/>
    </row>
    <row r="273" spans="2:3" x14ac:dyDescent="0.3">
      <c r="B273" s="10"/>
      <c r="C273" s="10"/>
    </row>
    <row r="274" spans="2:3" x14ac:dyDescent="0.3">
      <c r="B274" s="10"/>
      <c r="C274" s="10"/>
    </row>
    <row r="275" spans="2:3" x14ac:dyDescent="0.3">
      <c r="B275" s="10"/>
      <c r="C275" s="10"/>
    </row>
    <row r="276" spans="2:3" x14ac:dyDescent="0.3">
      <c r="B276" s="10"/>
      <c r="C276" s="10"/>
    </row>
    <row r="277" spans="2:3" x14ac:dyDescent="0.3">
      <c r="B277" s="10"/>
      <c r="C277" s="10"/>
    </row>
    <row r="278" spans="2:3" x14ac:dyDescent="0.3">
      <c r="B278" s="10"/>
      <c r="C278" s="10"/>
    </row>
    <row r="279" spans="2:3" x14ac:dyDescent="0.3">
      <c r="B279" s="10"/>
      <c r="C279" s="10"/>
    </row>
    <row r="280" spans="2:3" x14ac:dyDescent="0.3">
      <c r="B280" s="10"/>
      <c r="C280" s="10"/>
    </row>
    <row r="281" spans="2:3" x14ac:dyDescent="0.3">
      <c r="B281" s="10"/>
      <c r="C281" s="10"/>
    </row>
    <row r="282" spans="2:3" x14ac:dyDescent="0.3">
      <c r="B282" s="10"/>
      <c r="C282" s="10"/>
    </row>
    <row r="283" spans="2:3" x14ac:dyDescent="0.3">
      <c r="B283" s="10"/>
      <c r="C283" s="10"/>
    </row>
    <row r="284" spans="2:3" x14ac:dyDescent="0.3">
      <c r="B284" s="10"/>
      <c r="C284" s="10"/>
    </row>
    <row r="285" spans="2:3" x14ac:dyDescent="0.3">
      <c r="B285" s="10"/>
      <c r="C285" s="10"/>
    </row>
    <row r="286" spans="2:3" x14ac:dyDescent="0.3">
      <c r="B286" s="10"/>
      <c r="C286" s="10"/>
    </row>
    <row r="287" spans="2:3" x14ac:dyDescent="0.3">
      <c r="B287" s="10"/>
      <c r="C287" s="10"/>
    </row>
    <row r="288" spans="2:3" x14ac:dyDescent="0.3">
      <c r="B288" s="10"/>
      <c r="C288" s="10"/>
    </row>
    <row r="289" spans="2:3" x14ac:dyDescent="0.3">
      <c r="B289" s="10"/>
      <c r="C289" s="10"/>
    </row>
    <row r="290" spans="2:3" x14ac:dyDescent="0.3">
      <c r="B290" s="10"/>
      <c r="C290" s="10"/>
    </row>
    <row r="291" spans="2:3" x14ac:dyDescent="0.3">
      <c r="B291" s="10"/>
      <c r="C291" s="10"/>
    </row>
    <row r="292" spans="2:3" x14ac:dyDescent="0.3">
      <c r="B292" s="10"/>
      <c r="C292" s="10"/>
    </row>
    <row r="293" spans="2:3" x14ac:dyDescent="0.3">
      <c r="B293" s="10"/>
      <c r="C293" s="10"/>
    </row>
    <row r="294" spans="2:3" x14ac:dyDescent="0.3">
      <c r="B294" s="10"/>
      <c r="C294" s="10"/>
    </row>
    <row r="295" spans="2:3" x14ac:dyDescent="0.3">
      <c r="B295" s="10"/>
      <c r="C295" s="10"/>
    </row>
    <row r="296" spans="2:3" x14ac:dyDescent="0.3">
      <c r="B296" s="10"/>
      <c r="C296" s="10"/>
    </row>
    <row r="297" spans="2:3" x14ac:dyDescent="0.3">
      <c r="B297" s="10"/>
      <c r="C297" s="10"/>
    </row>
    <row r="298" spans="2:3" x14ac:dyDescent="0.3">
      <c r="B298" s="10"/>
      <c r="C298" s="10"/>
    </row>
    <row r="299" spans="2:3" x14ac:dyDescent="0.3">
      <c r="B299" s="10"/>
      <c r="C299" s="10"/>
    </row>
    <row r="300" spans="2:3" x14ac:dyDescent="0.3">
      <c r="B300" s="10"/>
      <c r="C300" s="10"/>
    </row>
    <row r="301" spans="2:3" x14ac:dyDescent="0.3">
      <c r="B301" s="10"/>
      <c r="C301" s="10"/>
    </row>
    <row r="302" spans="2:3" x14ac:dyDescent="0.3">
      <c r="B302" s="10"/>
      <c r="C302" s="10"/>
    </row>
    <row r="303" spans="2:3" x14ac:dyDescent="0.3">
      <c r="B303" s="10"/>
      <c r="C303" s="10"/>
    </row>
    <row r="304" spans="2:3" x14ac:dyDescent="0.3">
      <c r="B304" s="10"/>
      <c r="C304" s="10"/>
    </row>
    <row r="305" spans="2:3" x14ac:dyDescent="0.3">
      <c r="B305" s="10"/>
      <c r="C305" s="10"/>
    </row>
    <row r="306" spans="2:3" x14ac:dyDescent="0.3">
      <c r="B306" s="10"/>
      <c r="C306" s="10"/>
    </row>
    <row r="307" spans="2:3" x14ac:dyDescent="0.3">
      <c r="B307" s="10"/>
      <c r="C307" s="10"/>
    </row>
    <row r="308" spans="2:3" x14ac:dyDescent="0.3">
      <c r="B308" s="10"/>
      <c r="C308" s="10"/>
    </row>
    <row r="309" spans="2:3" x14ac:dyDescent="0.3">
      <c r="B309" s="10"/>
      <c r="C309" s="10"/>
    </row>
    <row r="310" spans="2:3" x14ac:dyDescent="0.3">
      <c r="B310" s="10"/>
      <c r="C310" s="10"/>
    </row>
    <row r="311" spans="2:3" x14ac:dyDescent="0.3">
      <c r="B311" s="10"/>
      <c r="C311" s="10"/>
    </row>
    <row r="312" spans="2:3" x14ac:dyDescent="0.3">
      <c r="B312" s="10"/>
      <c r="C312" s="10"/>
    </row>
    <row r="313" spans="2:3" x14ac:dyDescent="0.3">
      <c r="B313" s="10"/>
      <c r="C313" s="10"/>
    </row>
    <row r="314" spans="2:3" x14ac:dyDescent="0.3">
      <c r="B314" s="10"/>
      <c r="C314" s="10"/>
    </row>
    <row r="315" spans="2:3" x14ac:dyDescent="0.3">
      <c r="B315" s="10"/>
      <c r="C315" s="10"/>
    </row>
    <row r="316" spans="2:3" x14ac:dyDescent="0.3">
      <c r="B316" s="10"/>
      <c r="C316" s="10"/>
    </row>
    <row r="317" spans="2:3" x14ac:dyDescent="0.3">
      <c r="B317" s="10"/>
      <c r="C317" s="10"/>
    </row>
    <row r="318" spans="2:3" x14ac:dyDescent="0.3">
      <c r="B318" s="10"/>
      <c r="C318" s="10"/>
    </row>
    <row r="319" spans="2:3" x14ac:dyDescent="0.3">
      <c r="B319" s="10"/>
      <c r="C319" s="10"/>
    </row>
    <row r="320" spans="2:3" x14ac:dyDescent="0.3">
      <c r="B320" s="10"/>
      <c r="C320" s="10"/>
    </row>
    <row r="321" spans="2:3" x14ac:dyDescent="0.3">
      <c r="B321" s="10"/>
      <c r="C321" s="10"/>
    </row>
    <row r="322" spans="2:3" x14ac:dyDescent="0.3">
      <c r="B322" s="10"/>
      <c r="C322" s="10"/>
    </row>
    <row r="323" spans="2:3" x14ac:dyDescent="0.3">
      <c r="B323" s="10"/>
      <c r="C323" s="10"/>
    </row>
    <row r="324" spans="2:3" x14ac:dyDescent="0.3">
      <c r="B324" s="10"/>
      <c r="C324" s="10"/>
    </row>
    <row r="325" spans="2:3" x14ac:dyDescent="0.3">
      <c r="B325" s="10"/>
      <c r="C325" s="10"/>
    </row>
    <row r="326" spans="2:3" x14ac:dyDescent="0.3">
      <c r="B326" s="10"/>
      <c r="C326" s="10"/>
    </row>
    <row r="327" spans="2:3" x14ac:dyDescent="0.3">
      <c r="B327" s="10"/>
      <c r="C327" s="10"/>
    </row>
    <row r="328" spans="2:3" x14ac:dyDescent="0.3">
      <c r="B328" s="10"/>
      <c r="C328" s="10"/>
    </row>
    <row r="329" spans="2:3" x14ac:dyDescent="0.3">
      <c r="B329" s="10"/>
      <c r="C329" s="10"/>
    </row>
    <row r="330" spans="2:3" x14ac:dyDescent="0.3">
      <c r="B330" s="10"/>
      <c r="C330" s="10"/>
    </row>
    <row r="331" spans="2:3" x14ac:dyDescent="0.3">
      <c r="B331" s="10"/>
      <c r="C331" s="10"/>
    </row>
    <row r="332" spans="2:3" x14ac:dyDescent="0.3">
      <c r="B332" s="10"/>
      <c r="C332" s="10"/>
    </row>
    <row r="333" spans="2:3" x14ac:dyDescent="0.3">
      <c r="B333" s="10"/>
      <c r="C333" s="10"/>
    </row>
    <row r="334" spans="2:3" x14ac:dyDescent="0.3">
      <c r="B334" s="10"/>
      <c r="C334" s="10"/>
    </row>
    <row r="335" spans="2:3" x14ac:dyDescent="0.3">
      <c r="B335" s="10"/>
      <c r="C335" s="10"/>
    </row>
    <row r="336" spans="2:3" x14ac:dyDescent="0.3">
      <c r="B336" s="10"/>
      <c r="C336" s="10"/>
    </row>
    <row r="337" spans="2:3" x14ac:dyDescent="0.3">
      <c r="B337" s="10"/>
      <c r="C337" s="10"/>
    </row>
    <row r="338" spans="2:3" x14ac:dyDescent="0.3">
      <c r="B338" s="10"/>
      <c r="C338" s="10"/>
    </row>
    <row r="339" spans="2:3" x14ac:dyDescent="0.3">
      <c r="B339" s="10"/>
      <c r="C339" s="10"/>
    </row>
    <row r="340" spans="2:3" x14ac:dyDescent="0.3">
      <c r="B340" s="10"/>
      <c r="C340" s="10"/>
    </row>
    <row r="341" spans="2:3" x14ac:dyDescent="0.3">
      <c r="B341" s="10"/>
      <c r="C341" s="10"/>
    </row>
    <row r="342" spans="2:3" x14ac:dyDescent="0.3">
      <c r="B342" s="10"/>
      <c r="C342" s="10"/>
    </row>
    <row r="343" spans="2:3" x14ac:dyDescent="0.3">
      <c r="B343" s="10"/>
      <c r="C343" s="10"/>
    </row>
    <row r="344" spans="2:3" x14ac:dyDescent="0.3">
      <c r="B344" s="10"/>
      <c r="C344" s="10"/>
    </row>
    <row r="345" spans="2:3" x14ac:dyDescent="0.3">
      <c r="B345" s="10"/>
      <c r="C345" s="10"/>
    </row>
    <row r="346" spans="2:3" x14ac:dyDescent="0.3">
      <c r="B346" s="10"/>
      <c r="C346" s="10"/>
    </row>
    <row r="347" spans="2:3" x14ac:dyDescent="0.3">
      <c r="B347" s="10"/>
      <c r="C347" s="10"/>
    </row>
    <row r="348" spans="2:3" x14ac:dyDescent="0.3">
      <c r="B348" s="10"/>
      <c r="C348" s="10"/>
    </row>
    <row r="349" spans="2:3" x14ac:dyDescent="0.3">
      <c r="B349" s="10"/>
      <c r="C349" s="10"/>
    </row>
    <row r="350" spans="2:3" x14ac:dyDescent="0.3">
      <c r="B350" s="10"/>
      <c r="C350" s="10"/>
    </row>
    <row r="351" spans="2:3" x14ac:dyDescent="0.3">
      <c r="B351" s="10"/>
      <c r="C351" s="10"/>
    </row>
    <row r="352" spans="2:3" x14ac:dyDescent="0.3">
      <c r="B352" s="10"/>
      <c r="C352" s="10"/>
    </row>
    <row r="353" spans="2:3" x14ac:dyDescent="0.3">
      <c r="B353" s="10"/>
      <c r="C353" s="10"/>
    </row>
    <row r="354" spans="2:3" x14ac:dyDescent="0.3">
      <c r="B354" s="10"/>
      <c r="C354" s="10"/>
    </row>
    <row r="355" spans="2:3" x14ac:dyDescent="0.3">
      <c r="B355" s="10"/>
      <c r="C355" s="10"/>
    </row>
    <row r="356" spans="2:3" x14ac:dyDescent="0.3">
      <c r="B356" s="10"/>
      <c r="C356" s="10"/>
    </row>
    <row r="357" spans="2:3" x14ac:dyDescent="0.3">
      <c r="B357" s="10"/>
      <c r="C357" s="10"/>
    </row>
    <row r="358" spans="2:3" x14ac:dyDescent="0.3">
      <c r="B358" s="10"/>
      <c r="C358" s="10"/>
    </row>
    <row r="359" spans="2:3" x14ac:dyDescent="0.3">
      <c r="B359" s="10"/>
      <c r="C359" s="10"/>
    </row>
    <row r="360" spans="2:3" x14ac:dyDescent="0.3">
      <c r="B360" s="10"/>
      <c r="C360" s="10"/>
    </row>
    <row r="361" spans="2:3" x14ac:dyDescent="0.3">
      <c r="B361" s="10"/>
      <c r="C361" s="10"/>
    </row>
    <row r="362" spans="2:3" x14ac:dyDescent="0.3">
      <c r="B362" s="10"/>
      <c r="C362" s="10"/>
    </row>
    <row r="363" spans="2:3" x14ac:dyDescent="0.3">
      <c r="B363" s="10"/>
      <c r="C363" s="10"/>
    </row>
    <row r="364" spans="2:3" x14ac:dyDescent="0.3">
      <c r="B364" s="10"/>
      <c r="C364" s="10"/>
    </row>
    <row r="365" spans="2:3" x14ac:dyDescent="0.3">
      <c r="B365" s="10"/>
      <c r="C365" s="10"/>
    </row>
    <row r="366" spans="2:3" x14ac:dyDescent="0.3">
      <c r="B366" s="10"/>
      <c r="C366" s="10"/>
    </row>
    <row r="367" spans="2:3" x14ac:dyDescent="0.3">
      <c r="B367" s="10"/>
      <c r="C367" s="10"/>
    </row>
    <row r="368" spans="2:3" x14ac:dyDescent="0.3">
      <c r="B368" s="10"/>
      <c r="C368" s="10"/>
    </row>
    <row r="369" spans="2:3" x14ac:dyDescent="0.3">
      <c r="B369" s="10"/>
      <c r="C369" s="10"/>
    </row>
    <row r="370" spans="2:3" x14ac:dyDescent="0.3">
      <c r="B370" s="10"/>
      <c r="C370" s="10"/>
    </row>
    <row r="371" spans="2:3" x14ac:dyDescent="0.3">
      <c r="B371" s="10"/>
      <c r="C371" s="10"/>
    </row>
    <row r="372" spans="2:3" x14ac:dyDescent="0.3">
      <c r="B372" s="10"/>
      <c r="C372" s="10"/>
    </row>
    <row r="373" spans="2:3" x14ac:dyDescent="0.3">
      <c r="B373" s="10"/>
      <c r="C373" s="10"/>
    </row>
    <row r="374" spans="2:3" x14ac:dyDescent="0.3">
      <c r="B374" s="10"/>
      <c r="C374" s="10"/>
    </row>
    <row r="375" spans="2:3" x14ac:dyDescent="0.3">
      <c r="B375" s="10"/>
      <c r="C375" s="10"/>
    </row>
    <row r="376" spans="2:3" x14ac:dyDescent="0.3">
      <c r="B376" s="10"/>
      <c r="C376" s="10"/>
    </row>
    <row r="377" spans="2:3" x14ac:dyDescent="0.3">
      <c r="B377" s="10"/>
      <c r="C377" s="10"/>
    </row>
    <row r="378" spans="2:3" x14ac:dyDescent="0.3">
      <c r="B378" s="10"/>
      <c r="C378" s="10"/>
    </row>
    <row r="379" spans="2:3" x14ac:dyDescent="0.3">
      <c r="B379" s="10"/>
      <c r="C379" s="10"/>
    </row>
    <row r="380" spans="2:3" x14ac:dyDescent="0.3">
      <c r="B380" s="10"/>
      <c r="C380" s="10"/>
    </row>
    <row r="381" spans="2:3" x14ac:dyDescent="0.3">
      <c r="B381" s="10"/>
      <c r="C381" s="10"/>
    </row>
    <row r="382" spans="2:3" x14ac:dyDescent="0.3">
      <c r="B382" s="10"/>
      <c r="C382" s="10"/>
    </row>
    <row r="383" spans="2:3" x14ac:dyDescent="0.3">
      <c r="B383" s="10"/>
      <c r="C383" s="10"/>
    </row>
    <row r="384" spans="2:3" x14ac:dyDescent="0.3">
      <c r="B384" s="10"/>
      <c r="C384" s="10"/>
    </row>
    <row r="385" spans="2:3" x14ac:dyDescent="0.3">
      <c r="B385" s="10"/>
      <c r="C385" s="10"/>
    </row>
    <row r="386" spans="2:3" x14ac:dyDescent="0.3">
      <c r="B386" s="10"/>
      <c r="C386" s="10"/>
    </row>
    <row r="387" spans="2:3" x14ac:dyDescent="0.3">
      <c r="B387" s="10"/>
      <c r="C387" s="10"/>
    </row>
    <row r="388" spans="2:3" x14ac:dyDescent="0.3">
      <c r="B388" s="10"/>
      <c r="C388" s="10"/>
    </row>
    <row r="389" spans="2:3" x14ac:dyDescent="0.3">
      <c r="B389" s="10"/>
      <c r="C389" s="10"/>
    </row>
    <row r="390" spans="2:3" x14ac:dyDescent="0.3">
      <c r="B390" s="10"/>
      <c r="C390" s="10"/>
    </row>
    <row r="391" spans="2:3" x14ac:dyDescent="0.3">
      <c r="B391" s="10"/>
      <c r="C391" s="10"/>
    </row>
    <row r="392" spans="2:3" x14ac:dyDescent="0.3">
      <c r="B392" s="10"/>
      <c r="C392" s="10"/>
    </row>
    <row r="393" spans="2:3" x14ac:dyDescent="0.3">
      <c r="B393" s="10"/>
      <c r="C393" s="10"/>
    </row>
    <row r="394" spans="2:3" x14ac:dyDescent="0.3">
      <c r="B394" s="10"/>
      <c r="C394" s="10"/>
    </row>
    <row r="395" spans="2:3" x14ac:dyDescent="0.3">
      <c r="B395" s="10"/>
      <c r="C395" s="10"/>
    </row>
    <row r="396" spans="2:3" x14ac:dyDescent="0.3">
      <c r="B396" s="10"/>
      <c r="C396" s="10"/>
    </row>
    <row r="397" spans="2:3" x14ac:dyDescent="0.3">
      <c r="B397" s="10"/>
      <c r="C397" s="10"/>
    </row>
    <row r="398" spans="2:3" x14ac:dyDescent="0.3">
      <c r="B398" s="10"/>
      <c r="C398" s="10"/>
    </row>
    <row r="399" spans="2:3" x14ac:dyDescent="0.3">
      <c r="B399" s="10"/>
      <c r="C399" s="10"/>
    </row>
    <row r="400" spans="2:3" x14ac:dyDescent="0.3">
      <c r="B400" s="10"/>
      <c r="C400" s="10"/>
    </row>
    <row r="401" spans="2:3" x14ac:dyDescent="0.3">
      <c r="B401" s="10"/>
      <c r="C401" s="10"/>
    </row>
    <row r="402" spans="2:3" x14ac:dyDescent="0.3">
      <c r="B402" s="10"/>
      <c r="C402" s="10"/>
    </row>
    <row r="403" spans="2:3" x14ac:dyDescent="0.3">
      <c r="B403" s="10"/>
      <c r="C403" s="10"/>
    </row>
    <row r="404" spans="2:3" x14ac:dyDescent="0.3">
      <c r="B404" s="10"/>
      <c r="C404" s="10"/>
    </row>
    <row r="405" spans="2:3" x14ac:dyDescent="0.3">
      <c r="B405" s="10"/>
      <c r="C405" s="10"/>
    </row>
    <row r="406" spans="2:3" x14ac:dyDescent="0.3">
      <c r="B406" s="10"/>
      <c r="C406" s="10"/>
    </row>
    <row r="407" spans="2:3" x14ac:dyDescent="0.3">
      <c r="B407" s="10"/>
      <c r="C407" s="10"/>
    </row>
    <row r="408" spans="2:3" x14ac:dyDescent="0.3">
      <c r="B408" s="10"/>
      <c r="C408" s="10"/>
    </row>
    <row r="409" spans="2:3" x14ac:dyDescent="0.3">
      <c r="B409" s="10"/>
      <c r="C409" s="10"/>
    </row>
    <row r="410" spans="2:3" x14ac:dyDescent="0.3">
      <c r="B410" s="10"/>
      <c r="C410" s="10"/>
    </row>
    <row r="411" spans="2:3" x14ac:dyDescent="0.3">
      <c r="B411" s="10"/>
      <c r="C411" s="10"/>
    </row>
    <row r="412" spans="2:3" x14ac:dyDescent="0.3">
      <c r="B412" s="10"/>
      <c r="C412" s="10"/>
    </row>
    <row r="413" spans="2:3" x14ac:dyDescent="0.3">
      <c r="B413" s="10"/>
      <c r="C413" s="10"/>
    </row>
    <row r="414" spans="2:3" x14ac:dyDescent="0.3">
      <c r="B414" s="10"/>
      <c r="C414" s="10"/>
    </row>
    <row r="415" spans="2:3" x14ac:dyDescent="0.3">
      <c r="B415" s="10"/>
      <c r="C415" s="10"/>
    </row>
    <row r="416" spans="2:3" x14ac:dyDescent="0.3">
      <c r="B416" s="10"/>
      <c r="C416" s="10"/>
    </row>
    <row r="417" spans="2:3" x14ac:dyDescent="0.3">
      <c r="B417" s="10"/>
      <c r="C417" s="10"/>
    </row>
    <row r="418" spans="2:3" x14ac:dyDescent="0.3">
      <c r="B418" s="10"/>
      <c r="C418" s="10"/>
    </row>
    <row r="419" spans="2:3" x14ac:dyDescent="0.3">
      <c r="B419" s="10"/>
      <c r="C419" s="10"/>
    </row>
    <row r="420" spans="2:3" x14ac:dyDescent="0.3">
      <c r="B420" s="10"/>
      <c r="C420" s="10"/>
    </row>
    <row r="421" spans="2:3" x14ac:dyDescent="0.3">
      <c r="B421" s="10"/>
      <c r="C421" s="10"/>
    </row>
    <row r="422" spans="2:3" x14ac:dyDescent="0.3">
      <c r="B422" s="10"/>
      <c r="C422" s="10"/>
    </row>
    <row r="423" spans="2:3" x14ac:dyDescent="0.3">
      <c r="B423" s="10"/>
      <c r="C423" s="10"/>
    </row>
    <row r="424" spans="2:3" x14ac:dyDescent="0.3">
      <c r="B424" s="10"/>
      <c r="C424" s="10"/>
    </row>
    <row r="425" spans="2:3" x14ac:dyDescent="0.3">
      <c r="B425" s="10"/>
      <c r="C425" s="10"/>
    </row>
    <row r="426" spans="2:3" x14ac:dyDescent="0.3">
      <c r="B426" s="10"/>
      <c r="C426" s="10"/>
    </row>
    <row r="427" spans="2:3" x14ac:dyDescent="0.3">
      <c r="B427" s="10"/>
      <c r="C427" s="10"/>
    </row>
    <row r="428" spans="2:3" x14ac:dyDescent="0.3">
      <c r="B428" s="10"/>
      <c r="C428" s="10"/>
    </row>
    <row r="429" spans="2:3" x14ac:dyDescent="0.3">
      <c r="B429" s="10"/>
      <c r="C429" s="10"/>
    </row>
    <row r="430" spans="2:3" x14ac:dyDescent="0.3">
      <c r="B430" s="10"/>
      <c r="C430" s="10"/>
    </row>
    <row r="431" spans="2:3" x14ac:dyDescent="0.3">
      <c r="B431" s="10"/>
      <c r="C431" s="10"/>
    </row>
    <row r="432" spans="2:3" x14ac:dyDescent="0.3">
      <c r="B432" s="10"/>
      <c r="C432" s="10"/>
    </row>
    <row r="433" spans="2:3" x14ac:dyDescent="0.3">
      <c r="B433" s="10"/>
      <c r="C433" s="10"/>
    </row>
    <row r="434" spans="2:3" x14ac:dyDescent="0.3">
      <c r="B434" s="10"/>
      <c r="C434" s="10"/>
    </row>
    <row r="435" spans="2:3" x14ac:dyDescent="0.3">
      <c r="B435" s="10"/>
      <c r="C435" s="10"/>
    </row>
    <row r="436" spans="2:3" x14ac:dyDescent="0.3">
      <c r="B436" s="10"/>
      <c r="C436" s="10"/>
    </row>
    <row r="437" spans="2:3" x14ac:dyDescent="0.3">
      <c r="B437" s="10"/>
      <c r="C437" s="10"/>
    </row>
    <row r="438" spans="2:3" x14ac:dyDescent="0.3">
      <c r="B438" s="10"/>
      <c r="C438" s="10"/>
    </row>
    <row r="439" spans="2:3" x14ac:dyDescent="0.3">
      <c r="B439" s="10"/>
      <c r="C439" s="10"/>
    </row>
    <row r="440" spans="2:3" x14ac:dyDescent="0.3">
      <c r="B440" s="10"/>
      <c r="C440" s="10"/>
    </row>
    <row r="441" spans="2:3" x14ac:dyDescent="0.3">
      <c r="B441" s="10"/>
      <c r="C441" s="10"/>
    </row>
    <row r="442" spans="2:3" x14ac:dyDescent="0.3">
      <c r="B442" s="10"/>
      <c r="C442" s="10"/>
    </row>
    <row r="443" spans="2:3" x14ac:dyDescent="0.3">
      <c r="B443" s="10"/>
      <c r="C443" s="10"/>
    </row>
    <row r="444" spans="2:3" x14ac:dyDescent="0.3">
      <c r="B444" s="10"/>
      <c r="C444" s="10"/>
    </row>
    <row r="445" spans="2:3" x14ac:dyDescent="0.3">
      <c r="B445" s="10"/>
      <c r="C445" s="10"/>
    </row>
    <row r="446" spans="2:3" x14ac:dyDescent="0.3">
      <c r="B446" s="10"/>
      <c r="C446" s="10"/>
    </row>
    <row r="447" spans="2:3" x14ac:dyDescent="0.3">
      <c r="B447" s="10"/>
      <c r="C447" s="10"/>
    </row>
    <row r="448" spans="2:3" x14ac:dyDescent="0.3">
      <c r="B448" s="10"/>
      <c r="C448" s="10"/>
    </row>
    <row r="449" spans="2:3" x14ac:dyDescent="0.3">
      <c r="B449" s="10"/>
      <c r="C449" s="10"/>
    </row>
    <row r="450" spans="2:3" x14ac:dyDescent="0.3">
      <c r="B450" s="10"/>
      <c r="C450" s="10"/>
    </row>
    <row r="451" spans="2:3" x14ac:dyDescent="0.3">
      <c r="B451" s="10"/>
      <c r="C451" s="10"/>
    </row>
    <row r="452" spans="2:3" x14ac:dyDescent="0.3">
      <c r="B452" s="10"/>
      <c r="C452" s="10"/>
    </row>
    <row r="453" spans="2:3" x14ac:dyDescent="0.3">
      <c r="B453" s="10"/>
      <c r="C453" s="10"/>
    </row>
    <row r="454" spans="2:3" x14ac:dyDescent="0.3">
      <c r="B454" s="10"/>
      <c r="C454" s="10"/>
    </row>
    <row r="455" spans="2:3" x14ac:dyDescent="0.3">
      <c r="B455" s="10"/>
      <c r="C455" s="10"/>
    </row>
    <row r="456" spans="2:3" x14ac:dyDescent="0.3">
      <c r="B456" s="10"/>
      <c r="C456" s="10"/>
    </row>
    <row r="457" spans="2:3" x14ac:dyDescent="0.3">
      <c r="B457" s="10"/>
      <c r="C457" s="10"/>
    </row>
    <row r="458" spans="2:3" x14ac:dyDescent="0.3">
      <c r="B458" s="10"/>
      <c r="C458" s="10"/>
    </row>
    <row r="459" spans="2:3" x14ac:dyDescent="0.3">
      <c r="B459" s="10"/>
      <c r="C459" s="10"/>
    </row>
    <row r="460" spans="2:3" x14ac:dyDescent="0.3">
      <c r="B460" s="10"/>
      <c r="C460" s="10"/>
    </row>
    <row r="461" spans="2:3" x14ac:dyDescent="0.3">
      <c r="B461" s="10"/>
      <c r="C461" s="10"/>
    </row>
    <row r="462" spans="2:3" x14ac:dyDescent="0.3">
      <c r="B462" s="10"/>
      <c r="C462" s="10"/>
    </row>
    <row r="463" spans="2:3" x14ac:dyDescent="0.3">
      <c r="B463" s="10"/>
      <c r="C463" s="10"/>
    </row>
    <row r="464" spans="2:3" x14ac:dyDescent="0.3">
      <c r="B464" s="10"/>
      <c r="C464" s="10"/>
    </row>
    <row r="465" spans="2:3" x14ac:dyDescent="0.3">
      <c r="B465" s="10"/>
      <c r="C465" s="10"/>
    </row>
    <row r="466" spans="2:3" x14ac:dyDescent="0.3">
      <c r="B466" s="10"/>
      <c r="C466" s="10"/>
    </row>
    <row r="467" spans="2:3" x14ac:dyDescent="0.3">
      <c r="B467" s="10"/>
      <c r="C467" s="10"/>
    </row>
    <row r="468" spans="2:3" x14ac:dyDescent="0.3">
      <c r="B468" s="10"/>
      <c r="C468" s="10"/>
    </row>
    <row r="469" spans="2:3" x14ac:dyDescent="0.3">
      <c r="B469" s="10"/>
      <c r="C469" s="10"/>
    </row>
    <row r="470" spans="2:3" x14ac:dyDescent="0.3">
      <c r="B470" s="10"/>
      <c r="C470" s="10"/>
    </row>
    <row r="471" spans="2:3" x14ac:dyDescent="0.3">
      <c r="B471" s="10"/>
      <c r="C471" s="10"/>
    </row>
    <row r="472" spans="2:3" x14ac:dyDescent="0.3">
      <c r="B472" s="10"/>
      <c r="C472" s="10"/>
    </row>
    <row r="473" spans="2:3" x14ac:dyDescent="0.3">
      <c r="B473" s="10"/>
      <c r="C473" s="10"/>
    </row>
    <row r="474" spans="2:3" x14ac:dyDescent="0.3">
      <c r="B474" s="10"/>
      <c r="C474" s="10"/>
    </row>
    <row r="475" spans="2:3" x14ac:dyDescent="0.3">
      <c r="B475" s="10"/>
      <c r="C475" s="10"/>
    </row>
    <row r="476" spans="2:3" x14ac:dyDescent="0.3">
      <c r="B476" s="10"/>
      <c r="C476" s="10"/>
    </row>
    <row r="477" spans="2:3" x14ac:dyDescent="0.3">
      <c r="B477" s="10"/>
      <c r="C477" s="10"/>
    </row>
    <row r="478" spans="2:3" x14ac:dyDescent="0.3">
      <c r="B478" s="10"/>
      <c r="C478" s="10"/>
    </row>
    <row r="479" spans="2:3" x14ac:dyDescent="0.3">
      <c r="B479" s="10"/>
      <c r="C479" s="10"/>
    </row>
    <row r="480" spans="2:3" x14ac:dyDescent="0.3">
      <c r="B480" s="10"/>
      <c r="C480" s="10"/>
    </row>
    <row r="481" spans="2:3" x14ac:dyDescent="0.3">
      <c r="B481" s="10"/>
      <c r="C481" s="10"/>
    </row>
    <row r="482" spans="2:3" x14ac:dyDescent="0.3">
      <c r="B482" s="10"/>
      <c r="C482" s="10"/>
    </row>
    <row r="483" spans="2:3" x14ac:dyDescent="0.3">
      <c r="B483" s="10"/>
      <c r="C483" s="10"/>
    </row>
    <row r="484" spans="2:3" x14ac:dyDescent="0.3">
      <c r="B484" s="10"/>
      <c r="C484" s="10"/>
    </row>
    <row r="485" spans="2:3" x14ac:dyDescent="0.3">
      <c r="B485" s="10"/>
      <c r="C485" s="10"/>
    </row>
    <row r="486" spans="2:3" x14ac:dyDescent="0.3">
      <c r="B486" s="10"/>
      <c r="C486" s="10"/>
    </row>
    <row r="487" spans="2:3" x14ac:dyDescent="0.3">
      <c r="B487" s="10"/>
      <c r="C487" s="10"/>
    </row>
    <row r="488" spans="2:3" x14ac:dyDescent="0.3">
      <c r="B488" s="10"/>
      <c r="C488" s="10"/>
    </row>
    <row r="489" spans="2:3" x14ac:dyDescent="0.3">
      <c r="B489" s="10"/>
      <c r="C489" s="10"/>
    </row>
    <row r="490" spans="2:3" x14ac:dyDescent="0.3">
      <c r="B490" s="10"/>
      <c r="C490" s="10"/>
    </row>
    <row r="491" spans="2:3" x14ac:dyDescent="0.3">
      <c r="B491" s="10"/>
      <c r="C491" s="10"/>
    </row>
    <row r="492" spans="2:3" x14ac:dyDescent="0.3">
      <c r="B492" s="10"/>
      <c r="C492" s="10"/>
    </row>
    <row r="493" spans="2:3" x14ac:dyDescent="0.3">
      <c r="B493" s="10"/>
      <c r="C493" s="10"/>
    </row>
    <row r="494" spans="2:3" x14ac:dyDescent="0.3">
      <c r="B494" s="10"/>
      <c r="C494" s="10"/>
    </row>
    <row r="495" spans="2:3" x14ac:dyDescent="0.3">
      <c r="B495" s="10"/>
      <c r="C495" s="10"/>
    </row>
    <row r="496" spans="2:3" x14ac:dyDescent="0.3">
      <c r="B496" s="10"/>
      <c r="C496" s="10"/>
    </row>
    <row r="497" spans="2:3" x14ac:dyDescent="0.3">
      <c r="B497" s="10"/>
      <c r="C497" s="10"/>
    </row>
    <row r="498" spans="2:3" x14ac:dyDescent="0.3">
      <c r="B498" s="10"/>
      <c r="C498" s="10"/>
    </row>
    <row r="499" spans="2:3" x14ac:dyDescent="0.3">
      <c r="B499" s="10"/>
      <c r="C499" s="10"/>
    </row>
    <row r="500" spans="2:3" x14ac:dyDescent="0.3">
      <c r="B500" s="10"/>
      <c r="C500" s="10"/>
    </row>
    <row r="501" spans="2:3" x14ac:dyDescent="0.3">
      <c r="B501" s="10"/>
      <c r="C501" s="10"/>
    </row>
    <row r="502" spans="2:3" x14ac:dyDescent="0.3">
      <c r="B502" s="10"/>
      <c r="C502" s="10"/>
    </row>
    <row r="503" spans="2:3" x14ac:dyDescent="0.3">
      <c r="B503" s="10"/>
      <c r="C503" s="10"/>
    </row>
    <row r="504" spans="2:3" x14ac:dyDescent="0.3">
      <c r="B504" s="10"/>
      <c r="C504" s="10"/>
    </row>
    <row r="505" spans="2:3" x14ac:dyDescent="0.3">
      <c r="B505" s="10"/>
      <c r="C505" s="10"/>
    </row>
    <row r="506" spans="2:3" x14ac:dyDescent="0.3">
      <c r="B506" s="10"/>
      <c r="C506" s="10"/>
    </row>
    <row r="507" spans="2:3" x14ac:dyDescent="0.3">
      <c r="B507" s="10"/>
      <c r="C507" s="10"/>
    </row>
    <row r="508" spans="2:3" x14ac:dyDescent="0.3">
      <c r="B508" s="10"/>
      <c r="C508" s="10"/>
    </row>
    <row r="509" spans="2:3" x14ac:dyDescent="0.3">
      <c r="B509" s="10"/>
      <c r="C509" s="10"/>
    </row>
    <row r="510" spans="2:3" x14ac:dyDescent="0.3">
      <c r="B510" s="10"/>
      <c r="C510" s="10"/>
    </row>
    <row r="511" spans="2:3" x14ac:dyDescent="0.3">
      <c r="B511" s="10"/>
      <c r="C511" s="10"/>
    </row>
    <row r="512" spans="2:3" x14ac:dyDescent="0.3">
      <c r="B512" s="10"/>
      <c r="C512" s="10"/>
    </row>
    <row r="513" spans="2:3" x14ac:dyDescent="0.3">
      <c r="B513" s="10"/>
      <c r="C513" s="10"/>
    </row>
    <row r="514" spans="2:3" x14ac:dyDescent="0.3">
      <c r="B514" s="10"/>
      <c r="C514" s="10"/>
    </row>
    <row r="515" spans="2:3" x14ac:dyDescent="0.3">
      <c r="B515" s="10"/>
      <c r="C515" s="10"/>
    </row>
    <row r="516" spans="2:3" x14ac:dyDescent="0.3">
      <c r="B516" s="10"/>
      <c r="C516" s="10"/>
    </row>
    <row r="517" spans="2:3" x14ac:dyDescent="0.3">
      <c r="B517" s="10"/>
      <c r="C517" s="10"/>
    </row>
    <row r="518" spans="2:3" x14ac:dyDescent="0.3">
      <c r="B518" s="10"/>
      <c r="C518" s="10"/>
    </row>
    <row r="519" spans="2:3" x14ac:dyDescent="0.3">
      <c r="B519" s="10"/>
      <c r="C519" s="10"/>
    </row>
    <row r="520" spans="2:3" x14ac:dyDescent="0.3">
      <c r="B520" s="10"/>
      <c r="C520" s="10"/>
    </row>
    <row r="521" spans="2:3" x14ac:dyDescent="0.3">
      <c r="B521" s="10"/>
      <c r="C521" s="10"/>
    </row>
    <row r="522" spans="2:3" x14ac:dyDescent="0.3">
      <c r="B522" s="10"/>
      <c r="C522" s="10"/>
    </row>
    <row r="523" spans="2:3" x14ac:dyDescent="0.3">
      <c r="B523" s="10"/>
      <c r="C523" s="10"/>
    </row>
    <row r="524" spans="2:3" x14ac:dyDescent="0.3">
      <c r="B524" s="10"/>
      <c r="C524" s="10"/>
    </row>
    <row r="525" spans="2:3" x14ac:dyDescent="0.3">
      <c r="B525" s="10"/>
      <c r="C525" s="10"/>
    </row>
    <row r="526" spans="2:3" x14ac:dyDescent="0.3">
      <c r="B526" s="10"/>
      <c r="C526" s="10"/>
    </row>
    <row r="527" spans="2:3" x14ac:dyDescent="0.3">
      <c r="B527" s="10"/>
      <c r="C527" s="10"/>
    </row>
    <row r="528" spans="2:3" x14ac:dyDescent="0.3">
      <c r="B528" s="10"/>
      <c r="C528" s="10"/>
    </row>
    <row r="529" spans="2:3" x14ac:dyDescent="0.3">
      <c r="B529" s="10"/>
      <c r="C529" s="10"/>
    </row>
    <row r="530" spans="2:3" x14ac:dyDescent="0.3">
      <c r="B530" s="10"/>
      <c r="C530" s="10"/>
    </row>
    <row r="531" spans="2:3" x14ac:dyDescent="0.3">
      <c r="B531" s="10"/>
      <c r="C531" s="10"/>
    </row>
    <row r="532" spans="2:3" x14ac:dyDescent="0.3">
      <c r="B532" s="10"/>
      <c r="C532" s="10"/>
    </row>
    <row r="533" spans="2:3" x14ac:dyDescent="0.3">
      <c r="B533" s="10"/>
      <c r="C533" s="10"/>
    </row>
    <row r="534" spans="2:3" x14ac:dyDescent="0.3">
      <c r="B534" s="10"/>
      <c r="C534" s="10"/>
    </row>
    <row r="535" spans="2:3" x14ac:dyDescent="0.3">
      <c r="B535" s="10"/>
      <c r="C535" s="10"/>
    </row>
    <row r="536" spans="2:3" x14ac:dyDescent="0.3">
      <c r="B536" s="10"/>
      <c r="C536" s="10"/>
    </row>
    <row r="537" spans="2:3" x14ac:dyDescent="0.3">
      <c r="B537" s="10"/>
      <c r="C537" s="10"/>
    </row>
    <row r="538" spans="2:3" x14ac:dyDescent="0.3">
      <c r="B538" s="10"/>
      <c r="C538" s="10"/>
    </row>
    <row r="539" spans="2:3" x14ac:dyDescent="0.3">
      <c r="B539" s="10"/>
      <c r="C539" s="10"/>
    </row>
    <row r="540" spans="2:3" x14ac:dyDescent="0.3">
      <c r="B540" s="10"/>
      <c r="C540" s="10"/>
    </row>
    <row r="541" spans="2:3" x14ac:dyDescent="0.3">
      <c r="B541" s="10"/>
      <c r="C541" s="10"/>
    </row>
    <row r="542" spans="2:3" x14ac:dyDescent="0.3">
      <c r="B542" s="10"/>
      <c r="C542" s="10"/>
    </row>
    <row r="543" spans="2:3" x14ac:dyDescent="0.3">
      <c r="B543" s="10"/>
      <c r="C543" s="10"/>
    </row>
    <row r="544" spans="2:3" x14ac:dyDescent="0.3">
      <c r="B544" s="10"/>
      <c r="C544" s="10"/>
    </row>
    <row r="545" spans="2:3" x14ac:dyDescent="0.3">
      <c r="B545" s="10"/>
      <c r="C545" s="10"/>
    </row>
    <row r="546" spans="2:3" x14ac:dyDescent="0.3">
      <c r="B546" s="10"/>
      <c r="C546" s="10"/>
    </row>
    <row r="547" spans="2:3" x14ac:dyDescent="0.3">
      <c r="B547" s="10"/>
      <c r="C547" s="10"/>
    </row>
    <row r="548" spans="2:3" x14ac:dyDescent="0.3">
      <c r="B548" s="10"/>
      <c r="C548" s="10"/>
    </row>
    <row r="549" spans="2:3" x14ac:dyDescent="0.3">
      <c r="B549" s="10"/>
      <c r="C549" s="10"/>
    </row>
    <row r="550" spans="2:3" x14ac:dyDescent="0.3">
      <c r="B550" s="10"/>
      <c r="C550" s="10"/>
    </row>
    <row r="551" spans="2:3" x14ac:dyDescent="0.3">
      <c r="B551" s="10"/>
      <c r="C551" s="10"/>
    </row>
    <row r="552" spans="2:3" x14ac:dyDescent="0.3">
      <c r="B552" s="10"/>
      <c r="C552" s="10"/>
    </row>
    <row r="553" spans="2:3" x14ac:dyDescent="0.3">
      <c r="B553" s="10"/>
      <c r="C553" s="10"/>
    </row>
    <row r="554" spans="2:3" x14ac:dyDescent="0.3">
      <c r="B554" s="10"/>
      <c r="C554" s="10"/>
    </row>
    <row r="555" spans="2:3" x14ac:dyDescent="0.3">
      <c r="B555" s="10"/>
      <c r="C555" s="10"/>
    </row>
    <row r="556" spans="2:3" x14ac:dyDescent="0.3">
      <c r="B556" s="10"/>
      <c r="C556" s="10"/>
    </row>
    <row r="557" spans="2:3" x14ac:dyDescent="0.3">
      <c r="B557" s="10"/>
      <c r="C557" s="10"/>
    </row>
    <row r="558" spans="2:3" x14ac:dyDescent="0.3">
      <c r="B558" s="10"/>
      <c r="C558" s="10"/>
    </row>
    <row r="559" spans="2:3" x14ac:dyDescent="0.3">
      <c r="B559" s="10"/>
      <c r="C559" s="10"/>
    </row>
    <row r="560" spans="2:3" x14ac:dyDescent="0.3">
      <c r="B560" s="10"/>
      <c r="C560" s="10"/>
    </row>
    <row r="561" spans="2:3" x14ac:dyDescent="0.3">
      <c r="B561" s="10"/>
      <c r="C561" s="10"/>
    </row>
    <row r="562" spans="2:3" x14ac:dyDescent="0.3">
      <c r="B562" s="10"/>
      <c r="C562" s="10"/>
    </row>
    <row r="563" spans="2:3" x14ac:dyDescent="0.3">
      <c r="B563" s="10"/>
      <c r="C563" s="10"/>
    </row>
    <row r="564" spans="2:3" x14ac:dyDescent="0.3">
      <c r="B564" s="10"/>
      <c r="C564" s="10"/>
    </row>
    <row r="565" spans="2:3" x14ac:dyDescent="0.3">
      <c r="B565" s="10"/>
      <c r="C565" s="10"/>
    </row>
    <row r="566" spans="2:3" x14ac:dyDescent="0.3">
      <c r="B566" s="10"/>
      <c r="C566" s="10"/>
    </row>
    <row r="567" spans="2:3" x14ac:dyDescent="0.3">
      <c r="B567" s="10"/>
      <c r="C567" s="10"/>
    </row>
    <row r="568" spans="2:3" x14ac:dyDescent="0.3">
      <c r="B568" s="10"/>
      <c r="C568" s="10"/>
    </row>
    <row r="569" spans="2:3" x14ac:dyDescent="0.3">
      <c r="B569" s="10"/>
      <c r="C569" s="10"/>
    </row>
    <row r="570" spans="2:3" x14ac:dyDescent="0.3">
      <c r="B570" s="10"/>
      <c r="C570" s="10"/>
    </row>
    <row r="571" spans="2:3" x14ac:dyDescent="0.3">
      <c r="B571" s="10"/>
      <c r="C571" s="10"/>
    </row>
    <row r="572" spans="2:3" x14ac:dyDescent="0.3">
      <c r="B572" s="10"/>
      <c r="C572" s="10"/>
    </row>
    <row r="573" spans="2:3" x14ac:dyDescent="0.3">
      <c r="B573" s="10"/>
      <c r="C573" s="10"/>
    </row>
    <row r="574" spans="2:3" x14ac:dyDescent="0.3">
      <c r="B574" s="10"/>
      <c r="C574" s="10"/>
    </row>
    <row r="575" spans="2:3" x14ac:dyDescent="0.3">
      <c r="B575" s="10"/>
      <c r="C575" s="10"/>
    </row>
    <row r="576" spans="2:3" x14ac:dyDescent="0.3">
      <c r="B576" s="10"/>
      <c r="C576" s="10"/>
    </row>
    <row r="577" spans="2:3" x14ac:dyDescent="0.3">
      <c r="B577" s="10"/>
      <c r="C577" s="10"/>
    </row>
    <row r="578" spans="2:3" x14ac:dyDescent="0.3">
      <c r="B578" s="10"/>
      <c r="C578" s="10"/>
    </row>
    <row r="579" spans="2:3" x14ac:dyDescent="0.3">
      <c r="B579" s="10"/>
      <c r="C579" s="10"/>
    </row>
    <row r="580" spans="2:3" x14ac:dyDescent="0.3">
      <c r="B580" s="10"/>
      <c r="C580" s="10"/>
    </row>
    <row r="581" spans="2:3" x14ac:dyDescent="0.3">
      <c r="B581" s="10"/>
      <c r="C581" s="10"/>
    </row>
    <row r="582" spans="2:3" x14ac:dyDescent="0.3">
      <c r="B582" s="10"/>
      <c r="C582" s="10"/>
    </row>
    <row r="583" spans="2:3" x14ac:dyDescent="0.3">
      <c r="B583" s="10"/>
      <c r="C583" s="10"/>
    </row>
    <row r="584" spans="2:3" x14ac:dyDescent="0.3">
      <c r="B584" s="10"/>
      <c r="C584" s="10"/>
    </row>
    <row r="585" spans="2:3" x14ac:dyDescent="0.3">
      <c r="B585" s="10"/>
      <c r="C585" s="10"/>
    </row>
    <row r="586" spans="2:3" x14ac:dyDescent="0.3">
      <c r="B586" s="10"/>
      <c r="C586" s="10"/>
    </row>
    <row r="587" spans="2:3" x14ac:dyDescent="0.3">
      <c r="B587" s="10"/>
      <c r="C587" s="10"/>
    </row>
    <row r="588" spans="2:3" x14ac:dyDescent="0.3">
      <c r="B588" s="10"/>
      <c r="C588" s="10"/>
    </row>
    <row r="589" spans="2:3" x14ac:dyDescent="0.3">
      <c r="B589" s="10"/>
      <c r="C589" s="10"/>
    </row>
    <row r="590" spans="2:3" x14ac:dyDescent="0.3">
      <c r="B590" s="10"/>
      <c r="C590" s="10"/>
    </row>
    <row r="591" spans="2:3" x14ac:dyDescent="0.3">
      <c r="B591" s="10"/>
      <c r="C591" s="10"/>
    </row>
    <row r="592" spans="2:3" x14ac:dyDescent="0.3">
      <c r="B592" s="10"/>
      <c r="C592" s="10"/>
    </row>
    <row r="593" spans="2:3" x14ac:dyDescent="0.3">
      <c r="B593" s="10"/>
      <c r="C593" s="10"/>
    </row>
    <row r="594" spans="2:3" x14ac:dyDescent="0.3">
      <c r="B594" s="10"/>
      <c r="C594" s="10"/>
    </row>
    <row r="595" spans="2:3" x14ac:dyDescent="0.3">
      <c r="B595" s="10"/>
      <c r="C595" s="10"/>
    </row>
    <row r="596" spans="2:3" x14ac:dyDescent="0.3">
      <c r="B596" s="10"/>
      <c r="C596" s="10"/>
    </row>
    <row r="597" spans="2:3" x14ac:dyDescent="0.3">
      <c r="B597" s="10"/>
      <c r="C597" s="10"/>
    </row>
    <row r="598" spans="2:3" x14ac:dyDescent="0.3">
      <c r="B598" s="10"/>
      <c r="C598" s="10"/>
    </row>
    <row r="599" spans="2:3" x14ac:dyDescent="0.3">
      <c r="B599" s="10"/>
      <c r="C599" s="10"/>
    </row>
    <row r="600" spans="2:3" x14ac:dyDescent="0.3">
      <c r="B600" s="10"/>
      <c r="C600" s="10"/>
    </row>
    <row r="601" spans="2:3" x14ac:dyDescent="0.3">
      <c r="B601" s="10"/>
      <c r="C601" s="10"/>
    </row>
    <row r="602" spans="2:3" x14ac:dyDescent="0.3">
      <c r="B602" s="10"/>
      <c r="C602" s="10"/>
    </row>
    <row r="603" spans="2:3" x14ac:dyDescent="0.3">
      <c r="B603" s="10"/>
      <c r="C603" s="10"/>
    </row>
    <row r="604" spans="2:3" x14ac:dyDescent="0.3">
      <c r="B604" s="10"/>
      <c r="C604" s="10"/>
    </row>
    <row r="605" spans="2:3" x14ac:dyDescent="0.3">
      <c r="B605" s="10"/>
      <c r="C605" s="10"/>
    </row>
    <row r="606" spans="2:3" x14ac:dyDescent="0.3">
      <c r="B606" s="10"/>
      <c r="C606" s="10"/>
    </row>
    <row r="607" spans="2:3" x14ac:dyDescent="0.3">
      <c r="B607" s="10"/>
      <c r="C607" s="10"/>
    </row>
    <row r="608" spans="2:3" x14ac:dyDescent="0.3">
      <c r="B608" s="10"/>
      <c r="C608" s="10"/>
    </row>
    <row r="609" spans="2:3" x14ac:dyDescent="0.3">
      <c r="B609" s="10"/>
      <c r="C609" s="10"/>
    </row>
    <row r="610" spans="2:3" x14ac:dyDescent="0.3">
      <c r="B610" s="10"/>
      <c r="C610" s="10"/>
    </row>
    <row r="611" spans="2:3" x14ac:dyDescent="0.3">
      <c r="B611" s="10"/>
      <c r="C611" s="10"/>
    </row>
    <row r="612" spans="2:3" x14ac:dyDescent="0.3">
      <c r="B612" s="10"/>
      <c r="C612" s="10"/>
    </row>
    <row r="613" spans="2:3" x14ac:dyDescent="0.3">
      <c r="B613" s="10"/>
      <c r="C613" s="10"/>
    </row>
    <row r="614" spans="2:3" x14ac:dyDescent="0.3">
      <c r="B614" s="10"/>
      <c r="C614" s="10"/>
    </row>
    <row r="615" spans="2:3" x14ac:dyDescent="0.3">
      <c r="B615" s="10"/>
      <c r="C615" s="10"/>
    </row>
    <row r="616" spans="2:3" x14ac:dyDescent="0.3">
      <c r="B616" s="10"/>
      <c r="C616" s="10"/>
    </row>
    <row r="617" spans="2:3" x14ac:dyDescent="0.3">
      <c r="B617" s="10"/>
      <c r="C617" s="10"/>
    </row>
    <row r="618" spans="2:3" x14ac:dyDescent="0.3">
      <c r="B618" s="10"/>
      <c r="C618" s="10"/>
    </row>
    <row r="619" spans="2:3" x14ac:dyDescent="0.3">
      <c r="B619" s="10"/>
      <c r="C619" s="10"/>
    </row>
    <row r="620" spans="2:3" x14ac:dyDescent="0.3">
      <c r="B620" s="10"/>
      <c r="C620" s="10"/>
    </row>
    <row r="621" spans="2:3" x14ac:dyDescent="0.3">
      <c r="B621" s="10"/>
      <c r="C621" s="10"/>
    </row>
    <row r="622" spans="2:3" x14ac:dyDescent="0.3">
      <c r="B622" s="10"/>
      <c r="C622" s="10"/>
    </row>
    <row r="623" spans="2:3" x14ac:dyDescent="0.3">
      <c r="B623" s="10"/>
      <c r="C623" s="10"/>
    </row>
    <row r="624" spans="2:3" x14ac:dyDescent="0.3">
      <c r="B624" s="10"/>
      <c r="C624" s="10"/>
    </row>
    <row r="625" spans="2:3" x14ac:dyDescent="0.3">
      <c r="B625" s="10"/>
      <c r="C625" s="10"/>
    </row>
    <row r="626" spans="2:3" x14ac:dyDescent="0.3">
      <c r="B626" s="10"/>
      <c r="C626" s="10"/>
    </row>
    <row r="627" spans="2:3" x14ac:dyDescent="0.3">
      <c r="B627" s="10"/>
      <c r="C627" s="10"/>
    </row>
    <row r="628" spans="2:3" x14ac:dyDescent="0.3">
      <c r="B628" s="10"/>
      <c r="C628" s="10"/>
    </row>
    <row r="629" spans="2:3" x14ac:dyDescent="0.3">
      <c r="B629" s="10"/>
      <c r="C629" s="10"/>
    </row>
    <row r="630" spans="2:3" x14ac:dyDescent="0.3">
      <c r="B630" s="10"/>
      <c r="C630" s="10"/>
    </row>
    <row r="631" spans="2:3" x14ac:dyDescent="0.3">
      <c r="B631" s="10"/>
      <c r="C631" s="10"/>
    </row>
    <row r="632" spans="2:3" x14ac:dyDescent="0.3">
      <c r="B632" s="10"/>
      <c r="C632" s="10"/>
    </row>
    <row r="633" spans="2:3" x14ac:dyDescent="0.3">
      <c r="B633" s="10"/>
      <c r="C633" s="10"/>
    </row>
    <row r="634" spans="2:3" x14ac:dyDescent="0.3">
      <c r="B634" s="10"/>
      <c r="C634" s="10"/>
    </row>
    <row r="635" spans="2:3" x14ac:dyDescent="0.3">
      <c r="B635" s="10"/>
      <c r="C635" s="10"/>
    </row>
    <row r="636" spans="2:3" x14ac:dyDescent="0.3">
      <c r="B636" s="10"/>
      <c r="C636" s="10"/>
    </row>
    <row r="637" spans="2:3" x14ac:dyDescent="0.3">
      <c r="B637" s="10"/>
      <c r="C637" s="10"/>
    </row>
    <row r="638" spans="2:3" x14ac:dyDescent="0.3">
      <c r="B638" s="10"/>
      <c r="C638" s="10"/>
    </row>
    <row r="639" spans="2:3" x14ac:dyDescent="0.3">
      <c r="B639" s="10"/>
      <c r="C639" s="10"/>
    </row>
    <row r="640" spans="2:3" x14ac:dyDescent="0.3">
      <c r="B640" s="10"/>
      <c r="C640" s="10"/>
    </row>
    <row r="641" spans="2:3" x14ac:dyDescent="0.3">
      <c r="B641" s="10"/>
      <c r="C641" s="10"/>
    </row>
    <row r="642" spans="2:3" x14ac:dyDescent="0.3">
      <c r="B642" s="10"/>
      <c r="C642" s="10"/>
    </row>
    <row r="643" spans="2:3" x14ac:dyDescent="0.3">
      <c r="B643" s="10"/>
      <c r="C643" s="10"/>
    </row>
    <row r="644" spans="2:3" x14ac:dyDescent="0.3">
      <c r="B644" s="10"/>
      <c r="C644" s="10"/>
    </row>
    <row r="645" spans="2:3" x14ac:dyDescent="0.3">
      <c r="B645" s="10"/>
      <c r="C645" s="10"/>
    </row>
    <row r="646" spans="2:3" x14ac:dyDescent="0.3">
      <c r="B646" s="10"/>
      <c r="C646" s="10"/>
    </row>
    <row r="647" spans="2:3" x14ac:dyDescent="0.3">
      <c r="B647" s="10"/>
      <c r="C647" s="10"/>
    </row>
    <row r="648" spans="2:3" x14ac:dyDescent="0.3">
      <c r="B648" s="10"/>
      <c r="C648" s="10"/>
    </row>
    <row r="649" spans="2:3" x14ac:dyDescent="0.3">
      <c r="B649" s="10"/>
      <c r="C649" s="10"/>
    </row>
    <row r="650" spans="2:3" x14ac:dyDescent="0.3">
      <c r="B650" s="10"/>
      <c r="C650" s="10"/>
    </row>
    <row r="651" spans="2:3" x14ac:dyDescent="0.3">
      <c r="B651" s="10"/>
      <c r="C651" s="10"/>
    </row>
    <row r="652" spans="2:3" x14ac:dyDescent="0.3">
      <c r="B652" s="10"/>
      <c r="C652" s="10"/>
    </row>
    <row r="653" spans="2:3" x14ac:dyDescent="0.3">
      <c r="B653" s="10"/>
      <c r="C653" s="10"/>
    </row>
    <row r="654" spans="2:3" x14ac:dyDescent="0.3">
      <c r="B654" s="10"/>
      <c r="C654" s="10"/>
    </row>
    <row r="655" spans="2:3" x14ac:dyDescent="0.3">
      <c r="B655" s="10"/>
      <c r="C655" s="10"/>
    </row>
    <row r="656" spans="2:3" x14ac:dyDescent="0.3">
      <c r="B656" s="10"/>
      <c r="C656" s="10"/>
    </row>
    <row r="657" spans="2:3" x14ac:dyDescent="0.3">
      <c r="B657" s="10"/>
      <c r="C657" s="10"/>
    </row>
    <row r="658" spans="2:3" x14ac:dyDescent="0.3">
      <c r="B658" s="10"/>
      <c r="C658" s="10"/>
    </row>
    <row r="659" spans="2:3" x14ac:dyDescent="0.3">
      <c r="B659" s="10"/>
      <c r="C659" s="10"/>
    </row>
    <row r="660" spans="2:3" x14ac:dyDescent="0.3">
      <c r="B660" s="10"/>
      <c r="C660" s="10"/>
    </row>
    <row r="661" spans="2:3" x14ac:dyDescent="0.3">
      <c r="B661" s="10"/>
      <c r="C661" s="10"/>
    </row>
    <row r="662" spans="2:3" x14ac:dyDescent="0.3">
      <c r="B662" s="10"/>
      <c r="C662" s="10"/>
    </row>
    <row r="663" spans="2:3" x14ac:dyDescent="0.3">
      <c r="B663" s="10"/>
      <c r="C663" s="10"/>
    </row>
    <row r="664" spans="2:3" x14ac:dyDescent="0.3">
      <c r="B664" s="10"/>
      <c r="C664" s="10"/>
    </row>
    <row r="665" spans="2:3" x14ac:dyDescent="0.3">
      <c r="B665" s="10"/>
      <c r="C665" s="10"/>
    </row>
    <row r="666" spans="2:3" x14ac:dyDescent="0.3">
      <c r="B666" s="10"/>
      <c r="C666" s="10"/>
    </row>
    <row r="667" spans="2:3" x14ac:dyDescent="0.3">
      <c r="B667" s="10"/>
      <c r="C667" s="10"/>
    </row>
    <row r="668" spans="2:3" x14ac:dyDescent="0.3">
      <c r="B668" s="10"/>
      <c r="C668" s="10"/>
    </row>
    <row r="669" spans="2:3" x14ac:dyDescent="0.3">
      <c r="B669" s="10"/>
      <c r="C669" s="10"/>
    </row>
    <row r="670" spans="2:3" x14ac:dyDescent="0.3">
      <c r="B670" s="10"/>
      <c r="C670" s="10"/>
    </row>
    <row r="671" spans="2:3" x14ac:dyDescent="0.3">
      <c r="B671" s="10"/>
      <c r="C671" s="10"/>
    </row>
    <row r="672" spans="2:3" x14ac:dyDescent="0.3">
      <c r="B672" s="10"/>
      <c r="C672" s="10"/>
    </row>
    <row r="673" spans="2:3" x14ac:dyDescent="0.3">
      <c r="B673" s="10"/>
      <c r="C673" s="10"/>
    </row>
    <row r="674" spans="2:3" x14ac:dyDescent="0.3">
      <c r="B674" s="10"/>
      <c r="C674" s="10"/>
    </row>
    <row r="675" spans="2:3" x14ac:dyDescent="0.3">
      <c r="B675" s="10"/>
      <c r="C675" s="10"/>
    </row>
    <row r="676" spans="2:3" x14ac:dyDescent="0.3">
      <c r="B676" s="10"/>
      <c r="C676" s="10"/>
    </row>
    <row r="677" spans="2:3" x14ac:dyDescent="0.3">
      <c r="B677" s="10"/>
      <c r="C677" s="10"/>
    </row>
    <row r="678" spans="2:3" x14ac:dyDescent="0.3">
      <c r="B678" s="10"/>
      <c r="C678" s="10"/>
    </row>
    <row r="679" spans="2:3" x14ac:dyDescent="0.3">
      <c r="B679" s="10"/>
      <c r="C679" s="10"/>
    </row>
    <row r="680" spans="2:3" x14ac:dyDescent="0.3">
      <c r="B680" s="10"/>
      <c r="C680" s="10"/>
    </row>
    <row r="681" spans="2:3" x14ac:dyDescent="0.3">
      <c r="B681" s="10"/>
      <c r="C681" s="10"/>
    </row>
    <row r="682" spans="2:3" x14ac:dyDescent="0.3">
      <c r="B682" s="10"/>
      <c r="C682" s="10"/>
    </row>
    <row r="683" spans="2:3" x14ac:dyDescent="0.3">
      <c r="B683" s="10"/>
      <c r="C683" s="10"/>
    </row>
    <row r="684" spans="2:3" x14ac:dyDescent="0.3">
      <c r="B684" s="10"/>
      <c r="C684" s="10"/>
    </row>
    <row r="685" spans="2:3" x14ac:dyDescent="0.3">
      <c r="B685" s="10"/>
      <c r="C685" s="10"/>
    </row>
    <row r="686" spans="2:3" x14ac:dyDescent="0.3">
      <c r="B686" s="10"/>
      <c r="C686" s="10"/>
    </row>
    <row r="687" spans="2:3" x14ac:dyDescent="0.3">
      <c r="B687" s="10"/>
      <c r="C687" s="10"/>
    </row>
    <row r="688" spans="2:3" x14ac:dyDescent="0.3">
      <c r="B688" s="10"/>
      <c r="C688" s="10"/>
    </row>
    <row r="689" spans="2:3" x14ac:dyDescent="0.3">
      <c r="B689" s="10"/>
      <c r="C689" s="10"/>
    </row>
    <row r="690" spans="2:3" x14ac:dyDescent="0.3">
      <c r="B690" s="10"/>
      <c r="C690" s="10"/>
    </row>
    <row r="691" spans="2:3" x14ac:dyDescent="0.3">
      <c r="B691" s="10"/>
      <c r="C691" s="10"/>
    </row>
    <row r="692" spans="2:3" x14ac:dyDescent="0.3">
      <c r="B692" s="10"/>
      <c r="C692" s="10"/>
    </row>
    <row r="693" spans="2:3" x14ac:dyDescent="0.3">
      <c r="B693" s="10"/>
      <c r="C693" s="10"/>
    </row>
    <row r="694" spans="2:3" x14ac:dyDescent="0.3">
      <c r="B694" s="10"/>
      <c r="C694" s="10"/>
    </row>
    <row r="695" spans="2:3" x14ac:dyDescent="0.3">
      <c r="B695" s="10"/>
      <c r="C695" s="10"/>
    </row>
    <row r="696" spans="2:3" x14ac:dyDescent="0.3">
      <c r="B696" s="10"/>
      <c r="C696" s="10"/>
    </row>
    <row r="697" spans="2:3" x14ac:dyDescent="0.3">
      <c r="B697" s="10"/>
      <c r="C697" s="10"/>
    </row>
    <row r="698" spans="2:3" x14ac:dyDescent="0.3">
      <c r="B698" s="10"/>
      <c r="C698" s="10"/>
    </row>
    <row r="699" spans="2:3" x14ac:dyDescent="0.3">
      <c r="B699" s="10"/>
      <c r="C699" s="10"/>
    </row>
    <row r="700" spans="2:3" x14ac:dyDescent="0.3">
      <c r="B700" s="10"/>
      <c r="C700" s="10"/>
    </row>
    <row r="701" spans="2:3" x14ac:dyDescent="0.3">
      <c r="B701" s="10"/>
      <c r="C701" s="10"/>
    </row>
    <row r="702" spans="2:3" x14ac:dyDescent="0.3">
      <c r="B702" s="10"/>
      <c r="C702" s="10"/>
    </row>
    <row r="703" spans="2:3" x14ac:dyDescent="0.3">
      <c r="B703" s="10"/>
      <c r="C703" s="10"/>
    </row>
    <row r="704" spans="2:3" x14ac:dyDescent="0.3">
      <c r="B704" s="10"/>
      <c r="C704" s="10"/>
    </row>
    <row r="705" spans="2:3" x14ac:dyDescent="0.3">
      <c r="B705" s="10"/>
      <c r="C705" s="10"/>
    </row>
    <row r="706" spans="2:3" x14ac:dyDescent="0.3">
      <c r="B706" s="10"/>
      <c r="C706" s="10"/>
    </row>
    <row r="707" spans="2:3" x14ac:dyDescent="0.3">
      <c r="B707" s="10"/>
      <c r="C707" s="10"/>
    </row>
    <row r="708" spans="2:3" x14ac:dyDescent="0.3">
      <c r="B708" s="10"/>
      <c r="C708" s="10"/>
    </row>
    <row r="709" spans="2:3" x14ac:dyDescent="0.3">
      <c r="B709" s="10"/>
      <c r="C709" s="10"/>
    </row>
    <row r="710" spans="2:3" x14ac:dyDescent="0.3">
      <c r="B710" s="10"/>
      <c r="C710" s="10"/>
    </row>
    <row r="711" spans="2:3" x14ac:dyDescent="0.3">
      <c r="B711" s="10"/>
      <c r="C711" s="10"/>
    </row>
    <row r="712" spans="2:3" x14ac:dyDescent="0.3">
      <c r="B712" s="10"/>
      <c r="C712" s="10"/>
    </row>
    <row r="713" spans="2:3" x14ac:dyDescent="0.3">
      <c r="B713" s="10"/>
      <c r="C713" s="10"/>
    </row>
    <row r="714" spans="2:3" x14ac:dyDescent="0.3">
      <c r="B714" s="10"/>
      <c r="C714" s="10"/>
    </row>
    <row r="715" spans="2:3" x14ac:dyDescent="0.3">
      <c r="B715" s="10"/>
      <c r="C715" s="10"/>
    </row>
    <row r="716" spans="2:3" x14ac:dyDescent="0.3">
      <c r="B716" s="10"/>
      <c r="C716" s="10"/>
    </row>
    <row r="717" spans="2:3" x14ac:dyDescent="0.3">
      <c r="B717" s="10"/>
      <c r="C717" s="10"/>
    </row>
    <row r="718" spans="2:3" x14ac:dyDescent="0.3">
      <c r="B718" s="10"/>
      <c r="C718" s="10"/>
    </row>
    <row r="719" spans="2:3" x14ac:dyDescent="0.3">
      <c r="B719" s="10"/>
      <c r="C719" s="10"/>
    </row>
    <row r="720" spans="2:3" x14ac:dyDescent="0.3">
      <c r="B720" s="10"/>
      <c r="C720" s="10"/>
    </row>
    <row r="721" spans="2:3" x14ac:dyDescent="0.3">
      <c r="B721" s="10"/>
      <c r="C721" s="10"/>
    </row>
    <row r="722" spans="2:3" x14ac:dyDescent="0.3">
      <c r="B722" s="10"/>
      <c r="C722" s="10"/>
    </row>
    <row r="723" spans="2:3" x14ac:dyDescent="0.3">
      <c r="B723" s="10"/>
      <c r="C723" s="10"/>
    </row>
    <row r="724" spans="2:3" x14ac:dyDescent="0.3">
      <c r="B724" s="10"/>
      <c r="C724" s="10"/>
    </row>
    <row r="725" spans="2:3" x14ac:dyDescent="0.3">
      <c r="B725" s="10"/>
      <c r="C725" s="10"/>
    </row>
    <row r="726" spans="2:3" x14ac:dyDescent="0.3">
      <c r="B726" s="10"/>
      <c r="C726" s="10"/>
    </row>
    <row r="727" spans="2:3" x14ac:dyDescent="0.3">
      <c r="B727" s="10"/>
      <c r="C727" s="10"/>
    </row>
    <row r="728" spans="2:3" x14ac:dyDescent="0.3">
      <c r="B728" s="10"/>
      <c r="C728" s="10"/>
    </row>
    <row r="729" spans="2:3" x14ac:dyDescent="0.3">
      <c r="B729" s="10"/>
      <c r="C729" s="10"/>
    </row>
    <row r="730" spans="2:3" x14ac:dyDescent="0.3">
      <c r="B730" s="10"/>
      <c r="C730" s="10"/>
    </row>
    <row r="731" spans="2:3" x14ac:dyDescent="0.3">
      <c r="B731" s="10"/>
      <c r="C731" s="10"/>
    </row>
    <row r="732" spans="2:3" x14ac:dyDescent="0.3">
      <c r="B732" s="10"/>
      <c r="C732" s="10"/>
    </row>
    <row r="733" spans="2:3" x14ac:dyDescent="0.3">
      <c r="B733" s="10"/>
      <c r="C733" s="10"/>
    </row>
    <row r="734" spans="2:3" x14ac:dyDescent="0.3">
      <c r="B734" s="10"/>
      <c r="C734" s="10"/>
    </row>
    <row r="735" spans="2:3" x14ac:dyDescent="0.3">
      <c r="B735" s="10"/>
      <c r="C735" s="10"/>
    </row>
    <row r="736" spans="2:3" x14ac:dyDescent="0.3">
      <c r="B736" s="10"/>
      <c r="C736" s="10"/>
    </row>
    <row r="737" spans="2:3" x14ac:dyDescent="0.3">
      <c r="B737" s="10"/>
      <c r="C737" s="10"/>
    </row>
    <row r="738" spans="2:3" x14ac:dyDescent="0.3">
      <c r="B738" s="10"/>
      <c r="C738" s="10"/>
    </row>
    <row r="739" spans="2:3" x14ac:dyDescent="0.3">
      <c r="B739" s="10"/>
      <c r="C739" s="10"/>
    </row>
    <row r="740" spans="2:3" x14ac:dyDescent="0.3">
      <c r="B740" s="10"/>
      <c r="C740" s="10"/>
    </row>
    <row r="741" spans="2:3" x14ac:dyDescent="0.3">
      <c r="B741" s="10"/>
      <c r="C741" s="10"/>
    </row>
    <row r="742" spans="2:3" x14ac:dyDescent="0.3">
      <c r="B742" s="10"/>
      <c r="C742" s="10"/>
    </row>
    <row r="743" spans="2:3" x14ac:dyDescent="0.3">
      <c r="B743" s="10"/>
      <c r="C743" s="10"/>
    </row>
    <row r="744" spans="2:3" x14ac:dyDescent="0.3">
      <c r="B744" s="10"/>
      <c r="C744" s="10"/>
    </row>
    <row r="745" spans="2:3" x14ac:dyDescent="0.3">
      <c r="B745" s="10"/>
      <c r="C745" s="10"/>
    </row>
    <row r="746" spans="2:3" x14ac:dyDescent="0.3">
      <c r="B746" s="10"/>
      <c r="C746" s="10"/>
    </row>
    <row r="747" spans="2:3" x14ac:dyDescent="0.3">
      <c r="B747" s="10"/>
      <c r="C747" s="10"/>
    </row>
    <row r="748" spans="2:3" x14ac:dyDescent="0.3">
      <c r="B748" s="10"/>
      <c r="C748" s="10"/>
    </row>
    <row r="749" spans="2:3" x14ac:dyDescent="0.3">
      <c r="B749" s="10"/>
      <c r="C749" s="10"/>
    </row>
    <row r="750" spans="2:3" x14ac:dyDescent="0.3">
      <c r="B750" s="10"/>
      <c r="C750" s="10"/>
    </row>
    <row r="751" spans="2:3" x14ac:dyDescent="0.3">
      <c r="B751" s="10"/>
      <c r="C751" s="10"/>
    </row>
    <row r="752" spans="2:3" x14ac:dyDescent="0.3">
      <c r="B752" s="10"/>
      <c r="C752" s="10"/>
    </row>
    <row r="753" spans="2:3" x14ac:dyDescent="0.3">
      <c r="B753" s="10"/>
      <c r="C753" s="10"/>
    </row>
    <row r="754" spans="2:3" x14ac:dyDescent="0.3">
      <c r="B754" s="10"/>
      <c r="C754" s="10"/>
    </row>
    <row r="755" spans="2:3" x14ac:dyDescent="0.3">
      <c r="B755" s="10"/>
      <c r="C755" s="10"/>
    </row>
    <row r="756" spans="2:3" x14ac:dyDescent="0.3">
      <c r="B756" s="10"/>
      <c r="C756" s="10"/>
    </row>
    <row r="757" spans="2:3" x14ac:dyDescent="0.3">
      <c r="B757" s="10"/>
      <c r="C757" s="10"/>
    </row>
    <row r="758" spans="2:3" x14ac:dyDescent="0.3">
      <c r="B758" s="10"/>
      <c r="C758" s="10"/>
    </row>
    <row r="759" spans="2:3" x14ac:dyDescent="0.3">
      <c r="B759" s="10"/>
      <c r="C759" s="10"/>
    </row>
    <row r="760" spans="2:3" x14ac:dyDescent="0.3">
      <c r="B760" s="10"/>
      <c r="C760" s="10"/>
    </row>
    <row r="761" spans="2:3" x14ac:dyDescent="0.3">
      <c r="B761" s="10"/>
      <c r="C761" s="10"/>
    </row>
    <row r="762" spans="2:3" x14ac:dyDescent="0.3">
      <c r="B762" s="10"/>
      <c r="C762" s="10"/>
    </row>
    <row r="763" spans="2:3" x14ac:dyDescent="0.3">
      <c r="B763" s="10"/>
      <c r="C763" s="10"/>
    </row>
    <row r="764" spans="2:3" x14ac:dyDescent="0.3">
      <c r="B764" s="10"/>
      <c r="C764" s="10"/>
    </row>
    <row r="765" spans="2:3" x14ac:dyDescent="0.3">
      <c r="B765" s="10"/>
      <c r="C765" s="10"/>
    </row>
    <row r="766" spans="2:3" x14ac:dyDescent="0.3">
      <c r="B766" s="10"/>
      <c r="C766" s="10"/>
    </row>
    <row r="767" spans="2:3" x14ac:dyDescent="0.3">
      <c r="B767" s="10"/>
      <c r="C767" s="10"/>
    </row>
    <row r="768" spans="2:3" x14ac:dyDescent="0.3">
      <c r="B768" s="10"/>
      <c r="C768" s="10"/>
    </row>
    <row r="769" spans="2:3" x14ac:dyDescent="0.3">
      <c r="B769" s="10"/>
      <c r="C769" s="10"/>
    </row>
    <row r="770" spans="2:3" x14ac:dyDescent="0.3">
      <c r="B770" s="10"/>
      <c r="C770" s="10"/>
    </row>
    <row r="771" spans="2:3" x14ac:dyDescent="0.3">
      <c r="B771" s="10"/>
      <c r="C771" s="10"/>
    </row>
    <row r="772" spans="2:3" x14ac:dyDescent="0.3">
      <c r="B772" s="10"/>
      <c r="C772" s="10"/>
    </row>
    <row r="773" spans="2:3" x14ac:dyDescent="0.3">
      <c r="B773" s="10"/>
      <c r="C773" s="10"/>
    </row>
    <row r="774" spans="2:3" x14ac:dyDescent="0.3">
      <c r="B774" s="10"/>
      <c r="C774" s="10"/>
    </row>
    <row r="775" spans="2:3" x14ac:dyDescent="0.3">
      <c r="B775" s="10"/>
      <c r="C775" s="10"/>
    </row>
    <row r="776" spans="2:3" x14ac:dyDescent="0.3">
      <c r="B776" s="10"/>
      <c r="C776" s="10"/>
    </row>
    <row r="777" spans="2:3" x14ac:dyDescent="0.3">
      <c r="B777" s="10"/>
      <c r="C777" s="10"/>
    </row>
    <row r="778" spans="2:3" x14ac:dyDescent="0.3">
      <c r="B778" s="10"/>
      <c r="C778" s="10"/>
    </row>
    <row r="779" spans="2:3" x14ac:dyDescent="0.3">
      <c r="B779" s="10"/>
      <c r="C779" s="10"/>
    </row>
    <row r="780" spans="2:3" x14ac:dyDescent="0.3">
      <c r="B780" s="10"/>
      <c r="C780" s="10"/>
    </row>
    <row r="781" spans="2:3" x14ac:dyDescent="0.3">
      <c r="B781" s="10"/>
      <c r="C781" s="10"/>
    </row>
    <row r="782" spans="2:3" x14ac:dyDescent="0.3">
      <c r="B782" s="10"/>
      <c r="C782" s="10"/>
    </row>
    <row r="783" spans="2:3" x14ac:dyDescent="0.3">
      <c r="B783" s="10"/>
      <c r="C783" s="10"/>
    </row>
    <row r="784" spans="2:3" x14ac:dyDescent="0.3">
      <c r="B784" s="10"/>
      <c r="C784" s="10"/>
    </row>
    <row r="785" spans="2:3" x14ac:dyDescent="0.3">
      <c r="B785" s="10"/>
      <c r="C785" s="10"/>
    </row>
    <row r="786" spans="2:3" x14ac:dyDescent="0.3">
      <c r="B786" s="10"/>
      <c r="C786" s="10"/>
    </row>
    <row r="787" spans="2:3" x14ac:dyDescent="0.3">
      <c r="B787" s="10"/>
      <c r="C787" s="10"/>
    </row>
    <row r="788" spans="2:3" x14ac:dyDescent="0.3">
      <c r="B788" s="10"/>
      <c r="C788" s="10"/>
    </row>
    <row r="789" spans="2:3" x14ac:dyDescent="0.3">
      <c r="B789" s="10"/>
      <c r="C789" s="10"/>
    </row>
    <row r="790" spans="2:3" x14ac:dyDescent="0.3">
      <c r="B790" s="10"/>
      <c r="C790" s="10"/>
    </row>
    <row r="791" spans="2:3" x14ac:dyDescent="0.3">
      <c r="B791" s="10"/>
      <c r="C791" s="10"/>
    </row>
    <row r="792" spans="2:3" x14ac:dyDescent="0.3">
      <c r="B792" s="10"/>
      <c r="C792" s="10"/>
    </row>
    <row r="793" spans="2:3" x14ac:dyDescent="0.3">
      <c r="B793" s="10"/>
      <c r="C793" s="10"/>
    </row>
    <row r="794" spans="2:3" x14ac:dyDescent="0.3">
      <c r="B794" s="10"/>
      <c r="C794" s="10"/>
    </row>
    <row r="795" spans="2:3" x14ac:dyDescent="0.3">
      <c r="B795" s="10"/>
      <c r="C795" s="10"/>
    </row>
    <row r="796" spans="2:3" x14ac:dyDescent="0.3">
      <c r="B796" s="10"/>
      <c r="C796" s="10"/>
    </row>
    <row r="797" spans="2:3" x14ac:dyDescent="0.3">
      <c r="B797" s="10"/>
      <c r="C797" s="10"/>
    </row>
    <row r="798" spans="2:3" x14ac:dyDescent="0.3">
      <c r="B798" s="10"/>
      <c r="C798" s="10"/>
    </row>
    <row r="799" spans="2:3" x14ac:dyDescent="0.3">
      <c r="B799" s="10"/>
      <c r="C799" s="10"/>
    </row>
    <row r="800" spans="2:3" x14ac:dyDescent="0.3">
      <c r="B800" s="10"/>
      <c r="C800" s="10"/>
    </row>
    <row r="801" spans="2:3" x14ac:dyDescent="0.3">
      <c r="B801" s="10"/>
      <c r="C801" s="10"/>
    </row>
    <row r="802" spans="2:3" x14ac:dyDescent="0.3">
      <c r="B802" s="10"/>
      <c r="C802" s="10"/>
    </row>
    <row r="803" spans="2:3" x14ac:dyDescent="0.3">
      <c r="B803" s="10"/>
      <c r="C803" s="10"/>
    </row>
    <row r="804" spans="2:3" x14ac:dyDescent="0.3">
      <c r="B804" s="10"/>
      <c r="C804" s="10"/>
    </row>
    <row r="805" spans="2:3" x14ac:dyDescent="0.3">
      <c r="B805" s="10"/>
      <c r="C805" s="10"/>
    </row>
    <row r="806" spans="2:3" x14ac:dyDescent="0.3">
      <c r="B806" s="10"/>
      <c r="C806" s="10"/>
    </row>
    <row r="807" spans="2:3" x14ac:dyDescent="0.3">
      <c r="B807" s="10"/>
      <c r="C807" s="10"/>
    </row>
    <row r="808" spans="2:3" x14ac:dyDescent="0.3">
      <c r="B808" s="10"/>
      <c r="C808" s="10"/>
    </row>
    <row r="809" spans="2:3" x14ac:dyDescent="0.3">
      <c r="B809" s="10"/>
      <c r="C809" s="10"/>
    </row>
    <row r="810" spans="2:3" x14ac:dyDescent="0.3">
      <c r="B810" s="10"/>
      <c r="C810" s="10"/>
    </row>
    <row r="811" spans="2:3" x14ac:dyDescent="0.3">
      <c r="B811" s="10"/>
      <c r="C811" s="10"/>
    </row>
    <row r="812" spans="2:3" x14ac:dyDescent="0.3">
      <c r="B812" s="10"/>
      <c r="C812" s="10"/>
    </row>
    <row r="813" spans="2:3" x14ac:dyDescent="0.3">
      <c r="B813" s="10"/>
      <c r="C813" s="10"/>
    </row>
    <row r="814" spans="2:3" x14ac:dyDescent="0.3">
      <c r="B814" s="10"/>
      <c r="C814" s="10"/>
    </row>
    <row r="815" spans="2:3" x14ac:dyDescent="0.3">
      <c r="B815" s="10"/>
      <c r="C815" s="10"/>
    </row>
    <row r="816" spans="2:3" x14ac:dyDescent="0.3">
      <c r="B816" s="10"/>
      <c r="C816" s="10"/>
    </row>
    <row r="817" spans="2:3" x14ac:dyDescent="0.3">
      <c r="B817" s="10"/>
      <c r="C817" s="10"/>
    </row>
    <row r="818" spans="2:3" x14ac:dyDescent="0.3">
      <c r="B818" s="10"/>
      <c r="C818" s="10"/>
    </row>
    <row r="819" spans="2:3" x14ac:dyDescent="0.3">
      <c r="B819" s="10"/>
      <c r="C819" s="10"/>
    </row>
    <row r="820" spans="2:3" x14ac:dyDescent="0.3">
      <c r="B820" s="10"/>
      <c r="C820" s="10"/>
    </row>
    <row r="821" spans="2:3" x14ac:dyDescent="0.3">
      <c r="B821" s="10"/>
      <c r="C821" s="10"/>
    </row>
    <row r="822" spans="2:3" x14ac:dyDescent="0.3">
      <c r="B822" s="10"/>
      <c r="C822" s="10"/>
    </row>
    <row r="823" spans="2:3" x14ac:dyDescent="0.3">
      <c r="B823" s="10"/>
      <c r="C823" s="10"/>
    </row>
    <row r="824" spans="2:3" x14ac:dyDescent="0.3">
      <c r="B824" s="10"/>
      <c r="C824" s="10"/>
    </row>
    <row r="825" spans="2:3" x14ac:dyDescent="0.3">
      <c r="B825" s="10"/>
      <c r="C825" s="10"/>
    </row>
    <row r="826" spans="2:3" x14ac:dyDescent="0.3">
      <c r="B826" s="10"/>
      <c r="C826" s="10"/>
    </row>
    <row r="827" spans="2:3" x14ac:dyDescent="0.3">
      <c r="B827" s="10"/>
      <c r="C827" s="10"/>
    </row>
    <row r="828" spans="2:3" x14ac:dyDescent="0.3">
      <c r="B828" s="10"/>
      <c r="C828" s="10"/>
    </row>
    <row r="829" spans="2:3" x14ac:dyDescent="0.3">
      <c r="B829" s="10"/>
      <c r="C829" s="10"/>
    </row>
    <row r="830" spans="2:3" x14ac:dyDescent="0.3">
      <c r="B830" s="10"/>
      <c r="C830" s="10"/>
    </row>
    <row r="831" spans="2:3" x14ac:dyDescent="0.3">
      <c r="B831" s="10"/>
      <c r="C831" s="10"/>
    </row>
    <row r="832" spans="2:3" x14ac:dyDescent="0.3">
      <c r="B832" s="10"/>
      <c r="C832" s="10"/>
    </row>
    <row r="833" spans="2:3" x14ac:dyDescent="0.3">
      <c r="B833" s="10"/>
      <c r="C833" s="10"/>
    </row>
    <row r="834" spans="2:3" x14ac:dyDescent="0.3">
      <c r="B834" s="10"/>
      <c r="C834" s="10"/>
    </row>
    <row r="835" spans="2:3" x14ac:dyDescent="0.3">
      <c r="B835" s="10"/>
      <c r="C835" s="10"/>
    </row>
    <row r="836" spans="2:3" x14ac:dyDescent="0.3">
      <c r="B836" s="10"/>
      <c r="C836" s="10"/>
    </row>
    <row r="837" spans="2:3" x14ac:dyDescent="0.3">
      <c r="B837" s="10"/>
      <c r="C837" s="10"/>
    </row>
    <row r="838" spans="2:3" x14ac:dyDescent="0.3">
      <c r="B838" s="10"/>
      <c r="C838" s="10"/>
    </row>
    <row r="839" spans="2:3" x14ac:dyDescent="0.3">
      <c r="B839" s="10"/>
      <c r="C839" s="10"/>
    </row>
    <row r="840" spans="2:3" x14ac:dyDescent="0.3">
      <c r="B840" s="10"/>
      <c r="C840" s="10"/>
    </row>
    <row r="841" spans="2:3" x14ac:dyDescent="0.3">
      <c r="B841" s="10"/>
      <c r="C841" s="10"/>
    </row>
    <row r="842" spans="2:3" x14ac:dyDescent="0.3">
      <c r="B842" s="10"/>
      <c r="C842" s="10"/>
    </row>
    <row r="843" spans="2:3" x14ac:dyDescent="0.3">
      <c r="B843" s="10"/>
      <c r="C843" s="10"/>
    </row>
    <row r="844" spans="2:3" x14ac:dyDescent="0.3">
      <c r="B844" s="10"/>
      <c r="C844" s="10"/>
    </row>
    <row r="845" spans="2:3" x14ac:dyDescent="0.3">
      <c r="B845" s="10"/>
      <c r="C845" s="10"/>
    </row>
    <row r="846" spans="2:3" x14ac:dyDescent="0.3">
      <c r="B846" s="10"/>
      <c r="C846" s="10"/>
    </row>
    <row r="847" spans="2:3" x14ac:dyDescent="0.3">
      <c r="B847" s="10"/>
      <c r="C847" s="10"/>
    </row>
    <row r="848" spans="2:3" x14ac:dyDescent="0.3">
      <c r="B848" s="10"/>
      <c r="C848" s="10"/>
    </row>
    <row r="849" spans="2:3" x14ac:dyDescent="0.3">
      <c r="B849" s="10"/>
      <c r="C849" s="10"/>
    </row>
    <row r="850" spans="2:3" x14ac:dyDescent="0.3">
      <c r="B850" s="10"/>
      <c r="C850" s="10"/>
    </row>
    <row r="851" spans="2:3" x14ac:dyDescent="0.3">
      <c r="B851" s="10"/>
      <c r="C851" s="10"/>
    </row>
    <row r="852" spans="2:3" x14ac:dyDescent="0.3">
      <c r="B852" s="10"/>
      <c r="C852" s="10"/>
    </row>
    <row r="853" spans="2:3" x14ac:dyDescent="0.3">
      <c r="B853" s="10"/>
      <c r="C853" s="10"/>
    </row>
    <row r="854" spans="2:3" x14ac:dyDescent="0.3">
      <c r="B854" s="10"/>
      <c r="C854" s="10"/>
    </row>
    <row r="855" spans="2:3" x14ac:dyDescent="0.3">
      <c r="B855" s="10"/>
      <c r="C855" s="10"/>
    </row>
    <row r="856" spans="2:3" x14ac:dyDescent="0.3">
      <c r="B856" s="10"/>
      <c r="C856" s="10"/>
    </row>
    <row r="857" spans="2:3" x14ac:dyDescent="0.3">
      <c r="B857" s="10"/>
      <c r="C857" s="10"/>
    </row>
    <row r="858" spans="2:3" x14ac:dyDescent="0.3">
      <c r="B858" s="10"/>
      <c r="C858" s="10"/>
    </row>
    <row r="859" spans="2:3" x14ac:dyDescent="0.3">
      <c r="B859" s="10"/>
      <c r="C859" s="10"/>
    </row>
    <row r="860" spans="2:3" x14ac:dyDescent="0.3">
      <c r="B860" s="10"/>
      <c r="C860" s="10"/>
    </row>
    <row r="861" spans="2:3" x14ac:dyDescent="0.3">
      <c r="B861" s="10"/>
      <c r="C861" s="10"/>
    </row>
    <row r="862" spans="2:3" x14ac:dyDescent="0.3">
      <c r="B862" s="10"/>
      <c r="C862" s="10"/>
    </row>
    <row r="863" spans="2:3" x14ac:dyDescent="0.3">
      <c r="B863" s="10"/>
      <c r="C863" s="10"/>
    </row>
    <row r="864" spans="2:3" x14ac:dyDescent="0.3">
      <c r="B864" s="10"/>
      <c r="C864" s="10"/>
    </row>
    <row r="865" spans="2:3" x14ac:dyDescent="0.3">
      <c r="B865" s="10"/>
      <c r="C865" s="10"/>
    </row>
    <row r="866" spans="2:3" x14ac:dyDescent="0.3">
      <c r="B866" s="10"/>
      <c r="C866" s="10"/>
    </row>
    <row r="867" spans="2:3" x14ac:dyDescent="0.3">
      <c r="B867" s="10"/>
      <c r="C867" s="10"/>
    </row>
    <row r="868" spans="2:3" x14ac:dyDescent="0.3">
      <c r="B868" s="10"/>
      <c r="C868" s="10"/>
    </row>
    <row r="869" spans="2:3" x14ac:dyDescent="0.3">
      <c r="B869" s="10"/>
      <c r="C869" s="10"/>
    </row>
    <row r="870" spans="2:3" x14ac:dyDescent="0.3">
      <c r="B870" s="10"/>
      <c r="C870" s="10"/>
    </row>
    <row r="871" spans="2:3" x14ac:dyDescent="0.3">
      <c r="B871" s="10"/>
      <c r="C871" s="10"/>
    </row>
    <row r="872" spans="2:3" x14ac:dyDescent="0.3">
      <c r="B872" s="10"/>
      <c r="C872" s="10"/>
    </row>
    <row r="873" spans="2:3" x14ac:dyDescent="0.3">
      <c r="B873" s="10"/>
      <c r="C873" s="10"/>
    </row>
    <row r="874" spans="2:3" x14ac:dyDescent="0.3">
      <c r="B874" s="10"/>
      <c r="C874" s="10"/>
    </row>
    <row r="875" spans="2:3" x14ac:dyDescent="0.3">
      <c r="B875" s="10"/>
      <c r="C875" s="10"/>
    </row>
    <row r="876" spans="2:3" x14ac:dyDescent="0.3">
      <c r="B876" s="10"/>
      <c r="C876" s="10"/>
    </row>
    <row r="877" spans="2:3" x14ac:dyDescent="0.3">
      <c r="B877" s="10"/>
      <c r="C877" s="10"/>
    </row>
    <row r="878" spans="2:3" x14ac:dyDescent="0.3">
      <c r="B878" s="10"/>
      <c r="C878" s="10"/>
    </row>
    <row r="879" spans="2:3" x14ac:dyDescent="0.3">
      <c r="B879" s="10"/>
      <c r="C879" s="10"/>
    </row>
    <row r="880" spans="2:3" x14ac:dyDescent="0.3">
      <c r="B880" s="10"/>
      <c r="C880" s="10"/>
    </row>
    <row r="881" spans="2:3" x14ac:dyDescent="0.3">
      <c r="B881" s="10"/>
      <c r="C881" s="10"/>
    </row>
    <row r="882" spans="2:3" x14ac:dyDescent="0.3">
      <c r="B882" s="10"/>
      <c r="C882" s="10"/>
    </row>
    <row r="883" spans="2:3" x14ac:dyDescent="0.3">
      <c r="B883" s="10"/>
      <c r="C883" s="10"/>
    </row>
    <row r="884" spans="2:3" x14ac:dyDescent="0.3">
      <c r="B884" s="10"/>
      <c r="C884" s="10"/>
    </row>
    <row r="885" spans="2:3" x14ac:dyDescent="0.3">
      <c r="B885" s="10"/>
      <c r="C885" s="10"/>
    </row>
    <row r="886" spans="2:3" x14ac:dyDescent="0.3">
      <c r="B886" s="10"/>
      <c r="C886" s="10"/>
    </row>
    <row r="887" spans="2:3" x14ac:dyDescent="0.3">
      <c r="B887" s="10"/>
      <c r="C887" s="10"/>
    </row>
    <row r="888" spans="2:3" x14ac:dyDescent="0.3">
      <c r="B888" s="10"/>
      <c r="C888" s="10"/>
    </row>
    <row r="889" spans="2:3" x14ac:dyDescent="0.3">
      <c r="B889" s="10"/>
      <c r="C889" s="10"/>
    </row>
    <row r="890" spans="2:3" x14ac:dyDescent="0.3">
      <c r="B890" s="10"/>
      <c r="C890" s="10"/>
    </row>
    <row r="891" spans="2:3" x14ac:dyDescent="0.3">
      <c r="B891" s="10"/>
      <c r="C891" s="10"/>
    </row>
    <row r="892" spans="2:3" x14ac:dyDescent="0.3">
      <c r="B892" s="10"/>
      <c r="C892" s="10"/>
    </row>
    <row r="893" spans="2:3" x14ac:dyDescent="0.3">
      <c r="B893" s="10"/>
      <c r="C893" s="10"/>
    </row>
    <row r="894" spans="2:3" x14ac:dyDescent="0.3">
      <c r="B894" s="10"/>
      <c r="C894" s="10"/>
    </row>
    <row r="895" spans="2:3" x14ac:dyDescent="0.3">
      <c r="B895" s="10"/>
      <c r="C895" s="10"/>
    </row>
    <row r="896" spans="2:3" x14ac:dyDescent="0.3">
      <c r="B896" s="10"/>
      <c r="C896" s="10"/>
    </row>
    <row r="897" spans="2:3" x14ac:dyDescent="0.3">
      <c r="B897" s="10"/>
      <c r="C897" s="10"/>
    </row>
    <row r="898" spans="2:3" x14ac:dyDescent="0.3">
      <c r="B898" s="10"/>
      <c r="C898" s="10"/>
    </row>
    <row r="899" spans="2:3" x14ac:dyDescent="0.3">
      <c r="B899" s="10"/>
      <c r="C899" s="10"/>
    </row>
    <row r="900" spans="2:3" x14ac:dyDescent="0.3">
      <c r="B900" s="10"/>
      <c r="C900" s="10"/>
    </row>
    <row r="901" spans="2:3" x14ac:dyDescent="0.3">
      <c r="B901" s="10"/>
      <c r="C901" s="10"/>
    </row>
    <row r="902" spans="2:3" x14ac:dyDescent="0.3">
      <c r="B902" s="10"/>
      <c r="C902" s="10"/>
    </row>
    <row r="903" spans="2:3" x14ac:dyDescent="0.3">
      <c r="B903" s="10"/>
      <c r="C903" s="10"/>
    </row>
    <row r="904" spans="2:3" x14ac:dyDescent="0.3">
      <c r="B904" s="10"/>
      <c r="C904" s="10"/>
    </row>
    <row r="905" spans="2:3" x14ac:dyDescent="0.3">
      <c r="B905" s="10"/>
      <c r="C905" s="10"/>
    </row>
    <row r="906" spans="2:3" x14ac:dyDescent="0.3">
      <c r="B906" s="10"/>
      <c r="C906" s="10"/>
    </row>
    <row r="907" spans="2:3" x14ac:dyDescent="0.3">
      <c r="B907" s="10"/>
      <c r="C907" s="10"/>
    </row>
    <row r="908" spans="2:3" x14ac:dyDescent="0.3">
      <c r="B908" s="10"/>
      <c r="C908" s="10"/>
    </row>
    <row r="909" spans="2:3" x14ac:dyDescent="0.3">
      <c r="B909" s="10"/>
      <c r="C909" s="10"/>
    </row>
    <row r="910" spans="2:3" x14ac:dyDescent="0.3">
      <c r="B910" s="10"/>
      <c r="C910" s="10"/>
    </row>
    <row r="911" spans="2:3" x14ac:dyDescent="0.3">
      <c r="B911" s="10"/>
      <c r="C911" s="10"/>
    </row>
    <row r="912" spans="2:3" x14ac:dyDescent="0.3">
      <c r="B912" s="10"/>
      <c r="C912" s="10"/>
    </row>
    <row r="913" spans="2:3" x14ac:dyDescent="0.3">
      <c r="B913" s="10"/>
      <c r="C913" s="10"/>
    </row>
    <row r="914" spans="2:3" x14ac:dyDescent="0.3">
      <c r="B914" s="10"/>
      <c r="C914" s="10"/>
    </row>
    <row r="915" spans="2:3" x14ac:dyDescent="0.3">
      <c r="B915" s="10"/>
      <c r="C915" s="10"/>
    </row>
    <row r="916" spans="2:3" x14ac:dyDescent="0.3">
      <c r="B916" s="10"/>
      <c r="C916" s="10"/>
    </row>
    <row r="917" spans="2:3" x14ac:dyDescent="0.3">
      <c r="B917" s="10"/>
      <c r="C917" s="10"/>
    </row>
    <row r="918" spans="2:3" x14ac:dyDescent="0.3">
      <c r="B918" s="10"/>
      <c r="C918" s="10"/>
    </row>
    <row r="919" spans="2:3" x14ac:dyDescent="0.3">
      <c r="B919" s="10"/>
      <c r="C919" s="10"/>
    </row>
    <row r="920" spans="2:3" x14ac:dyDescent="0.3">
      <c r="B920" s="10"/>
      <c r="C920" s="10"/>
    </row>
    <row r="921" spans="2:3" x14ac:dyDescent="0.3">
      <c r="B921" s="10"/>
      <c r="C921" s="10"/>
    </row>
    <row r="922" spans="2:3" x14ac:dyDescent="0.3">
      <c r="B922" s="10"/>
      <c r="C922" s="10"/>
    </row>
    <row r="923" spans="2:3" x14ac:dyDescent="0.3">
      <c r="B923" s="10"/>
      <c r="C923" s="10"/>
    </row>
    <row r="924" spans="2:3" x14ac:dyDescent="0.3">
      <c r="B924" s="10"/>
      <c r="C924" s="10"/>
    </row>
    <row r="925" spans="2:3" x14ac:dyDescent="0.3">
      <c r="B925" s="10"/>
      <c r="C925" s="10"/>
    </row>
    <row r="926" spans="2:3" x14ac:dyDescent="0.3">
      <c r="B926" s="10"/>
      <c r="C926" s="10"/>
    </row>
    <row r="927" spans="2:3" x14ac:dyDescent="0.3">
      <c r="B927" s="10"/>
      <c r="C927" s="10"/>
    </row>
    <row r="928" spans="2:3" x14ac:dyDescent="0.3">
      <c r="B928" s="10"/>
      <c r="C928" s="10"/>
    </row>
    <row r="929" spans="2:3" x14ac:dyDescent="0.3">
      <c r="B929" s="10"/>
      <c r="C929" s="10"/>
    </row>
    <row r="930" spans="2:3" x14ac:dyDescent="0.3">
      <c r="B930" s="10"/>
      <c r="C930" s="10"/>
    </row>
    <row r="931" spans="2:3" x14ac:dyDescent="0.3">
      <c r="B931" s="10"/>
      <c r="C931" s="10"/>
    </row>
    <row r="932" spans="2:3" x14ac:dyDescent="0.3">
      <c r="B932" s="10"/>
      <c r="C932" s="10"/>
    </row>
    <row r="933" spans="2:3" x14ac:dyDescent="0.3">
      <c r="B933" s="10"/>
      <c r="C933" s="10"/>
    </row>
    <row r="934" spans="2:3" x14ac:dyDescent="0.3">
      <c r="B934" s="10"/>
      <c r="C934" s="10"/>
    </row>
    <row r="935" spans="2:3" x14ac:dyDescent="0.3">
      <c r="B935" s="10"/>
      <c r="C935" s="10"/>
    </row>
    <row r="936" spans="2:3" x14ac:dyDescent="0.3">
      <c r="B936" s="10"/>
      <c r="C936" s="10"/>
    </row>
    <row r="937" spans="2:3" x14ac:dyDescent="0.3">
      <c r="B937" s="10"/>
      <c r="C937" s="10"/>
    </row>
    <row r="938" spans="2:3" x14ac:dyDescent="0.3">
      <c r="B938" s="10"/>
      <c r="C938" s="10"/>
    </row>
    <row r="939" spans="2:3" x14ac:dyDescent="0.3">
      <c r="B939" s="10"/>
      <c r="C939" s="10"/>
    </row>
    <row r="940" spans="2:3" x14ac:dyDescent="0.3">
      <c r="B940" s="10"/>
      <c r="C940" s="10"/>
    </row>
    <row r="941" spans="2:3" x14ac:dyDescent="0.3">
      <c r="B941" s="10"/>
      <c r="C941" s="10"/>
    </row>
    <row r="942" spans="2:3" x14ac:dyDescent="0.3">
      <c r="B942" s="10"/>
      <c r="C942" s="10"/>
    </row>
    <row r="943" spans="2:3" x14ac:dyDescent="0.3">
      <c r="B943" s="10"/>
      <c r="C943" s="10"/>
    </row>
    <row r="944" spans="2:3" x14ac:dyDescent="0.3">
      <c r="B944" s="10"/>
      <c r="C944" s="10"/>
    </row>
    <row r="945" spans="2:3" x14ac:dyDescent="0.3">
      <c r="B945" s="10"/>
      <c r="C945" s="10"/>
    </row>
    <row r="946" spans="2:3" x14ac:dyDescent="0.3">
      <c r="B946" s="10"/>
      <c r="C946" s="10"/>
    </row>
    <row r="947" spans="2:3" x14ac:dyDescent="0.3">
      <c r="B947" s="10"/>
      <c r="C947" s="10"/>
    </row>
    <row r="948" spans="2:3" x14ac:dyDescent="0.3">
      <c r="B948" s="10"/>
      <c r="C948" s="10"/>
    </row>
    <row r="949" spans="2:3" x14ac:dyDescent="0.3">
      <c r="B949" s="10"/>
      <c r="C949" s="10"/>
    </row>
    <row r="950" spans="2:3" x14ac:dyDescent="0.3">
      <c r="B950" s="10"/>
      <c r="C950" s="10"/>
    </row>
    <row r="951" spans="2:3" x14ac:dyDescent="0.3">
      <c r="B951" s="10"/>
      <c r="C951" s="10"/>
    </row>
    <row r="952" spans="2:3" x14ac:dyDescent="0.3">
      <c r="B952" s="10"/>
      <c r="C952" s="10"/>
    </row>
    <row r="953" spans="2:3" x14ac:dyDescent="0.3">
      <c r="B953" s="10"/>
      <c r="C953" s="10"/>
    </row>
    <row r="954" spans="2:3" x14ac:dyDescent="0.3">
      <c r="B954" s="10"/>
      <c r="C954" s="10"/>
    </row>
    <row r="955" spans="2:3" x14ac:dyDescent="0.3">
      <c r="B955" s="10"/>
      <c r="C955" s="10"/>
    </row>
    <row r="956" spans="2:3" x14ac:dyDescent="0.3">
      <c r="B956" s="10"/>
      <c r="C956" s="10"/>
    </row>
    <row r="957" spans="2:3" x14ac:dyDescent="0.3">
      <c r="B957" s="10"/>
      <c r="C957" s="10"/>
    </row>
    <row r="958" spans="2:3" x14ac:dyDescent="0.3">
      <c r="B958" s="10"/>
      <c r="C958" s="10"/>
    </row>
    <row r="959" spans="2:3" x14ac:dyDescent="0.3">
      <c r="B959" s="10"/>
      <c r="C959" s="10"/>
    </row>
    <row r="960" spans="2:3" x14ac:dyDescent="0.3">
      <c r="B960" s="10"/>
      <c r="C960" s="10"/>
    </row>
    <row r="961" spans="2:3" x14ac:dyDescent="0.3">
      <c r="B961" s="10"/>
      <c r="C961" s="10"/>
    </row>
    <row r="962" spans="2:3" x14ac:dyDescent="0.3">
      <c r="B962" s="10"/>
      <c r="C962" s="10"/>
    </row>
    <row r="963" spans="2:3" x14ac:dyDescent="0.3">
      <c r="B963" s="10"/>
      <c r="C963" s="10"/>
    </row>
    <row r="964" spans="2:3" x14ac:dyDescent="0.3">
      <c r="B964" s="10"/>
      <c r="C964" s="10"/>
    </row>
    <row r="965" spans="2:3" x14ac:dyDescent="0.3">
      <c r="B965" s="10"/>
      <c r="C965" s="10"/>
    </row>
    <row r="966" spans="2:3" x14ac:dyDescent="0.3">
      <c r="B966" s="10"/>
      <c r="C966" s="10"/>
    </row>
    <row r="967" spans="2:3" x14ac:dyDescent="0.3">
      <c r="B967" s="10"/>
      <c r="C967" s="10"/>
    </row>
    <row r="968" spans="2:3" x14ac:dyDescent="0.3">
      <c r="B968" s="10"/>
      <c r="C968" s="10"/>
    </row>
    <row r="969" spans="2:3" x14ac:dyDescent="0.3">
      <c r="B969" s="10"/>
      <c r="C969" s="10"/>
    </row>
    <row r="970" spans="2:3" x14ac:dyDescent="0.3">
      <c r="B970" s="10"/>
      <c r="C970" s="10"/>
    </row>
    <row r="971" spans="2:3" x14ac:dyDescent="0.3">
      <c r="B971" s="10"/>
      <c r="C971" s="10"/>
    </row>
    <row r="972" spans="2:3" x14ac:dyDescent="0.3">
      <c r="B972" s="10"/>
      <c r="C972" s="10"/>
    </row>
    <row r="973" spans="2:3" x14ac:dyDescent="0.3">
      <c r="B973" s="10"/>
      <c r="C973" s="10"/>
    </row>
    <row r="974" spans="2:3" x14ac:dyDescent="0.3">
      <c r="B974" s="10"/>
      <c r="C974" s="10"/>
    </row>
    <row r="975" spans="2:3" x14ac:dyDescent="0.3">
      <c r="B975" s="10"/>
      <c r="C975" s="10"/>
    </row>
    <row r="976" spans="2:3" x14ac:dyDescent="0.3">
      <c r="B976" s="10"/>
      <c r="C976" s="10"/>
    </row>
    <row r="977" spans="2:3" x14ac:dyDescent="0.3">
      <c r="B977" s="10"/>
      <c r="C977" s="10"/>
    </row>
    <row r="978" spans="2:3" x14ac:dyDescent="0.3">
      <c r="B978" s="10"/>
      <c r="C978" s="10"/>
    </row>
    <row r="979" spans="2:3" x14ac:dyDescent="0.3">
      <c r="B979" s="10"/>
      <c r="C979" s="10"/>
    </row>
    <row r="980" spans="2:3" x14ac:dyDescent="0.3">
      <c r="B980" s="10"/>
      <c r="C980" s="10"/>
    </row>
    <row r="981" spans="2:3" x14ac:dyDescent="0.3">
      <c r="B981" s="10"/>
      <c r="C981" s="10"/>
    </row>
    <row r="982" spans="2:3" x14ac:dyDescent="0.3">
      <c r="B982" s="10"/>
      <c r="C982" s="10"/>
    </row>
    <row r="983" spans="2:3" x14ac:dyDescent="0.3">
      <c r="B983" s="10"/>
      <c r="C983" s="10"/>
    </row>
    <row r="984" spans="2:3" x14ac:dyDescent="0.3">
      <c r="B984" s="10"/>
      <c r="C984" s="10"/>
    </row>
    <row r="985" spans="2:3" x14ac:dyDescent="0.3">
      <c r="B985" s="10"/>
      <c r="C985" s="10"/>
    </row>
    <row r="986" spans="2:3" x14ac:dyDescent="0.3">
      <c r="B986" s="10"/>
      <c r="C986" s="10"/>
    </row>
    <row r="987" spans="2:3" x14ac:dyDescent="0.3">
      <c r="B987" s="10"/>
      <c r="C987" s="10"/>
    </row>
    <row r="988" spans="2:3" x14ac:dyDescent="0.3">
      <c r="B988" s="10"/>
      <c r="C988" s="10"/>
    </row>
    <row r="989" spans="2:3" x14ac:dyDescent="0.3">
      <c r="B989" s="10"/>
      <c r="C989" s="10"/>
    </row>
    <row r="990" spans="2:3" x14ac:dyDescent="0.3">
      <c r="B990" s="10"/>
      <c r="C990" s="10"/>
    </row>
    <row r="991" spans="2:3" x14ac:dyDescent="0.3">
      <c r="B991" s="10"/>
      <c r="C991" s="10"/>
    </row>
    <row r="992" spans="2:3" x14ac:dyDescent="0.3">
      <c r="B992" s="10"/>
      <c r="C992" s="10"/>
    </row>
    <row r="993" spans="2:3" x14ac:dyDescent="0.3">
      <c r="B993" s="10"/>
      <c r="C993" s="10"/>
    </row>
    <row r="994" spans="2:3" x14ac:dyDescent="0.3">
      <c r="B994" s="10"/>
      <c r="C994" s="10"/>
    </row>
    <row r="995" spans="2:3" x14ac:dyDescent="0.3">
      <c r="B995" s="10"/>
      <c r="C995" s="10"/>
    </row>
    <row r="996" spans="2:3" x14ac:dyDescent="0.3">
      <c r="B996" s="10"/>
      <c r="C996" s="10"/>
    </row>
    <row r="997" spans="2:3" x14ac:dyDescent="0.3">
      <c r="B997" s="10"/>
      <c r="C997" s="10"/>
    </row>
    <row r="998" spans="2:3" x14ac:dyDescent="0.3">
      <c r="B998" s="10"/>
      <c r="C998" s="10"/>
    </row>
    <row r="999" spans="2:3" x14ac:dyDescent="0.3">
      <c r="B999" s="10"/>
      <c r="C999" s="10"/>
    </row>
    <row r="1000" spans="2:3" x14ac:dyDescent="0.3">
      <c r="B1000" s="10"/>
      <c r="C1000" s="10"/>
    </row>
    <row r="1001" spans="2:3" x14ac:dyDescent="0.3">
      <c r="B1001" s="10"/>
      <c r="C1001" s="10"/>
    </row>
    <row r="1002" spans="2:3" x14ac:dyDescent="0.3">
      <c r="B1002" s="10"/>
      <c r="C1002" s="10"/>
    </row>
    <row r="1003" spans="2:3" x14ac:dyDescent="0.3">
      <c r="B1003" s="10"/>
      <c r="C1003" s="10"/>
    </row>
    <row r="1004" spans="2:3" x14ac:dyDescent="0.3">
      <c r="B1004" s="10"/>
      <c r="C1004" s="10"/>
    </row>
    <row r="1005" spans="2:3" x14ac:dyDescent="0.3">
      <c r="B1005" s="10"/>
      <c r="C1005" s="10"/>
    </row>
    <row r="1006" spans="2:3" x14ac:dyDescent="0.3">
      <c r="B1006" s="10"/>
      <c r="C1006" s="10"/>
    </row>
    <row r="1007" spans="2:3" x14ac:dyDescent="0.3">
      <c r="B1007" s="10"/>
      <c r="C1007" s="10"/>
    </row>
    <row r="1008" spans="2:3" x14ac:dyDescent="0.3">
      <c r="B1008" s="10"/>
      <c r="C1008" s="10"/>
    </row>
    <row r="1009" spans="2:3" x14ac:dyDescent="0.3">
      <c r="B1009" s="10"/>
      <c r="C1009" s="10"/>
    </row>
    <row r="1010" spans="2:3" x14ac:dyDescent="0.3">
      <c r="B1010" s="10"/>
      <c r="C1010" s="10"/>
    </row>
    <row r="1011" spans="2:3" x14ac:dyDescent="0.3">
      <c r="B1011" s="10"/>
      <c r="C1011" s="10"/>
    </row>
    <row r="1012" spans="2:3" x14ac:dyDescent="0.3">
      <c r="B1012" s="10"/>
      <c r="C1012" s="10"/>
    </row>
    <row r="1013" spans="2:3" x14ac:dyDescent="0.3">
      <c r="B1013" s="10"/>
      <c r="C1013" s="10"/>
    </row>
    <row r="1014" spans="2:3" x14ac:dyDescent="0.3">
      <c r="B1014" s="10"/>
      <c r="C1014" s="10"/>
    </row>
    <row r="1015" spans="2:3" x14ac:dyDescent="0.3">
      <c r="B1015" s="10"/>
      <c r="C1015" s="10"/>
    </row>
    <row r="1016" spans="2:3" x14ac:dyDescent="0.3">
      <c r="B1016" s="10"/>
      <c r="C1016" s="10"/>
    </row>
    <row r="1017" spans="2:3" x14ac:dyDescent="0.3">
      <c r="B1017" s="10"/>
      <c r="C1017" s="10"/>
    </row>
    <row r="1018" spans="2:3" x14ac:dyDescent="0.3">
      <c r="B1018" s="10"/>
      <c r="C1018" s="10"/>
    </row>
    <row r="1019" spans="2:3" x14ac:dyDescent="0.3">
      <c r="B1019" s="10"/>
      <c r="C1019" s="10"/>
    </row>
    <row r="1020" spans="2:3" x14ac:dyDescent="0.3">
      <c r="B1020" s="10"/>
      <c r="C1020" s="10"/>
    </row>
    <row r="1021" spans="2:3" x14ac:dyDescent="0.3">
      <c r="B1021" s="10"/>
      <c r="C1021" s="10"/>
    </row>
    <row r="1022" spans="2:3" x14ac:dyDescent="0.3">
      <c r="B1022" s="10"/>
      <c r="C1022" s="10"/>
    </row>
    <row r="1023" spans="2:3" x14ac:dyDescent="0.3">
      <c r="B1023" s="10"/>
      <c r="C1023" s="10"/>
    </row>
    <row r="1024" spans="2:3" x14ac:dyDescent="0.3">
      <c r="B1024" s="10"/>
      <c r="C1024" s="10"/>
    </row>
    <row r="1025" spans="2:3" x14ac:dyDescent="0.3">
      <c r="B1025" s="10"/>
      <c r="C1025" s="10"/>
    </row>
    <row r="1026" spans="2:3" x14ac:dyDescent="0.3">
      <c r="B1026" s="10"/>
      <c r="C1026" s="10"/>
    </row>
    <row r="1027" spans="2:3" x14ac:dyDescent="0.3">
      <c r="B1027" s="10"/>
      <c r="C1027" s="10"/>
    </row>
    <row r="1028" spans="2:3" x14ac:dyDescent="0.3">
      <c r="B1028" s="10"/>
      <c r="C1028" s="10"/>
    </row>
    <row r="1029" spans="2:3" x14ac:dyDescent="0.3">
      <c r="B1029" s="10"/>
      <c r="C1029" s="10"/>
    </row>
    <row r="1030" spans="2:3" x14ac:dyDescent="0.3">
      <c r="B1030" s="10"/>
      <c r="C1030" s="10"/>
    </row>
    <row r="1031" spans="2:3" x14ac:dyDescent="0.3">
      <c r="B1031" s="10"/>
      <c r="C1031" s="10"/>
    </row>
    <row r="1032" spans="2:3" x14ac:dyDescent="0.3">
      <c r="B1032" s="10"/>
      <c r="C1032" s="10"/>
    </row>
    <row r="1033" spans="2:3" x14ac:dyDescent="0.3">
      <c r="B1033" s="10"/>
      <c r="C1033" s="10"/>
    </row>
    <row r="1034" spans="2:3" x14ac:dyDescent="0.3">
      <c r="B1034" s="10"/>
      <c r="C1034" s="10"/>
    </row>
    <row r="1035" spans="2:3" x14ac:dyDescent="0.3">
      <c r="B1035" s="10"/>
      <c r="C1035" s="10"/>
    </row>
    <row r="1036" spans="2:3" x14ac:dyDescent="0.3">
      <c r="B1036" s="10"/>
      <c r="C1036" s="10"/>
    </row>
    <row r="1037" spans="2:3" x14ac:dyDescent="0.3">
      <c r="B1037" s="10"/>
      <c r="C1037" s="10"/>
    </row>
    <row r="1038" spans="2:3" x14ac:dyDescent="0.3">
      <c r="B1038" s="10"/>
      <c r="C1038" s="10"/>
    </row>
    <row r="1039" spans="2:3" x14ac:dyDescent="0.3">
      <c r="B1039" s="10"/>
      <c r="C1039" s="10"/>
    </row>
    <row r="1040" spans="2:3" x14ac:dyDescent="0.3">
      <c r="B1040" s="10"/>
      <c r="C1040" s="10"/>
    </row>
    <row r="1041" spans="2:3" x14ac:dyDescent="0.3">
      <c r="B1041" s="10"/>
      <c r="C1041" s="10"/>
    </row>
    <row r="1042" spans="2:3" x14ac:dyDescent="0.3">
      <c r="B1042" s="10"/>
      <c r="C1042" s="10"/>
    </row>
    <row r="1043" spans="2:3" x14ac:dyDescent="0.3">
      <c r="B1043" s="10"/>
      <c r="C1043" s="10"/>
    </row>
    <row r="1044" spans="2:3" x14ac:dyDescent="0.3">
      <c r="B1044" s="10"/>
      <c r="C1044" s="10"/>
    </row>
    <row r="1045" spans="2:3" x14ac:dyDescent="0.3">
      <c r="B1045" s="10"/>
      <c r="C1045" s="10"/>
    </row>
    <row r="1046" spans="2:3" x14ac:dyDescent="0.3">
      <c r="B1046" s="10"/>
      <c r="C1046" s="10"/>
    </row>
    <row r="1047" spans="2:3" x14ac:dyDescent="0.3">
      <c r="B1047" s="10"/>
      <c r="C1047" s="10"/>
    </row>
    <row r="1048" spans="2:3" x14ac:dyDescent="0.3">
      <c r="B1048" s="10"/>
      <c r="C1048" s="10"/>
    </row>
    <row r="1049" spans="2:3" x14ac:dyDescent="0.3">
      <c r="B1049" s="10"/>
      <c r="C1049" s="10"/>
    </row>
    <row r="1050" spans="2:3" x14ac:dyDescent="0.3">
      <c r="B1050" s="10"/>
      <c r="C1050" s="10"/>
    </row>
    <row r="1051" spans="2:3" x14ac:dyDescent="0.3">
      <c r="B1051" s="10"/>
      <c r="C1051" s="10"/>
    </row>
    <row r="1052" spans="2:3" x14ac:dyDescent="0.3">
      <c r="B1052" s="10"/>
      <c r="C1052" s="10"/>
    </row>
    <row r="1053" spans="2:3" x14ac:dyDescent="0.3">
      <c r="B1053" s="10"/>
      <c r="C1053" s="10"/>
    </row>
    <row r="1054" spans="2:3" x14ac:dyDescent="0.3">
      <c r="B1054" s="10"/>
      <c r="C1054" s="10"/>
    </row>
    <row r="1055" spans="2:3" x14ac:dyDescent="0.3">
      <c r="B1055" s="10"/>
      <c r="C1055" s="10"/>
    </row>
    <row r="1056" spans="2:3" x14ac:dyDescent="0.3">
      <c r="B1056" s="10"/>
      <c r="C1056" s="10"/>
    </row>
    <row r="1057" spans="2:3" x14ac:dyDescent="0.3">
      <c r="B1057" s="10"/>
      <c r="C1057" s="10"/>
    </row>
    <row r="1058" spans="2:3" x14ac:dyDescent="0.3">
      <c r="B1058" s="10"/>
      <c r="C1058" s="10"/>
    </row>
    <row r="1059" spans="2:3" x14ac:dyDescent="0.3">
      <c r="B1059" s="10"/>
      <c r="C1059" s="10"/>
    </row>
    <row r="1060" spans="2:3" x14ac:dyDescent="0.3">
      <c r="B1060" s="10"/>
      <c r="C1060" s="10"/>
    </row>
    <row r="1061" spans="2:3" x14ac:dyDescent="0.3">
      <c r="B1061" s="10"/>
      <c r="C1061" s="10"/>
    </row>
    <row r="1062" spans="2:3" x14ac:dyDescent="0.3">
      <c r="B1062" s="10"/>
      <c r="C1062" s="10"/>
    </row>
    <row r="1063" spans="2:3" x14ac:dyDescent="0.3">
      <c r="B1063" s="10"/>
      <c r="C1063" s="10"/>
    </row>
    <row r="1064" spans="2:3" x14ac:dyDescent="0.3">
      <c r="B1064" s="10"/>
      <c r="C1064" s="10"/>
    </row>
    <row r="1065" spans="2:3" x14ac:dyDescent="0.3">
      <c r="B1065" s="10"/>
      <c r="C1065" s="10"/>
    </row>
    <row r="1066" spans="2:3" x14ac:dyDescent="0.3">
      <c r="B1066" s="10"/>
      <c r="C1066" s="10"/>
    </row>
    <row r="1067" spans="2:3" x14ac:dyDescent="0.3">
      <c r="B1067" s="10"/>
      <c r="C1067" s="10"/>
    </row>
    <row r="1068" spans="2:3" x14ac:dyDescent="0.3">
      <c r="B1068" s="10"/>
      <c r="C1068" s="10"/>
    </row>
    <row r="1069" spans="2:3" x14ac:dyDescent="0.3">
      <c r="B1069" s="10"/>
      <c r="C1069" s="10"/>
    </row>
    <row r="1070" spans="2:3" x14ac:dyDescent="0.3">
      <c r="B1070" s="10"/>
      <c r="C1070" s="10"/>
    </row>
    <row r="1071" spans="2:3" x14ac:dyDescent="0.3">
      <c r="B1071" s="10"/>
      <c r="C1071" s="10"/>
    </row>
    <row r="1072" spans="2:3" x14ac:dyDescent="0.3">
      <c r="B1072" s="10"/>
      <c r="C1072" s="10"/>
    </row>
    <row r="1073" spans="2:3" x14ac:dyDescent="0.3">
      <c r="B1073" s="10"/>
      <c r="C1073" s="10"/>
    </row>
    <row r="1074" spans="2:3" x14ac:dyDescent="0.3">
      <c r="B1074" s="10"/>
      <c r="C1074" s="10"/>
    </row>
    <row r="1075" spans="2:3" x14ac:dyDescent="0.3">
      <c r="B1075" s="10"/>
      <c r="C1075" s="10"/>
    </row>
    <row r="1076" spans="2:3" x14ac:dyDescent="0.3">
      <c r="B1076" s="10"/>
      <c r="C1076" s="10"/>
    </row>
    <row r="1077" spans="2:3" x14ac:dyDescent="0.3">
      <c r="B1077" s="10"/>
      <c r="C1077" s="10"/>
    </row>
    <row r="1078" spans="2:3" x14ac:dyDescent="0.3">
      <c r="B1078" s="10"/>
      <c r="C1078" s="10"/>
    </row>
    <row r="1079" spans="2:3" x14ac:dyDescent="0.3">
      <c r="B1079" s="10"/>
      <c r="C1079" s="10"/>
    </row>
    <row r="1080" spans="2:3" x14ac:dyDescent="0.3">
      <c r="B1080" s="10"/>
      <c r="C1080" s="10"/>
    </row>
    <row r="1081" spans="2:3" x14ac:dyDescent="0.3">
      <c r="B1081" s="10"/>
      <c r="C1081" s="10"/>
    </row>
    <row r="1082" spans="2:3" x14ac:dyDescent="0.3">
      <c r="B1082" s="10"/>
      <c r="C1082" s="10"/>
    </row>
    <row r="1083" spans="2:3" x14ac:dyDescent="0.3">
      <c r="B1083" s="10"/>
      <c r="C1083" s="10"/>
    </row>
    <row r="1084" spans="2:3" x14ac:dyDescent="0.3">
      <c r="B1084" s="10"/>
      <c r="C1084" s="10"/>
    </row>
    <row r="1085" spans="2:3" x14ac:dyDescent="0.3">
      <c r="B1085" s="10"/>
      <c r="C1085" s="10"/>
    </row>
    <row r="1086" spans="2:3" x14ac:dyDescent="0.3">
      <c r="B1086" s="10"/>
      <c r="C1086" s="10"/>
    </row>
    <row r="1087" spans="2:3" x14ac:dyDescent="0.3">
      <c r="B1087" s="10"/>
      <c r="C1087" s="10"/>
    </row>
    <row r="1088" spans="2:3" x14ac:dyDescent="0.3">
      <c r="B1088" s="10"/>
      <c r="C1088" s="10"/>
    </row>
    <row r="1089" spans="2:3" x14ac:dyDescent="0.3">
      <c r="B1089" s="10"/>
      <c r="C1089" s="10"/>
    </row>
    <row r="1090" spans="2:3" x14ac:dyDescent="0.3">
      <c r="B1090" s="10"/>
      <c r="C1090" s="10"/>
    </row>
    <row r="1091" spans="2:3" x14ac:dyDescent="0.3">
      <c r="B1091" s="10"/>
      <c r="C1091" s="10"/>
    </row>
    <row r="1092" spans="2:3" x14ac:dyDescent="0.3">
      <c r="B1092" s="10"/>
      <c r="C1092" s="10"/>
    </row>
    <row r="1093" spans="2:3" x14ac:dyDescent="0.3">
      <c r="B1093" s="10"/>
      <c r="C1093" s="10"/>
    </row>
    <row r="1094" spans="2:3" x14ac:dyDescent="0.3">
      <c r="B1094" s="10"/>
      <c r="C1094" s="10"/>
    </row>
    <row r="1095" spans="2:3" x14ac:dyDescent="0.3">
      <c r="B1095" s="10"/>
      <c r="C1095" s="10"/>
    </row>
    <row r="1096" spans="2:3" x14ac:dyDescent="0.3">
      <c r="B1096" s="10"/>
      <c r="C1096" s="10"/>
    </row>
    <row r="1097" spans="2:3" x14ac:dyDescent="0.3">
      <c r="B1097" s="10"/>
      <c r="C1097" s="10"/>
    </row>
    <row r="1098" spans="2:3" x14ac:dyDescent="0.3">
      <c r="B1098" s="10"/>
      <c r="C1098" s="10"/>
    </row>
    <row r="1099" spans="2:3" x14ac:dyDescent="0.3">
      <c r="B1099" s="10"/>
      <c r="C1099" s="10"/>
    </row>
    <row r="1100" spans="2:3" x14ac:dyDescent="0.3">
      <c r="B1100" s="10"/>
      <c r="C1100" s="10"/>
    </row>
    <row r="1101" spans="2:3" x14ac:dyDescent="0.3">
      <c r="B1101" s="10"/>
      <c r="C1101" s="10"/>
    </row>
    <row r="1102" spans="2:3" x14ac:dyDescent="0.3">
      <c r="B1102" s="10"/>
      <c r="C1102" s="10"/>
    </row>
    <row r="1103" spans="2:3" x14ac:dyDescent="0.3">
      <c r="B1103" s="10"/>
      <c r="C1103" s="10"/>
    </row>
    <row r="1104" spans="2:3" x14ac:dyDescent="0.3">
      <c r="B1104" s="10"/>
      <c r="C1104" s="10"/>
    </row>
    <row r="1105" spans="2:3" x14ac:dyDescent="0.3">
      <c r="B1105" s="10"/>
      <c r="C1105" s="10"/>
    </row>
    <row r="1106" spans="2:3" x14ac:dyDescent="0.3">
      <c r="B1106" s="10"/>
      <c r="C1106" s="10"/>
    </row>
    <row r="1107" spans="2:3" x14ac:dyDescent="0.3">
      <c r="B1107" s="10"/>
      <c r="C1107" s="10"/>
    </row>
    <row r="1108" spans="2:3" x14ac:dyDescent="0.3">
      <c r="B1108" s="10"/>
      <c r="C1108" s="10"/>
    </row>
    <row r="1109" spans="2:3" x14ac:dyDescent="0.3">
      <c r="B1109" s="10"/>
      <c r="C1109" s="10"/>
    </row>
    <row r="1110" spans="2:3" x14ac:dyDescent="0.3">
      <c r="B1110" s="10"/>
      <c r="C1110" s="10"/>
    </row>
    <row r="1111" spans="2:3" x14ac:dyDescent="0.3">
      <c r="B1111" s="10"/>
      <c r="C1111" s="10"/>
    </row>
    <row r="1112" spans="2:3" x14ac:dyDescent="0.3">
      <c r="B1112" s="10"/>
      <c r="C1112" s="10"/>
    </row>
    <row r="1113" spans="2:3" x14ac:dyDescent="0.3">
      <c r="B1113" s="10"/>
      <c r="C1113" s="10"/>
    </row>
    <row r="1114" spans="2:3" x14ac:dyDescent="0.3">
      <c r="B1114" s="10"/>
      <c r="C1114" s="10"/>
    </row>
    <row r="1115" spans="2:3" x14ac:dyDescent="0.3">
      <c r="B1115" s="10"/>
      <c r="C1115" s="10"/>
    </row>
    <row r="1116" spans="2:3" x14ac:dyDescent="0.3">
      <c r="B1116" s="10"/>
      <c r="C1116" s="10"/>
    </row>
    <row r="1117" spans="2:3" x14ac:dyDescent="0.3">
      <c r="B1117" s="10"/>
      <c r="C1117" s="10"/>
    </row>
    <row r="1118" spans="2:3" x14ac:dyDescent="0.3">
      <c r="B1118" s="10"/>
      <c r="C1118" s="10"/>
    </row>
    <row r="1119" spans="2:3" x14ac:dyDescent="0.3">
      <c r="B1119" s="10"/>
      <c r="C1119" s="10"/>
    </row>
    <row r="1120" spans="2:3" x14ac:dyDescent="0.3">
      <c r="B1120" s="10"/>
      <c r="C1120" s="10"/>
    </row>
    <row r="1121" spans="2:3" x14ac:dyDescent="0.3">
      <c r="B1121" s="10"/>
      <c r="C1121" s="10"/>
    </row>
    <row r="1122" spans="2:3" x14ac:dyDescent="0.3">
      <c r="B1122" s="10"/>
      <c r="C1122" s="10"/>
    </row>
    <row r="1123" spans="2:3" x14ac:dyDescent="0.3">
      <c r="B1123" s="10"/>
      <c r="C1123" s="10"/>
    </row>
    <row r="1124" spans="2:3" x14ac:dyDescent="0.3">
      <c r="B1124" s="10"/>
      <c r="C1124" s="10"/>
    </row>
    <row r="1125" spans="2:3" x14ac:dyDescent="0.3">
      <c r="B1125" s="10"/>
      <c r="C1125" s="10"/>
    </row>
    <row r="1126" spans="2:3" x14ac:dyDescent="0.3">
      <c r="B1126" s="10"/>
      <c r="C1126" s="10"/>
    </row>
    <row r="1127" spans="2:3" x14ac:dyDescent="0.3">
      <c r="B1127" s="10"/>
      <c r="C1127" s="10"/>
    </row>
    <row r="1128" spans="2:3" x14ac:dyDescent="0.3">
      <c r="B1128" s="10"/>
      <c r="C1128" s="10"/>
    </row>
    <row r="1129" spans="2:3" x14ac:dyDescent="0.3">
      <c r="B1129" s="10"/>
      <c r="C1129" s="10"/>
    </row>
    <row r="1130" spans="2:3" x14ac:dyDescent="0.3">
      <c r="B1130" s="10"/>
      <c r="C1130" s="10"/>
    </row>
    <row r="1131" spans="2:3" x14ac:dyDescent="0.3">
      <c r="B1131" s="10"/>
      <c r="C1131" s="10"/>
    </row>
    <row r="1132" spans="2:3" x14ac:dyDescent="0.3">
      <c r="B1132" s="10"/>
      <c r="C1132" s="10"/>
    </row>
    <row r="1133" spans="2:3" x14ac:dyDescent="0.3">
      <c r="B1133" s="10"/>
      <c r="C1133" s="10"/>
    </row>
    <row r="1134" spans="2:3" x14ac:dyDescent="0.3">
      <c r="B1134" s="10"/>
      <c r="C1134" s="10"/>
    </row>
    <row r="1135" spans="2:3" x14ac:dyDescent="0.3">
      <c r="B1135" s="10"/>
      <c r="C1135" s="10"/>
    </row>
    <row r="1136" spans="2:3" x14ac:dyDescent="0.3">
      <c r="B1136" s="10"/>
      <c r="C1136" s="10"/>
    </row>
    <row r="1137" spans="2:3" x14ac:dyDescent="0.3">
      <c r="B1137" s="10"/>
      <c r="C1137" s="10"/>
    </row>
    <row r="1138" spans="2:3" x14ac:dyDescent="0.3">
      <c r="B1138" s="10"/>
      <c r="C1138" s="10"/>
    </row>
    <row r="1139" spans="2:3" x14ac:dyDescent="0.3">
      <c r="B1139" s="10"/>
      <c r="C1139" s="10"/>
    </row>
    <row r="1140" spans="2:3" x14ac:dyDescent="0.3">
      <c r="B1140" s="10"/>
      <c r="C1140" s="10"/>
    </row>
    <row r="1141" spans="2:3" x14ac:dyDescent="0.3">
      <c r="B1141" s="10"/>
      <c r="C1141" s="10"/>
    </row>
    <row r="1142" spans="2:3" x14ac:dyDescent="0.3">
      <c r="B1142" s="10"/>
      <c r="C1142" s="10"/>
    </row>
    <row r="1143" spans="2:3" x14ac:dyDescent="0.3">
      <c r="B1143" s="10"/>
      <c r="C1143" s="10"/>
    </row>
    <row r="1144" spans="2:3" x14ac:dyDescent="0.3">
      <c r="B1144" s="10"/>
      <c r="C1144" s="10"/>
    </row>
    <row r="1145" spans="2:3" x14ac:dyDescent="0.3">
      <c r="B1145" s="10"/>
      <c r="C1145" s="10"/>
    </row>
    <row r="1146" spans="2:3" x14ac:dyDescent="0.3">
      <c r="B1146" s="10"/>
      <c r="C1146" s="10"/>
    </row>
    <row r="1147" spans="2:3" x14ac:dyDescent="0.3">
      <c r="B1147" s="10"/>
      <c r="C1147" s="10"/>
    </row>
    <row r="1148" spans="2:3" x14ac:dyDescent="0.3">
      <c r="B1148" s="10"/>
      <c r="C1148" s="10"/>
    </row>
    <row r="1149" spans="2:3" x14ac:dyDescent="0.3">
      <c r="B1149" s="10"/>
      <c r="C1149" s="10"/>
    </row>
    <row r="1150" spans="2:3" x14ac:dyDescent="0.3">
      <c r="B1150" s="10"/>
      <c r="C1150" s="10"/>
    </row>
    <row r="1151" spans="2:3" x14ac:dyDescent="0.3">
      <c r="B1151" s="10"/>
      <c r="C1151" s="10"/>
    </row>
    <row r="1152" spans="2:3" x14ac:dyDescent="0.3">
      <c r="B1152" s="10"/>
      <c r="C1152" s="10"/>
    </row>
    <row r="1153" spans="2:3" x14ac:dyDescent="0.3">
      <c r="B1153" s="10"/>
      <c r="C1153" s="10"/>
    </row>
    <row r="1154" spans="2:3" x14ac:dyDescent="0.3">
      <c r="B1154" s="10"/>
      <c r="C1154" s="10"/>
    </row>
    <row r="1155" spans="2:3" x14ac:dyDescent="0.3">
      <c r="B1155" s="10"/>
      <c r="C1155" s="10"/>
    </row>
    <row r="1156" spans="2:3" x14ac:dyDescent="0.3">
      <c r="B1156" s="10"/>
      <c r="C1156" s="10"/>
    </row>
    <row r="1157" spans="2:3" x14ac:dyDescent="0.3">
      <c r="B1157" s="10"/>
      <c r="C1157" s="10"/>
    </row>
    <row r="1158" spans="2:3" x14ac:dyDescent="0.3">
      <c r="B1158" s="10"/>
      <c r="C1158" s="10"/>
    </row>
    <row r="1159" spans="2:3" x14ac:dyDescent="0.3">
      <c r="B1159" s="10"/>
      <c r="C1159" s="10"/>
    </row>
    <row r="1160" spans="2:3" x14ac:dyDescent="0.3">
      <c r="B1160" s="10"/>
      <c r="C1160" s="10"/>
    </row>
    <row r="1161" spans="2:3" x14ac:dyDescent="0.3">
      <c r="B1161" s="10"/>
      <c r="C1161" s="10"/>
    </row>
    <row r="1162" spans="2:3" x14ac:dyDescent="0.3">
      <c r="B1162" s="10"/>
      <c r="C1162" s="10"/>
    </row>
    <row r="1163" spans="2:3" x14ac:dyDescent="0.3">
      <c r="B1163" s="10"/>
      <c r="C1163" s="10"/>
    </row>
    <row r="1164" spans="2:3" x14ac:dyDescent="0.3">
      <c r="B1164" s="10"/>
      <c r="C1164" s="10"/>
    </row>
    <row r="1165" spans="2:3" x14ac:dyDescent="0.3">
      <c r="B1165" s="10"/>
      <c r="C1165" s="10"/>
    </row>
    <row r="1166" spans="2:3" x14ac:dyDescent="0.3">
      <c r="B1166" s="10"/>
      <c r="C1166" s="10"/>
    </row>
    <row r="1167" spans="2:3" x14ac:dyDescent="0.3">
      <c r="B1167" s="10"/>
      <c r="C1167" s="10"/>
    </row>
    <row r="1168" spans="2:3" x14ac:dyDescent="0.3">
      <c r="B1168" s="10"/>
      <c r="C1168" s="10"/>
    </row>
    <row r="1169" spans="2:3" x14ac:dyDescent="0.3">
      <c r="B1169" s="10"/>
      <c r="C1169" s="10"/>
    </row>
    <row r="1170" spans="2:3" x14ac:dyDescent="0.3">
      <c r="B1170" s="10"/>
      <c r="C1170" s="10"/>
    </row>
    <row r="1171" spans="2:3" x14ac:dyDescent="0.3">
      <c r="B1171" s="10"/>
      <c r="C1171" s="10"/>
    </row>
    <row r="1172" spans="2:3" x14ac:dyDescent="0.3">
      <c r="B1172" s="10"/>
      <c r="C1172" s="10"/>
    </row>
    <row r="1173" spans="2:3" x14ac:dyDescent="0.3">
      <c r="B1173" s="10"/>
      <c r="C1173" s="10"/>
    </row>
    <row r="1174" spans="2:3" x14ac:dyDescent="0.3">
      <c r="B1174" s="10"/>
      <c r="C1174" s="10"/>
    </row>
    <row r="1175" spans="2:3" x14ac:dyDescent="0.3">
      <c r="B1175" s="10"/>
      <c r="C1175" s="10"/>
    </row>
    <row r="1176" spans="2:3" x14ac:dyDescent="0.3">
      <c r="B1176" s="10"/>
      <c r="C1176" s="10"/>
    </row>
    <row r="1177" spans="2:3" x14ac:dyDescent="0.3">
      <c r="B1177" s="10"/>
      <c r="C1177" s="10"/>
    </row>
    <row r="1178" spans="2:3" x14ac:dyDescent="0.3">
      <c r="B1178" s="10"/>
      <c r="C1178" s="10"/>
    </row>
    <row r="1179" spans="2:3" x14ac:dyDescent="0.3">
      <c r="B1179" s="10"/>
      <c r="C1179" s="10"/>
    </row>
    <row r="1180" spans="2:3" x14ac:dyDescent="0.3">
      <c r="B1180" s="10"/>
      <c r="C1180" s="10"/>
    </row>
    <row r="1181" spans="2:3" x14ac:dyDescent="0.3">
      <c r="B1181" s="10"/>
      <c r="C1181" s="10"/>
    </row>
    <row r="1182" spans="2:3" x14ac:dyDescent="0.3">
      <c r="B1182" s="10"/>
      <c r="C1182" s="10"/>
    </row>
    <row r="1183" spans="2:3" x14ac:dyDescent="0.3">
      <c r="B1183" s="10"/>
      <c r="C1183" s="10"/>
    </row>
    <row r="1184" spans="2:3" x14ac:dyDescent="0.3">
      <c r="B1184" s="10"/>
      <c r="C1184" s="10"/>
    </row>
    <row r="1185" spans="2:3" x14ac:dyDescent="0.3">
      <c r="B1185" s="10"/>
      <c r="C1185" s="10"/>
    </row>
    <row r="1186" spans="2:3" x14ac:dyDescent="0.3">
      <c r="B1186" s="10"/>
      <c r="C1186" s="10"/>
    </row>
    <row r="1187" spans="2:3" x14ac:dyDescent="0.3">
      <c r="B1187" s="10"/>
      <c r="C1187" s="10"/>
    </row>
    <row r="1188" spans="2:3" x14ac:dyDescent="0.3">
      <c r="B1188" s="10"/>
      <c r="C1188" s="10"/>
    </row>
    <row r="1189" spans="2:3" x14ac:dyDescent="0.3">
      <c r="B1189" s="10"/>
      <c r="C1189" s="10"/>
    </row>
    <row r="1190" spans="2:3" x14ac:dyDescent="0.3">
      <c r="B1190" s="10"/>
      <c r="C1190" s="10"/>
    </row>
    <row r="1191" spans="2:3" x14ac:dyDescent="0.3">
      <c r="B1191" s="10"/>
      <c r="C1191" s="10"/>
    </row>
    <row r="1192" spans="2:3" x14ac:dyDescent="0.3">
      <c r="B1192" s="10"/>
      <c r="C1192" s="10"/>
    </row>
    <row r="1193" spans="2:3" x14ac:dyDescent="0.3">
      <c r="B1193" s="10"/>
      <c r="C1193" s="10"/>
    </row>
    <row r="1194" spans="2:3" x14ac:dyDescent="0.3">
      <c r="B1194" s="10"/>
      <c r="C1194" s="10"/>
    </row>
    <row r="1195" spans="2:3" x14ac:dyDescent="0.3">
      <c r="B1195" s="10"/>
      <c r="C1195" s="10"/>
    </row>
    <row r="1196" spans="2:3" x14ac:dyDescent="0.3">
      <c r="B1196" s="10"/>
      <c r="C1196" s="10"/>
    </row>
    <row r="1197" spans="2:3" x14ac:dyDescent="0.3">
      <c r="B1197" s="10"/>
      <c r="C1197" s="10"/>
    </row>
    <row r="1198" spans="2:3" x14ac:dyDescent="0.3">
      <c r="B1198" s="10"/>
      <c r="C1198" s="10"/>
    </row>
    <row r="1199" spans="2:3" x14ac:dyDescent="0.3">
      <c r="B1199" s="10"/>
      <c r="C1199" s="10"/>
    </row>
    <row r="1200" spans="2:3" x14ac:dyDescent="0.3">
      <c r="B1200" s="10"/>
      <c r="C1200" s="10"/>
    </row>
    <row r="1201" spans="2:3" x14ac:dyDescent="0.3">
      <c r="B1201" s="10"/>
      <c r="C1201" s="10"/>
    </row>
    <row r="1202" spans="2:3" x14ac:dyDescent="0.3">
      <c r="B1202" s="10"/>
      <c r="C1202" s="10"/>
    </row>
    <row r="1203" spans="2:3" x14ac:dyDescent="0.3">
      <c r="B1203" s="10"/>
      <c r="C1203" s="10"/>
    </row>
    <row r="1204" spans="2:3" x14ac:dyDescent="0.3">
      <c r="B1204" s="10"/>
      <c r="C1204" s="10"/>
    </row>
    <row r="1205" spans="2:3" x14ac:dyDescent="0.3">
      <c r="B1205" s="10"/>
      <c r="C1205" s="10"/>
    </row>
    <row r="1206" spans="2:3" x14ac:dyDescent="0.3">
      <c r="B1206" s="10"/>
      <c r="C1206" s="10"/>
    </row>
    <row r="1207" spans="2:3" x14ac:dyDescent="0.3">
      <c r="B1207" s="10"/>
      <c r="C1207" s="10"/>
    </row>
    <row r="1208" spans="2:3" x14ac:dyDescent="0.3">
      <c r="B1208" s="10"/>
      <c r="C1208" s="10"/>
    </row>
    <row r="1209" spans="2:3" x14ac:dyDescent="0.3">
      <c r="B1209" s="10"/>
      <c r="C1209" s="10"/>
    </row>
    <row r="1210" spans="2:3" x14ac:dyDescent="0.3">
      <c r="B1210" s="10"/>
      <c r="C1210" s="10"/>
    </row>
    <row r="1211" spans="2:3" x14ac:dyDescent="0.3">
      <c r="B1211" s="10"/>
      <c r="C1211" s="10"/>
    </row>
    <row r="1212" spans="2:3" x14ac:dyDescent="0.3">
      <c r="B1212" s="10"/>
      <c r="C1212" s="10"/>
    </row>
    <row r="1213" spans="2:3" x14ac:dyDescent="0.3">
      <c r="B1213" s="10"/>
      <c r="C1213" s="10"/>
    </row>
    <row r="1214" spans="2:3" x14ac:dyDescent="0.3">
      <c r="B1214" s="10"/>
      <c r="C1214" s="10"/>
    </row>
    <row r="1215" spans="2:3" x14ac:dyDescent="0.3">
      <c r="B1215" s="10"/>
      <c r="C1215" s="10"/>
    </row>
    <row r="1216" spans="2:3" x14ac:dyDescent="0.3">
      <c r="B1216" s="10"/>
      <c r="C1216" s="10"/>
    </row>
    <row r="1217" spans="2:3" x14ac:dyDescent="0.3">
      <c r="B1217" s="10"/>
      <c r="C1217" s="10"/>
    </row>
    <row r="1218" spans="2:3" x14ac:dyDescent="0.3">
      <c r="B1218" s="10"/>
      <c r="C1218" s="10"/>
    </row>
    <row r="1219" spans="2:3" x14ac:dyDescent="0.3">
      <c r="B1219" s="10"/>
      <c r="C1219" s="10"/>
    </row>
    <row r="1220" spans="2:3" x14ac:dyDescent="0.3">
      <c r="B1220" s="10"/>
      <c r="C1220" s="10"/>
    </row>
    <row r="1221" spans="2:3" x14ac:dyDescent="0.3">
      <c r="B1221" s="10"/>
      <c r="C1221" s="10"/>
    </row>
    <row r="1222" spans="2:3" x14ac:dyDescent="0.3">
      <c r="B1222" s="10"/>
      <c r="C1222" s="10"/>
    </row>
    <row r="1223" spans="2:3" x14ac:dyDescent="0.3">
      <c r="B1223" s="10"/>
      <c r="C1223" s="10"/>
    </row>
    <row r="1224" spans="2:3" x14ac:dyDescent="0.3">
      <c r="B1224" s="10"/>
      <c r="C1224" s="10"/>
    </row>
    <row r="1225" spans="2:3" x14ac:dyDescent="0.3">
      <c r="B1225" s="10"/>
      <c r="C1225" s="10"/>
    </row>
    <row r="1226" spans="2:3" x14ac:dyDescent="0.3">
      <c r="B1226" s="10"/>
      <c r="C1226" s="10"/>
    </row>
    <row r="1227" spans="2:3" x14ac:dyDescent="0.3">
      <c r="B1227" s="10"/>
      <c r="C1227" s="10"/>
    </row>
    <row r="1228" spans="2:3" x14ac:dyDescent="0.3">
      <c r="B1228" s="10"/>
      <c r="C1228" s="10"/>
    </row>
    <row r="1229" spans="2:3" x14ac:dyDescent="0.3">
      <c r="B1229" s="10"/>
      <c r="C1229" s="10"/>
    </row>
    <row r="1230" spans="2:3" x14ac:dyDescent="0.3">
      <c r="B1230" s="10"/>
      <c r="C1230" s="10"/>
    </row>
    <row r="1231" spans="2:3" x14ac:dyDescent="0.3">
      <c r="B1231" s="10"/>
      <c r="C1231" s="10"/>
    </row>
    <row r="1232" spans="2:3" x14ac:dyDescent="0.3">
      <c r="B1232" s="10"/>
      <c r="C1232" s="10"/>
    </row>
    <row r="1233" spans="2:3" x14ac:dyDescent="0.3">
      <c r="B1233" s="10"/>
      <c r="C1233" s="10"/>
    </row>
    <row r="1234" spans="2:3" x14ac:dyDescent="0.3">
      <c r="B1234" s="10"/>
      <c r="C1234" s="10"/>
    </row>
    <row r="1235" spans="2:3" x14ac:dyDescent="0.3">
      <c r="B1235" s="10"/>
      <c r="C1235" s="10"/>
    </row>
    <row r="1236" spans="2:3" x14ac:dyDescent="0.3">
      <c r="B1236" s="10"/>
      <c r="C1236" s="10"/>
    </row>
    <row r="1237" spans="2:3" x14ac:dyDescent="0.3">
      <c r="B1237" s="10"/>
      <c r="C1237" s="10"/>
    </row>
    <row r="1238" spans="2:3" x14ac:dyDescent="0.3">
      <c r="B1238" s="10"/>
      <c r="C1238" s="10"/>
    </row>
    <row r="1239" spans="2:3" x14ac:dyDescent="0.3">
      <c r="B1239" s="10"/>
      <c r="C1239" s="10"/>
    </row>
    <row r="1240" spans="2:3" x14ac:dyDescent="0.3">
      <c r="B1240" s="10"/>
      <c r="C1240" s="10"/>
    </row>
    <row r="1241" spans="2:3" x14ac:dyDescent="0.3">
      <c r="B1241" s="10"/>
      <c r="C1241" s="10"/>
    </row>
    <row r="1242" spans="2:3" x14ac:dyDescent="0.3">
      <c r="B1242" s="10"/>
      <c r="C1242" s="10"/>
    </row>
    <row r="1243" spans="2:3" x14ac:dyDescent="0.3">
      <c r="B1243" s="10"/>
      <c r="C1243" s="10"/>
    </row>
    <row r="1244" spans="2:3" x14ac:dyDescent="0.3">
      <c r="B1244" s="10"/>
      <c r="C1244" s="10"/>
    </row>
    <row r="1245" spans="2:3" x14ac:dyDescent="0.3">
      <c r="B1245" s="10"/>
      <c r="C1245" s="10"/>
    </row>
    <row r="1246" spans="2:3" x14ac:dyDescent="0.3">
      <c r="B1246" s="10"/>
      <c r="C1246" s="10"/>
    </row>
    <row r="1247" spans="2:3" x14ac:dyDescent="0.3">
      <c r="B1247" s="10"/>
      <c r="C1247" s="10"/>
    </row>
    <row r="1248" spans="2:3" x14ac:dyDescent="0.3">
      <c r="B1248" s="10"/>
      <c r="C1248" s="10"/>
    </row>
    <row r="1249" spans="2:3" x14ac:dyDescent="0.3">
      <c r="B1249" s="10"/>
      <c r="C1249" s="10"/>
    </row>
    <row r="1250" spans="2:3" x14ac:dyDescent="0.3">
      <c r="B1250" s="10"/>
      <c r="C1250" s="10"/>
    </row>
    <row r="1251" spans="2:3" x14ac:dyDescent="0.3">
      <c r="B1251" s="10"/>
      <c r="C1251" s="10"/>
    </row>
    <row r="1252" spans="2:3" x14ac:dyDescent="0.3">
      <c r="B1252" s="10"/>
      <c r="C1252" s="10"/>
    </row>
    <row r="1253" spans="2:3" x14ac:dyDescent="0.3">
      <c r="B1253" s="10"/>
      <c r="C1253" s="10"/>
    </row>
    <row r="1254" spans="2:3" x14ac:dyDescent="0.3">
      <c r="B1254" s="10"/>
      <c r="C1254" s="10"/>
    </row>
    <row r="1255" spans="2:3" x14ac:dyDescent="0.3">
      <c r="B1255" s="10"/>
      <c r="C1255" s="10"/>
    </row>
    <row r="1256" spans="2:3" x14ac:dyDescent="0.3">
      <c r="B1256" s="10"/>
      <c r="C1256" s="10"/>
    </row>
    <row r="1257" spans="2:3" x14ac:dyDescent="0.3">
      <c r="B1257" s="10"/>
      <c r="C1257" s="10"/>
    </row>
    <row r="1258" spans="2:3" x14ac:dyDescent="0.3">
      <c r="B1258" s="10"/>
      <c r="C1258" s="10"/>
    </row>
    <row r="1259" spans="2:3" x14ac:dyDescent="0.3">
      <c r="B1259" s="10"/>
      <c r="C1259" s="10"/>
    </row>
    <row r="1260" spans="2:3" x14ac:dyDescent="0.3">
      <c r="B1260" s="10"/>
      <c r="C1260" s="10"/>
    </row>
    <row r="1261" spans="2:3" x14ac:dyDescent="0.3">
      <c r="B1261" s="10"/>
      <c r="C1261" s="10"/>
    </row>
    <row r="1262" spans="2:3" x14ac:dyDescent="0.3">
      <c r="B1262" s="10"/>
      <c r="C1262" s="10"/>
    </row>
    <row r="1263" spans="2:3" x14ac:dyDescent="0.3">
      <c r="B1263" s="10"/>
      <c r="C1263" s="10"/>
    </row>
    <row r="1264" spans="2:3" x14ac:dyDescent="0.3">
      <c r="B1264" s="10"/>
      <c r="C1264" s="10"/>
    </row>
    <row r="1265" spans="2:3" x14ac:dyDescent="0.3">
      <c r="B1265" s="10"/>
      <c r="C1265" s="10"/>
    </row>
    <row r="1266" spans="2:3" x14ac:dyDescent="0.3">
      <c r="B1266" s="10"/>
      <c r="C1266" s="10"/>
    </row>
    <row r="1267" spans="2:3" x14ac:dyDescent="0.3">
      <c r="B1267" s="10"/>
      <c r="C1267" s="10"/>
    </row>
    <row r="1268" spans="2:3" x14ac:dyDescent="0.3">
      <c r="B1268" s="10"/>
      <c r="C1268" s="10"/>
    </row>
    <row r="1269" spans="2:3" x14ac:dyDescent="0.3">
      <c r="B1269" s="10"/>
      <c r="C1269" s="10"/>
    </row>
    <row r="1270" spans="2:3" x14ac:dyDescent="0.3">
      <c r="B1270" s="10"/>
      <c r="C1270" s="10"/>
    </row>
    <row r="1271" spans="2:3" x14ac:dyDescent="0.3">
      <c r="B1271" s="10"/>
      <c r="C1271" s="10"/>
    </row>
    <row r="1272" spans="2:3" x14ac:dyDescent="0.3">
      <c r="B1272" s="10"/>
      <c r="C1272" s="10"/>
    </row>
    <row r="1273" spans="2:3" x14ac:dyDescent="0.3">
      <c r="B1273" s="10"/>
      <c r="C1273" s="10"/>
    </row>
    <row r="1274" spans="2:3" x14ac:dyDescent="0.3">
      <c r="B1274" s="10"/>
      <c r="C1274" s="10"/>
    </row>
    <row r="1275" spans="2:3" x14ac:dyDescent="0.3">
      <c r="B1275" s="10"/>
      <c r="C1275" s="10"/>
    </row>
    <row r="1276" spans="2:3" x14ac:dyDescent="0.3">
      <c r="B1276" s="10"/>
      <c r="C1276" s="10"/>
    </row>
    <row r="1277" spans="2:3" x14ac:dyDescent="0.3">
      <c r="B1277" s="10"/>
      <c r="C1277" s="10"/>
    </row>
    <row r="1278" spans="2:3" x14ac:dyDescent="0.3">
      <c r="B1278" s="10"/>
      <c r="C1278" s="10"/>
    </row>
    <row r="1279" spans="2:3" x14ac:dyDescent="0.3">
      <c r="B1279" s="10"/>
      <c r="C1279" s="10"/>
    </row>
    <row r="1280" spans="2:3" x14ac:dyDescent="0.3">
      <c r="B1280" s="10"/>
      <c r="C1280" s="10"/>
    </row>
    <row r="1281" spans="2:3" x14ac:dyDescent="0.3">
      <c r="B1281" s="10"/>
      <c r="C1281" s="10"/>
    </row>
    <row r="1282" spans="2:3" x14ac:dyDescent="0.3">
      <c r="B1282" s="10"/>
      <c r="C1282" s="10"/>
    </row>
    <row r="1283" spans="2:3" x14ac:dyDescent="0.3">
      <c r="B1283" s="10"/>
      <c r="C1283" s="10"/>
    </row>
    <row r="1284" spans="2:3" x14ac:dyDescent="0.3">
      <c r="B1284" s="10"/>
      <c r="C1284" s="10"/>
    </row>
    <row r="1285" spans="2:3" x14ac:dyDescent="0.3">
      <c r="B1285" s="10"/>
      <c r="C1285" s="10"/>
    </row>
    <row r="1286" spans="2:3" x14ac:dyDescent="0.3">
      <c r="B1286" s="10"/>
      <c r="C1286" s="10"/>
    </row>
    <row r="1287" spans="2:3" x14ac:dyDescent="0.3">
      <c r="B1287" s="10"/>
      <c r="C1287" s="10"/>
    </row>
    <row r="1288" spans="2:3" x14ac:dyDescent="0.3">
      <c r="B1288" s="10"/>
      <c r="C1288" s="10"/>
    </row>
    <row r="1289" spans="2:3" x14ac:dyDescent="0.3">
      <c r="B1289" s="10"/>
      <c r="C1289" s="10"/>
    </row>
    <row r="1290" spans="2:3" x14ac:dyDescent="0.3">
      <c r="B1290" s="10"/>
      <c r="C1290" s="10"/>
    </row>
    <row r="1291" spans="2:3" x14ac:dyDescent="0.3">
      <c r="B1291" s="10"/>
      <c r="C1291" s="10"/>
    </row>
    <row r="1292" spans="2:3" x14ac:dyDescent="0.3">
      <c r="B1292" s="10"/>
      <c r="C1292" s="10"/>
    </row>
    <row r="1293" spans="2:3" x14ac:dyDescent="0.3">
      <c r="B1293" s="10"/>
      <c r="C1293" s="10"/>
    </row>
    <row r="1294" spans="2:3" x14ac:dyDescent="0.3">
      <c r="B1294" s="10"/>
      <c r="C1294" s="10"/>
    </row>
    <row r="1295" spans="2:3" x14ac:dyDescent="0.3">
      <c r="B1295" s="10"/>
      <c r="C1295" s="10"/>
    </row>
    <row r="1296" spans="2:3" x14ac:dyDescent="0.3">
      <c r="B1296" s="10"/>
      <c r="C1296" s="10"/>
    </row>
    <row r="1297" spans="2:3" x14ac:dyDescent="0.3">
      <c r="B1297" s="10"/>
      <c r="C1297" s="10"/>
    </row>
    <row r="1298" spans="2:3" x14ac:dyDescent="0.3">
      <c r="B1298" s="10"/>
      <c r="C1298" s="10"/>
    </row>
    <row r="1299" spans="2:3" x14ac:dyDescent="0.3">
      <c r="B1299" s="10"/>
      <c r="C1299" s="10"/>
    </row>
    <row r="1300" spans="2:3" x14ac:dyDescent="0.3">
      <c r="B1300" s="10"/>
      <c r="C1300" s="10"/>
    </row>
    <row r="1301" spans="2:3" x14ac:dyDescent="0.3">
      <c r="B1301" s="10"/>
      <c r="C1301" s="10"/>
    </row>
    <row r="1302" spans="2:3" x14ac:dyDescent="0.3">
      <c r="B1302" s="10"/>
      <c r="C1302" s="10"/>
    </row>
    <row r="1303" spans="2:3" x14ac:dyDescent="0.3">
      <c r="B1303" s="10"/>
      <c r="C1303" s="10"/>
    </row>
    <row r="1304" spans="2:3" x14ac:dyDescent="0.3">
      <c r="B1304" s="10"/>
      <c r="C1304" s="10"/>
    </row>
    <row r="1305" spans="2:3" x14ac:dyDescent="0.3">
      <c r="B1305" s="10"/>
      <c r="C1305" s="10"/>
    </row>
    <row r="1306" spans="2:3" x14ac:dyDescent="0.3">
      <c r="B1306" s="10"/>
      <c r="C1306" s="10"/>
    </row>
    <row r="1307" spans="2:3" x14ac:dyDescent="0.3">
      <c r="B1307" s="10"/>
      <c r="C1307" s="10"/>
    </row>
    <row r="1308" spans="2:3" x14ac:dyDescent="0.3">
      <c r="B1308" s="10"/>
      <c r="C1308" s="10"/>
    </row>
    <row r="1309" spans="2:3" x14ac:dyDescent="0.3">
      <c r="B1309" s="10"/>
      <c r="C1309" s="10"/>
    </row>
    <row r="1310" spans="2:3" x14ac:dyDescent="0.3">
      <c r="B1310" s="10"/>
      <c r="C1310" s="10"/>
    </row>
    <row r="1311" spans="2:3" x14ac:dyDescent="0.3">
      <c r="B1311" s="10"/>
      <c r="C1311" s="10"/>
    </row>
    <row r="1312" spans="2:3" x14ac:dyDescent="0.3">
      <c r="B1312" s="10"/>
      <c r="C1312" s="10"/>
    </row>
    <row r="1313" spans="2:3" x14ac:dyDescent="0.3">
      <c r="B1313" s="10"/>
      <c r="C1313" s="10"/>
    </row>
    <row r="1314" spans="2:3" x14ac:dyDescent="0.3">
      <c r="B1314" s="10"/>
      <c r="C1314" s="10"/>
    </row>
    <row r="1315" spans="2:3" x14ac:dyDescent="0.3">
      <c r="B1315" s="10"/>
      <c r="C1315" s="10"/>
    </row>
    <row r="1316" spans="2:3" x14ac:dyDescent="0.3">
      <c r="B1316" s="10"/>
      <c r="C1316" s="10"/>
    </row>
    <row r="1317" spans="2:3" x14ac:dyDescent="0.3">
      <c r="B1317" s="10"/>
      <c r="C1317" s="10"/>
    </row>
    <row r="1318" spans="2:3" x14ac:dyDescent="0.3">
      <c r="B1318" s="10"/>
      <c r="C1318" s="10"/>
    </row>
    <row r="1319" spans="2:3" x14ac:dyDescent="0.3">
      <c r="B1319" s="10"/>
      <c r="C1319" s="10"/>
    </row>
    <row r="1320" spans="2:3" x14ac:dyDescent="0.3">
      <c r="B1320" s="10"/>
      <c r="C1320" s="10"/>
    </row>
    <row r="1321" spans="2:3" x14ac:dyDescent="0.3">
      <c r="B1321" s="10"/>
      <c r="C1321" s="10"/>
    </row>
    <row r="1322" spans="2:3" x14ac:dyDescent="0.3">
      <c r="B1322" s="10"/>
      <c r="C1322" s="10"/>
    </row>
    <row r="1323" spans="2:3" x14ac:dyDescent="0.3">
      <c r="B1323" s="10"/>
      <c r="C1323" s="10"/>
    </row>
    <row r="1324" spans="2:3" x14ac:dyDescent="0.3">
      <c r="B1324" s="10"/>
      <c r="C1324" s="10"/>
    </row>
    <row r="1325" spans="2:3" x14ac:dyDescent="0.3">
      <c r="B1325" s="10"/>
      <c r="C1325" s="10"/>
    </row>
    <row r="1326" spans="2:3" x14ac:dyDescent="0.3">
      <c r="B1326" s="10"/>
      <c r="C1326" s="10"/>
    </row>
    <row r="1327" spans="2:3" x14ac:dyDescent="0.3">
      <c r="B1327" s="10"/>
      <c r="C1327" s="10"/>
    </row>
    <row r="1328" spans="2:3" x14ac:dyDescent="0.3">
      <c r="B1328" s="10"/>
      <c r="C1328" s="10"/>
    </row>
    <row r="1329" spans="2:3" x14ac:dyDescent="0.3">
      <c r="B1329" s="10"/>
      <c r="C1329" s="10"/>
    </row>
    <row r="1330" spans="2:3" x14ac:dyDescent="0.3">
      <c r="B1330" s="10"/>
      <c r="C1330" s="10"/>
    </row>
    <row r="1331" spans="2:3" x14ac:dyDescent="0.3">
      <c r="B1331" s="10"/>
      <c r="C1331" s="10"/>
    </row>
    <row r="1332" spans="2:3" x14ac:dyDescent="0.3">
      <c r="B1332" s="10"/>
      <c r="C1332" s="10"/>
    </row>
    <row r="1333" spans="2:3" x14ac:dyDescent="0.3">
      <c r="B1333" s="10"/>
      <c r="C1333" s="10"/>
    </row>
    <row r="1334" spans="2:3" x14ac:dyDescent="0.3">
      <c r="B1334" s="10"/>
      <c r="C1334" s="10"/>
    </row>
    <row r="1335" spans="2:3" x14ac:dyDescent="0.3">
      <c r="B1335" s="10"/>
      <c r="C1335" s="10"/>
    </row>
    <row r="1336" spans="2:3" x14ac:dyDescent="0.3">
      <c r="B1336" s="10"/>
      <c r="C1336" s="10"/>
    </row>
    <row r="1337" spans="2:3" x14ac:dyDescent="0.3">
      <c r="B1337" s="10"/>
      <c r="C1337" s="10"/>
    </row>
    <row r="1338" spans="2:3" x14ac:dyDescent="0.3">
      <c r="B1338" s="10"/>
      <c r="C1338" s="10"/>
    </row>
    <row r="1339" spans="2:3" x14ac:dyDescent="0.3">
      <c r="B1339" s="10"/>
      <c r="C1339" s="10"/>
    </row>
    <row r="1340" spans="2:3" x14ac:dyDescent="0.3">
      <c r="B1340" s="10"/>
      <c r="C1340" s="10"/>
    </row>
    <row r="1341" spans="2:3" x14ac:dyDescent="0.3">
      <c r="B1341" s="10"/>
      <c r="C1341" s="10"/>
    </row>
    <row r="1342" spans="2:3" x14ac:dyDescent="0.3">
      <c r="B1342" s="10"/>
      <c r="C1342" s="10"/>
    </row>
    <row r="1343" spans="2:3" x14ac:dyDescent="0.3">
      <c r="B1343" s="10"/>
      <c r="C1343" s="10"/>
    </row>
    <row r="1344" spans="2:3" x14ac:dyDescent="0.3">
      <c r="B1344" s="10"/>
      <c r="C1344" s="10"/>
    </row>
    <row r="1345" spans="2:3" x14ac:dyDescent="0.3">
      <c r="B1345" s="10"/>
      <c r="C1345" s="10"/>
    </row>
    <row r="1346" spans="2:3" x14ac:dyDescent="0.3">
      <c r="B1346" s="10"/>
      <c r="C1346" s="10"/>
    </row>
    <row r="1347" spans="2:3" x14ac:dyDescent="0.3">
      <c r="B1347" s="10"/>
      <c r="C1347" s="10"/>
    </row>
    <row r="1348" spans="2:3" x14ac:dyDescent="0.3">
      <c r="B1348" s="10"/>
      <c r="C1348" s="10"/>
    </row>
    <row r="1349" spans="2:3" x14ac:dyDescent="0.3">
      <c r="B1349" s="10"/>
      <c r="C1349" s="10"/>
    </row>
    <row r="1350" spans="2:3" x14ac:dyDescent="0.3">
      <c r="B1350" s="10"/>
      <c r="C1350" s="10"/>
    </row>
    <row r="1351" spans="2:3" x14ac:dyDescent="0.3">
      <c r="B1351" s="10"/>
      <c r="C1351" s="10"/>
    </row>
    <row r="1352" spans="2:3" x14ac:dyDescent="0.3">
      <c r="B1352" s="10"/>
      <c r="C1352" s="10"/>
    </row>
    <row r="1353" spans="2:3" x14ac:dyDescent="0.3">
      <c r="B1353" s="10"/>
      <c r="C1353" s="10"/>
    </row>
    <row r="1354" spans="2:3" x14ac:dyDescent="0.3">
      <c r="B1354" s="10"/>
      <c r="C1354" s="10"/>
    </row>
    <row r="1355" spans="2:3" x14ac:dyDescent="0.3">
      <c r="B1355" s="10"/>
      <c r="C1355" s="10"/>
    </row>
    <row r="1356" spans="2:3" x14ac:dyDescent="0.3">
      <c r="B1356" s="10"/>
      <c r="C1356" s="10"/>
    </row>
    <row r="1357" spans="2:3" x14ac:dyDescent="0.3">
      <c r="B1357" s="10"/>
      <c r="C1357" s="10"/>
    </row>
    <row r="1358" spans="2:3" x14ac:dyDescent="0.3">
      <c r="B1358" s="10"/>
      <c r="C1358" s="10"/>
    </row>
    <row r="1359" spans="2:3" x14ac:dyDescent="0.3">
      <c r="B1359" s="10"/>
      <c r="C1359" s="10"/>
    </row>
    <row r="1360" spans="2:3" x14ac:dyDescent="0.3">
      <c r="B1360" s="10"/>
      <c r="C1360" s="10"/>
    </row>
    <row r="1361" spans="2:3" x14ac:dyDescent="0.3">
      <c r="B1361" s="10"/>
      <c r="C1361" s="10"/>
    </row>
    <row r="1362" spans="2:3" x14ac:dyDescent="0.3">
      <c r="B1362" s="10"/>
      <c r="C1362" s="10"/>
    </row>
    <row r="1363" spans="2:3" x14ac:dyDescent="0.3">
      <c r="B1363" s="10"/>
      <c r="C1363" s="10"/>
    </row>
    <row r="1364" spans="2:3" x14ac:dyDescent="0.3">
      <c r="B1364" s="10"/>
      <c r="C1364" s="10"/>
    </row>
    <row r="1365" spans="2:3" x14ac:dyDescent="0.3">
      <c r="B1365" s="10"/>
      <c r="C1365" s="10"/>
    </row>
    <row r="1366" spans="2:3" x14ac:dyDescent="0.3">
      <c r="B1366" s="10"/>
      <c r="C1366" s="10"/>
    </row>
    <row r="1367" spans="2:3" x14ac:dyDescent="0.3">
      <c r="B1367" s="10"/>
      <c r="C1367" s="10"/>
    </row>
    <row r="1368" spans="2:3" x14ac:dyDescent="0.3">
      <c r="B1368" s="10"/>
      <c r="C1368" s="10"/>
    </row>
    <row r="1369" spans="2:3" x14ac:dyDescent="0.3">
      <c r="B1369" s="10"/>
      <c r="C1369" s="10"/>
    </row>
    <row r="1370" spans="2:3" x14ac:dyDescent="0.3">
      <c r="B1370" s="10"/>
      <c r="C1370" s="10"/>
    </row>
    <row r="1371" spans="2:3" x14ac:dyDescent="0.3">
      <c r="B1371" s="10"/>
      <c r="C1371" s="10"/>
    </row>
    <row r="1372" spans="2:3" x14ac:dyDescent="0.3">
      <c r="B1372" s="10"/>
      <c r="C1372" s="10"/>
    </row>
    <row r="1373" spans="2:3" x14ac:dyDescent="0.3">
      <c r="B1373" s="10"/>
      <c r="C1373" s="10"/>
    </row>
    <row r="1374" spans="2:3" x14ac:dyDescent="0.3">
      <c r="B1374" s="10"/>
      <c r="C1374" s="10"/>
    </row>
    <row r="1375" spans="2:3" x14ac:dyDescent="0.3">
      <c r="B1375" s="10"/>
      <c r="C1375" s="10"/>
    </row>
    <row r="1376" spans="2:3" x14ac:dyDescent="0.3">
      <c r="B1376" s="10"/>
      <c r="C1376" s="10"/>
    </row>
    <row r="1377" spans="2:3" x14ac:dyDescent="0.3">
      <c r="B1377" s="10"/>
      <c r="C1377" s="10"/>
    </row>
    <row r="1378" spans="2:3" x14ac:dyDescent="0.3">
      <c r="B1378" s="10"/>
      <c r="C1378" s="10"/>
    </row>
    <row r="1379" spans="2:3" x14ac:dyDescent="0.3">
      <c r="B1379" s="10"/>
      <c r="C1379" s="10"/>
    </row>
    <row r="1380" spans="2:3" x14ac:dyDescent="0.3">
      <c r="B1380" s="10"/>
      <c r="C1380" s="10"/>
    </row>
    <row r="1381" spans="2:3" x14ac:dyDescent="0.3">
      <c r="B1381" s="10"/>
      <c r="C1381" s="10"/>
    </row>
    <row r="1382" spans="2:3" x14ac:dyDescent="0.3">
      <c r="B1382" s="10"/>
      <c r="C1382" s="10"/>
    </row>
    <row r="1383" spans="2:3" x14ac:dyDescent="0.3">
      <c r="B1383" s="10"/>
      <c r="C1383" s="10"/>
    </row>
    <row r="1384" spans="2:3" x14ac:dyDescent="0.3">
      <c r="B1384" s="10"/>
      <c r="C1384" s="10"/>
    </row>
    <row r="1385" spans="2:3" x14ac:dyDescent="0.3">
      <c r="B1385" s="10"/>
      <c r="C1385" s="10"/>
    </row>
    <row r="1386" spans="2:3" x14ac:dyDescent="0.3">
      <c r="B1386" s="10"/>
      <c r="C1386" s="10"/>
    </row>
    <row r="1387" spans="2:3" x14ac:dyDescent="0.3">
      <c r="B1387" s="10"/>
      <c r="C1387" s="10"/>
    </row>
    <row r="1388" spans="2:3" x14ac:dyDescent="0.3">
      <c r="B1388" s="10"/>
      <c r="C1388" s="10"/>
    </row>
    <row r="1389" spans="2:3" x14ac:dyDescent="0.3">
      <c r="B1389" s="10"/>
      <c r="C1389" s="10"/>
    </row>
    <row r="1390" spans="2:3" x14ac:dyDescent="0.3">
      <c r="B1390" s="10"/>
      <c r="C1390" s="10"/>
    </row>
    <row r="1391" spans="2:3" x14ac:dyDescent="0.3">
      <c r="B1391" s="10"/>
      <c r="C1391" s="10"/>
    </row>
    <row r="1392" spans="2:3" x14ac:dyDescent="0.3">
      <c r="B1392" s="10"/>
      <c r="C1392" s="10"/>
    </row>
    <row r="1393" spans="2:3" x14ac:dyDescent="0.3">
      <c r="B1393" s="10"/>
      <c r="C1393" s="10"/>
    </row>
    <row r="1394" spans="2:3" x14ac:dyDescent="0.3">
      <c r="B1394" s="10"/>
      <c r="C1394" s="10"/>
    </row>
    <row r="1395" spans="2:3" x14ac:dyDescent="0.3">
      <c r="B1395" s="10"/>
      <c r="C1395" s="10"/>
    </row>
    <row r="1396" spans="2:3" x14ac:dyDescent="0.3">
      <c r="B1396" s="10"/>
      <c r="C1396" s="10"/>
    </row>
    <row r="1397" spans="2:3" x14ac:dyDescent="0.3">
      <c r="B1397" s="10"/>
      <c r="C1397" s="10"/>
    </row>
    <row r="1398" spans="2:3" x14ac:dyDescent="0.3">
      <c r="B1398" s="10"/>
      <c r="C1398" s="10"/>
    </row>
    <row r="1399" spans="2:3" x14ac:dyDescent="0.3">
      <c r="B1399" s="10"/>
      <c r="C1399" s="10"/>
    </row>
    <row r="1400" spans="2:3" x14ac:dyDescent="0.3">
      <c r="B1400" s="10"/>
      <c r="C1400" s="10"/>
    </row>
    <row r="1401" spans="2:3" x14ac:dyDescent="0.3">
      <c r="B1401" s="10"/>
      <c r="C1401" s="10"/>
    </row>
    <row r="1402" spans="2:3" x14ac:dyDescent="0.3">
      <c r="B1402" s="10"/>
      <c r="C1402" s="10"/>
    </row>
    <row r="1403" spans="2:3" x14ac:dyDescent="0.3">
      <c r="B1403" s="10"/>
      <c r="C1403" s="10"/>
    </row>
    <row r="1404" spans="2:3" x14ac:dyDescent="0.3">
      <c r="B1404" s="10"/>
      <c r="C1404" s="10"/>
    </row>
    <row r="1405" spans="2:3" x14ac:dyDescent="0.3">
      <c r="B1405" s="10"/>
      <c r="C1405" s="10"/>
    </row>
    <row r="1406" spans="2:3" x14ac:dyDescent="0.3">
      <c r="B1406" s="10"/>
      <c r="C1406" s="10"/>
    </row>
    <row r="1407" spans="2:3" x14ac:dyDescent="0.3">
      <c r="B1407" s="10"/>
      <c r="C1407" s="10"/>
    </row>
    <row r="1408" spans="2:3" x14ac:dyDescent="0.3">
      <c r="B1408" s="10"/>
      <c r="C1408" s="10"/>
    </row>
    <row r="1409" spans="2:3" x14ac:dyDescent="0.3">
      <c r="B1409" s="10"/>
      <c r="C1409" s="10"/>
    </row>
    <row r="1410" spans="2:3" x14ac:dyDescent="0.3">
      <c r="B1410" s="10"/>
      <c r="C1410" s="10"/>
    </row>
    <row r="1411" spans="2:3" x14ac:dyDescent="0.3">
      <c r="B1411" s="10"/>
      <c r="C1411" s="10"/>
    </row>
    <row r="1412" spans="2:3" x14ac:dyDescent="0.3">
      <c r="B1412" s="10"/>
      <c r="C1412" s="10"/>
    </row>
    <row r="1413" spans="2:3" x14ac:dyDescent="0.3">
      <c r="B1413" s="10"/>
      <c r="C1413" s="10"/>
    </row>
    <row r="1414" spans="2:3" x14ac:dyDescent="0.3">
      <c r="B1414" s="10"/>
      <c r="C1414" s="10"/>
    </row>
    <row r="1415" spans="2:3" x14ac:dyDescent="0.3">
      <c r="B1415" s="10"/>
      <c r="C1415" s="10"/>
    </row>
    <row r="1416" spans="2:3" x14ac:dyDescent="0.3">
      <c r="B1416" s="10"/>
      <c r="C1416" s="10"/>
    </row>
    <row r="1417" spans="2:3" x14ac:dyDescent="0.3">
      <c r="B1417" s="10"/>
      <c r="C1417" s="10"/>
    </row>
    <row r="1418" spans="2:3" x14ac:dyDescent="0.3">
      <c r="B1418" s="10"/>
      <c r="C1418" s="10"/>
    </row>
    <row r="1419" spans="2:3" x14ac:dyDescent="0.3">
      <c r="B1419" s="10"/>
      <c r="C1419" s="10"/>
    </row>
    <row r="1420" spans="2:3" x14ac:dyDescent="0.3">
      <c r="B1420" s="10"/>
      <c r="C1420" s="10"/>
    </row>
    <row r="1421" spans="2:3" x14ac:dyDescent="0.3">
      <c r="B1421" s="10"/>
      <c r="C1421" s="10"/>
    </row>
    <row r="1422" spans="2:3" x14ac:dyDescent="0.3">
      <c r="B1422" s="10"/>
      <c r="C1422" s="10"/>
    </row>
    <row r="1423" spans="2:3" x14ac:dyDescent="0.3">
      <c r="B1423" s="10"/>
      <c r="C1423" s="10"/>
    </row>
    <row r="1424" spans="2:3" x14ac:dyDescent="0.3">
      <c r="B1424" s="10"/>
      <c r="C1424" s="10"/>
    </row>
    <row r="1425" spans="2:3" x14ac:dyDescent="0.3">
      <c r="B1425" s="10"/>
      <c r="C1425" s="10"/>
    </row>
    <row r="1426" spans="2:3" x14ac:dyDescent="0.3">
      <c r="B1426" s="10"/>
      <c r="C1426" s="10"/>
    </row>
    <row r="1427" spans="2:3" x14ac:dyDescent="0.3">
      <c r="B1427" s="10"/>
      <c r="C1427" s="10"/>
    </row>
    <row r="1428" spans="2:3" x14ac:dyDescent="0.3">
      <c r="B1428" s="10"/>
      <c r="C1428" s="10"/>
    </row>
    <row r="1429" spans="2:3" x14ac:dyDescent="0.3">
      <c r="B1429" s="10"/>
      <c r="C1429" s="10"/>
    </row>
    <row r="1430" spans="2:3" x14ac:dyDescent="0.3">
      <c r="B1430" s="10"/>
      <c r="C1430" s="10"/>
    </row>
    <row r="1431" spans="2:3" x14ac:dyDescent="0.3">
      <c r="B1431" s="10"/>
      <c r="C1431" s="10"/>
    </row>
    <row r="1432" spans="2:3" x14ac:dyDescent="0.3">
      <c r="B1432" s="10"/>
      <c r="C1432" s="10"/>
    </row>
    <row r="1433" spans="2:3" x14ac:dyDescent="0.3">
      <c r="B1433" s="10"/>
      <c r="C1433" s="10"/>
    </row>
    <row r="1434" spans="2:3" x14ac:dyDescent="0.3">
      <c r="B1434" s="10"/>
      <c r="C1434" s="10"/>
    </row>
    <row r="1435" spans="2:3" x14ac:dyDescent="0.3">
      <c r="B1435" s="10"/>
      <c r="C1435" s="10"/>
    </row>
    <row r="1436" spans="2:3" x14ac:dyDescent="0.3">
      <c r="B1436" s="10"/>
      <c r="C1436" s="10"/>
    </row>
    <row r="1437" spans="2:3" x14ac:dyDescent="0.3">
      <c r="B1437" s="10"/>
      <c r="C1437" s="10"/>
    </row>
    <row r="1438" spans="2:3" x14ac:dyDescent="0.3">
      <c r="B1438" s="10"/>
      <c r="C1438" s="10"/>
    </row>
    <row r="1439" spans="2:3" x14ac:dyDescent="0.3">
      <c r="B1439" s="10"/>
      <c r="C1439" s="10"/>
    </row>
    <row r="1440" spans="2:3" x14ac:dyDescent="0.3">
      <c r="B1440" s="10"/>
      <c r="C1440" s="10"/>
    </row>
    <row r="1441" spans="2:3" x14ac:dyDescent="0.3">
      <c r="B1441" s="10"/>
      <c r="C1441" s="10"/>
    </row>
    <row r="1442" spans="2:3" x14ac:dyDescent="0.3">
      <c r="B1442" s="10"/>
      <c r="C1442" s="10"/>
    </row>
    <row r="1443" spans="2:3" x14ac:dyDescent="0.3">
      <c r="B1443" s="10"/>
      <c r="C1443" s="10"/>
    </row>
    <row r="1444" spans="2:3" x14ac:dyDescent="0.3">
      <c r="B1444" s="10"/>
      <c r="C1444" s="10"/>
    </row>
    <row r="1445" spans="2:3" x14ac:dyDescent="0.3">
      <c r="B1445" s="10"/>
      <c r="C1445" s="10"/>
    </row>
    <row r="1446" spans="2:3" x14ac:dyDescent="0.3">
      <c r="B1446" s="10"/>
      <c r="C1446" s="10"/>
    </row>
    <row r="1447" spans="2:3" x14ac:dyDescent="0.3">
      <c r="B1447" s="10"/>
      <c r="C1447" s="10"/>
    </row>
    <row r="1448" spans="2:3" x14ac:dyDescent="0.3">
      <c r="B1448" s="10"/>
      <c r="C1448" s="10"/>
    </row>
    <row r="1449" spans="2:3" x14ac:dyDescent="0.3">
      <c r="B1449" s="10"/>
      <c r="C1449" s="10"/>
    </row>
    <row r="1450" spans="2:3" x14ac:dyDescent="0.3">
      <c r="B1450" s="10"/>
      <c r="C1450" s="10"/>
    </row>
    <row r="1451" spans="2:3" x14ac:dyDescent="0.3">
      <c r="B1451" s="10"/>
      <c r="C1451" s="10"/>
    </row>
    <row r="1452" spans="2:3" x14ac:dyDescent="0.3">
      <c r="B1452" s="10"/>
      <c r="C1452" s="10"/>
    </row>
    <row r="1453" spans="2:3" x14ac:dyDescent="0.3">
      <c r="B1453" s="10"/>
      <c r="C1453" s="10"/>
    </row>
    <row r="1454" spans="2:3" x14ac:dyDescent="0.3">
      <c r="B1454" s="10"/>
      <c r="C1454" s="10"/>
    </row>
    <row r="1455" spans="2:3" x14ac:dyDescent="0.3">
      <c r="B1455" s="10"/>
      <c r="C1455" s="10"/>
    </row>
    <row r="1456" spans="2:3" x14ac:dyDescent="0.3">
      <c r="B1456" s="10"/>
      <c r="C1456" s="10"/>
    </row>
    <row r="1457" spans="2:3" x14ac:dyDescent="0.3">
      <c r="B1457" s="10"/>
      <c r="C1457" s="10"/>
    </row>
    <row r="1458" spans="2:3" x14ac:dyDescent="0.3">
      <c r="B1458" s="10"/>
      <c r="C1458" s="10"/>
    </row>
    <row r="1459" spans="2:3" x14ac:dyDescent="0.3">
      <c r="B1459" s="10"/>
      <c r="C1459" s="10"/>
    </row>
    <row r="1460" spans="2:3" x14ac:dyDescent="0.3">
      <c r="B1460" s="10"/>
      <c r="C1460" s="10"/>
    </row>
    <row r="1461" spans="2:3" x14ac:dyDescent="0.3">
      <c r="B1461" s="10"/>
      <c r="C1461" s="10"/>
    </row>
    <row r="1462" spans="2:3" x14ac:dyDescent="0.3">
      <c r="B1462" s="10"/>
      <c r="C1462" s="10"/>
    </row>
    <row r="1463" spans="2:3" x14ac:dyDescent="0.3">
      <c r="B1463" s="10"/>
      <c r="C1463" s="10"/>
    </row>
    <row r="1464" spans="2:3" x14ac:dyDescent="0.3">
      <c r="B1464" s="10"/>
      <c r="C1464" s="10"/>
    </row>
    <row r="1465" spans="2:3" x14ac:dyDescent="0.3">
      <c r="B1465" s="10"/>
      <c r="C1465" s="10"/>
    </row>
    <row r="1466" spans="2:3" x14ac:dyDescent="0.3">
      <c r="B1466" s="10"/>
      <c r="C1466" s="10"/>
    </row>
    <row r="1467" spans="2:3" x14ac:dyDescent="0.3">
      <c r="B1467" s="10"/>
      <c r="C1467" s="10"/>
    </row>
    <row r="1468" spans="2:3" x14ac:dyDescent="0.3">
      <c r="B1468" s="10"/>
      <c r="C1468" s="10"/>
    </row>
    <row r="1469" spans="2:3" x14ac:dyDescent="0.3">
      <c r="B1469" s="10"/>
      <c r="C1469" s="10"/>
    </row>
    <row r="1470" spans="2:3" x14ac:dyDescent="0.3">
      <c r="B1470" s="10"/>
      <c r="C1470" s="10"/>
    </row>
    <row r="1471" spans="2:3" x14ac:dyDescent="0.3">
      <c r="B1471" s="10"/>
      <c r="C1471" s="10"/>
    </row>
    <row r="1472" spans="2:3" x14ac:dyDescent="0.3">
      <c r="B1472" s="10"/>
      <c r="C1472" s="10"/>
    </row>
    <row r="1473" spans="2:3" x14ac:dyDescent="0.3">
      <c r="B1473" s="10"/>
      <c r="C1473" s="10"/>
    </row>
    <row r="1474" spans="2:3" x14ac:dyDescent="0.3">
      <c r="B1474" s="10"/>
      <c r="C1474" s="10"/>
    </row>
    <row r="1475" spans="2:3" x14ac:dyDescent="0.3">
      <c r="B1475" s="10"/>
      <c r="C1475" s="10"/>
    </row>
    <row r="1476" spans="2:3" x14ac:dyDescent="0.3">
      <c r="B1476" s="10"/>
      <c r="C1476" s="10"/>
    </row>
    <row r="1477" spans="2:3" x14ac:dyDescent="0.3">
      <c r="B1477" s="10"/>
      <c r="C1477" s="10"/>
    </row>
    <row r="1478" spans="2:3" x14ac:dyDescent="0.3">
      <c r="B1478" s="10"/>
      <c r="C1478" s="10"/>
    </row>
    <row r="1479" spans="2:3" x14ac:dyDescent="0.3">
      <c r="B1479" s="10"/>
      <c r="C1479" s="10"/>
    </row>
    <row r="1480" spans="2:3" x14ac:dyDescent="0.3">
      <c r="B1480" s="10"/>
      <c r="C1480" s="10"/>
    </row>
    <row r="1481" spans="2:3" x14ac:dyDescent="0.3">
      <c r="B1481" s="10"/>
      <c r="C1481" s="10"/>
    </row>
    <row r="1482" spans="2:3" x14ac:dyDescent="0.3">
      <c r="B1482" s="10"/>
      <c r="C1482" s="10"/>
    </row>
    <row r="1483" spans="2:3" x14ac:dyDescent="0.3">
      <c r="B1483" s="10"/>
      <c r="C1483" s="10"/>
    </row>
    <row r="1484" spans="2:3" x14ac:dyDescent="0.3">
      <c r="B1484" s="10"/>
      <c r="C1484" s="10"/>
    </row>
    <row r="1485" spans="2:3" x14ac:dyDescent="0.3">
      <c r="B1485" s="10"/>
      <c r="C1485" s="10"/>
    </row>
    <row r="1486" spans="2:3" x14ac:dyDescent="0.3">
      <c r="B1486" s="10"/>
      <c r="C1486" s="10"/>
    </row>
    <row r="1487" spans="2:3" x14ac:dyDescent="0.3">
      <c r="B1487" s="10"/>
      <c r="C1487" s="10"/>
    </row>
    <row r="1488" spans="2:3" x14ac:dyDescent="0.3">
      <c r="B1488" s="10"/>
      <c r="C1488" s="10"/>
    </row>
    <row r="1489" spans="2:3" x14ac:dyDescent="0.3">
      <c r="B1489" s="10"/>
      <c r="C1489" s="10"/>
    </row>
    <row r="1490" spans="2:3" x14ac:dyDescent="0.3">
      <c r="B1490" s="10"/>
      <c r="C1490" s="10"/>
    </row>
    <row r="1491" spans="2:3" x14ac:dyDescent="0.3">
      <c r="B1491" s="10"/>
      <c r="C1491" s="10"/>
    </row>
    <row r="1492" spans="2:3" x14ac:dyDescent="0.3">
      <c r="B1492" s="10"/>
      <c r="C1492" s="10"/>
    </row>
    <row r="1493" spans="2:3" x14ac:dyDescent="0.3">
      <c r="B1493" s="10"/>
      <c r="C1493" s="10"/>
    </row>
    <row r="1494" spans="2:3" x14ac:dyDescent="0.3">
      <c r="B1494" s="10"/>
      <c r="C1494" s="10"/>
    </row>
    <row r="1495" spans="2:3" x14ac:dyDescent="0.3">
      <c r="B1495" s="10"/>
      <c r="C1495" s="10"/>
    </row>
    <row r="1496" spans="2:3" x14ac:dyDescent="0.3">
      <c r="B1496" s="10"/>
      <c r="C1496" s="10"/>
    </row>
    <row r="1497" spans="2:3" x14ac:dyDescent="0.3">
      <c r="B1497" s="10"/>
      <c r="C1497" s="10"/>
    </row>
    <row r="1498" spans="2:3" x14ac:dyDescent="0.3">
      <c r="B1498" s="10"/>
      <c r="C1498" s="10"/>
    </row>
    <row r="1499" spans="2:3" x14ac:dyDescent="0.3">
      <c r="B1499" s="10"/>
      <c r="C1499" s="10"/>
    </row>
    <row r="1500" spans="2:3" x14ac:dyDescent="0.3">
      <c r="B1500" s="10"/>
      <c r="C1500" s="10"/>
    </row>
    <row r="1501" spans="2:3" x14ac:dyDescent="0.3">
      <c r="B1501" s="10"/>
      <c r="C1501" s="10"/>
    </row>
    <row r="1502" spans="2:3" x14ac:dyDescent="0.3">
      <c r="B1502" s="10"/>
      <c r="C1502" s="10"/>
    </row>
    <row r="1503" spans="2:3" x14ac:dyDescent="0.3">
      <c r="B1503" s="10"/>
      <c r="C1503" s="10"/>
    </row>
    <row r="1504" spans="2:3" x14ac:dyDescent="0.3">
      <c r="B1504" s="10"/>
      <c r="C1504" s="10"/>
    </row>
    <row r="1505" spans="2:3" x14ac:dyDescent="0.3">
      <c r="B1505" s="10"/>
      <c r="C1505" s="10"/>
    </row>
    <row r="1506" spans="2:3" x14ac:dyDescent="0.3">
      <c r="B1506" s="10"/>
      <c r="C1506" s="10"/>
    </row>
    <row r="1507" spans="2:3" x14ac:dyDescent="0.3">
      <c r="B1507" s="10"/>
      <c r="C1507" s="10"/>
    </row>
    <row r="1508" spans="2:3" x14ac:dyDescent="0.3">
      <c r="B1508" s="10"/>
      <c r="C1508" s="10"/>
    </row>
    <row r="1509" spans="2:3" x14ac:dyDescent="0.3">
      <c r="B1509" s="10"/>
      <c r="C1509" s="10"/>
    </row>
    <row r="1510" spans="2:3" x14ac:dyDescent="0.3">
      <c r="B1510" s="10"/>
      <c r="C1510" s="10"/>
    </row>
    <row r="1511" spans="2:3" x14ac:dyDescent="0.3">
      <c r="B1511" s="10"/>
      <c r="C1511" s="10"/>
    </row>
    <row r="1512" spans="2:3" x14ac:dyDescent="0.3">
      <c r="B1512" s="10"/>
      <c r="C1512" s="10"/>
    </row>
    <row r="1513" spans="2:3" x14ac:dyDescent="0.3">
      <c r="B1513" s="10"/>
      <c r="C1513" s="10"/>
    </row>
    <row r="1514" spans="2:3" x14ac:dyDescent="0.3">
      <c r="B1514" s="10"/>
      <c r="C1514" s="10"/>
    </row>
    <row r="1515" spans="2:3" x14ac:dyDescent="0.3">
      <c r="B1515" s="10"/>
      <c r="C1515" s="10"/>
    </row>
    <row r="1516" spans="2:3" x14ac:dyDescent="0.3">
      <c r="B1516" s="10"/>
      <c r="C1516" s="10"/>
    </row>
    <row r="1517" spans="2:3" x14ac:dyDescent="0.3">
      <c r="B1517" s="10"/>
      <c r="C1517" s="10"/>
    </row>
    <row r="1518" spans="2:3" x14ac:dyDescent="0.3">
      <c r="B1518" s="10"/>
      <c r="C1518" s="10"/>
    </row>
    <row r="1519" spans="2:3" x14ac:dyDescent="0.3">
      <c r="B1519" s="10"/>
      <c r="C1519" s="10"/>
    </row>
    <row r="1520" spans="2:3" x14ac:dyDescent="0.3">
      <c r="B1520" s="10"/>
      <c r="C1520" s="10"/>
    </row>
    <row r="1521" spans="2:3" x14ac:dyDescent="0.3">
      <c r="B1521" s="10"/>
      <c r="C1521" s="10"/>
    </row>
    <row r="1522" spans="2:3" x14ac:dyDescent="0.3">
      <c r="B1522" s="10"/>
      <c r="C1522" s="10"/>
    </row>
    <row r="1523" spans="2:3" x14ac:dyDescent="0.3">
      <c r="B1523" s="10"/>
      <c r="C1523" s="10"/>
    </row>
    <row r="1524" spans="2:3" x14ac:dyDescent="0.3">
      <c r="B1524" s="10"/>
      <c r="C1524" s="10"/>
    </row>
    <row r="1525" spans="2:3" x14ac:dyDescent="0.3">
      <c r="B1525" s="10"/>
      <c r="C1525" s="10"/>
    </row>
    <row r="1526" spans="2:3" x14ac:dyDescent="0.3">
      <c r="B1526" s="10"/>
      <c r="C1526" s="10"/>
    </row>
    <row r="1527" spans="2:3" x14ac:dyDescent="0.3">
      <c r="B1527" s="10"/>
      <c r="C1527" s="10"/>
    </row>
    <row r="1528" spans="2:3" x14ac:dyDescent="0.3">
      <c r="B1528" s="10"/>
      <c r="C1528" s="10"/>
    </row>
    <row r="1529" spans="2:3" x14ac:dyDescent="0.3">
      <c r="B1529" s="10"/>
      <c r="C1529" s="10"/>
    </row>
    <row r="1530" spans="2:3" x14ac:dyDescent="0.3">
      <c r="B1530" s="10"/>
      <c r="C1530" s="10"/>
    </row>
    <row r="1531" spans="2:3" x14ac:dyDescent="0.3">
      <c r="B1531" s="10"/>
      <c r="C1531" s="10"/>
    </row>
    <row r="1532" spans="2:3" x14ac:dyDescent="0.3">
      <c r="B1532" s="10"/>
      <c r="C1532" s="10"/>
    </row>
    <row r="1533" spans="2:3" x14ac:dyDescent="0.3">
      <c r="B1533" s="10"/>
      <c r="C1533" s="10"/>
    </row>
    <row r="1534" spans="2:3" x14ac:dyDescent="0.3">
      <c r="B1534" s="10"/>
      <c r="C1534" s="10"/>
    </row>
    <row r="1535" spans="2:3" x14ac:dyDescent="0.3">
      <c r="B1535" s="10"/>
      <c r="C1535" s="10"/>
    </row>
    <row r="1536" spans="2:3" x14ac:dyDescent="0.3">
      <c r="B1536" s="10"/>
      <c r="C1536" s="10"/>
    </row>
    <row r="1537" spans="2:3" x14ac:dyDescent="0.3">
      <c r="B1537" s="10"/>
      <c r="C1537" s="10"/>
    </row>
    <row r="1538" spans="2:3" x14ac:dyDescent="0.3">
      <c r="B1538" s="10"/>
      <c r="C1538" s="10"/>
    </row>
    <row r="1539" spans="2:3" x14ac:dyDescent="0.3">
      <c r="B1539" s="10"/>
      <c r="C1539" s="10"/>
    </row>
    <row r="1540" spans="2:3" x14ac:dyDescent="0.3">
      <c r="B1540" s="10"/>
      <c r="C1540" s="10"/>
    </row>
    <row r="1541" spans="2:3" x14ac:dyDescent="0.3">
      <c r="B1541" s="10"/>
      <c r="C1541" s="10"/>
    </row>
    <row r="1542" spans="2:3" x14ac:dyDescent="0.3">
      <c r="B1542" s="10"/>
      <c r="C1542" s="10"/>
    </row>
    <row r="1543" spans="2:3" x14ac:dyDescent="0.3">
      <c r="B1543" s="10"/>
      <c r="C1543" s="10"/>
    </row>
    <row r="1544" spans="2:3" x14ac:dyDescent="0.3">
      <c r="B1544" s="10"/>
      <c r="C1544" s="10"/>
    </row>
    <row r="1545" spans="2:3" x14ac:dyDescent="0.3">
      <c r="B1545" s="10"/>
      <c r="C1545" s="10"/>
    </row>
    <row r="1546" spans="2:3" x14ac:dyDescent="0.3">
      <c r="B1546" s="10"/>
      <c r="C1546" s="10"/>
    </row>
    <row r="1547" spans="2:3" x14ac:dyDescent="0.3">
      <c r="B1547" s="10"/>
      <c r="C1547" s="10"/>
    </row>
    <row r="1548" spans="2:3" x14ac:dyDescent="0.3">
      <c r="B1548" s="10"/>
      <c r="C1548" s="10"/>
    </row>
    <row r="1549" spans="2:3" x14ac:dyDescent="0.3">
      <c r="B1549" s="10"/>
      <c r="C1549" s="10"/>
    </row>
    <row r="1550" spans="2:3" x14ac:dyDescent="0.3">
      <c r="B1550" s="10"/>
      <c r="C1550" s="10"/>
    </row>
    <row r="1551" spans="2:3" x14ac:dyDescent="0.3">
      <c r="B1551" s="10"/>
      <c r="C1551" s="10"/>
    </row>
    <row r="1552" spans="2:3" x14ac:dyDescent="0.3">
      <c r="B1552" s="10"/>
      <c r="C1552" s="10"/>
    </row>
    <row r="1553" spans="2:3" x14ac:dyDescent="0.3">
      <c r="B1553" s="10"/>
      <c r="C1553" s="10"/>
    </row>
    <row r="1554" spans="2:3" x14ac:dyDescent="0.3">
      <c r="B1554" s="10"/>
      <c r="C1554" s="10"/>
    </row>
    <row r="1555" spans="2:3" x14ac:dyDescent="0.3">
      <c r="B1555" s="10"/>
      <c r="C1555" s="10"/>
    </row>
    <row r="1556" spans="2:3" x14ac:dyDescent="0.3">
      <c r="B1556" s="10"/>
      <c r="C1556" s="10"/>
    </row>
    <row r="1557" spans="2:3" x14ac:dyDescent="0.3">
      <c r="B1557" s="10"/>
      <c r="C1557" s="10"/>
    </row>
    <row r="1558" spans="2:3" x14ac:dyDescent="0.3">
      <c r="B1558" s="10"/>
      <c r="C1558" s="10"/>
    </row>
    <row r="1559" spans="2:3" x14ac:dyDescent="0.3">
      <c r="B1559" s="10"/>
      <c r="C1559" s="10"/>
    </row>
    <row r="1560" spans="2:3" x14ac:dyDescent="0.3">
      <c r="B1560" s="10"/>
      <c r="C1560" s="10"/>
    </row>
    <row r="1561" spans="2:3" x14ac:dyDescent="0.3">
      <c r="B1561" s="10"/>
      <c r="C1561" s="10"/>
    </row>
    <row r="1562" spans="2:3" x14ac:dyDescent="0.3">
      <c r="B1562" s="10"/>
      <c r="C1562" s="10"/>
    </row>
    <row r="1563" spans="2:3" x14ac:dyDescent="0.3">
      <c r="B1563" s="10"/>
      <c r="C1563" s="10"/>
    </row>
    <row r="1564" spans="2:3" x14ac:dyDescent="0.3">
      <c r="B1564" s="10"/>
      <c r="C1564" s="10"/>
    </row>
    <row r="1565" spans="2:3" x14ac:dyDescent="0.3">
      <c r="B1565" s="10"/>
      <c r="C1565" s="10"/>
    </row>
    <row r="1566" spans="2:3" x14ac:dyDescent="0.3">
      <c r="B1566" s="10"/>
      <c r="C1566" s="10"/>
    </row>
    <row r="1567" spans="2:3" x14ac:dyDescent="0.3">
      <c r="B1567" s="10"/>
      <c r="C1567" s="10"/>
    </row>
    <row r="1568" spans="2:3" x14ac:dyDescent="0.3">
      <c r="B1568" s="10"/>
      <c r="C1568" s="10"/>
    </row>
    <row r="1569" spans="2:3" x14ac:dyDescent="0.3">
      <c r="B1569" s="10"/>
      <c r="C1569" s="10"/>
    </row>
    <row r="1570" spans="2:3" x14ac:dyDescent="0.3">
      <c r="B1570" s="10"/>
      <c r="C1570" s="10"/>
    </row>
    <row r="1571" spans="2:3" x14ac:dyDescent="0.3">
      <c r="B1571" s="10"/>
      <c r="C1571" s="10"/>
    </row>
    <row r="1572" spans="2:3" x14ac:dyDescent="0.3">
      <c r="B1572" s="10"/>
      <c r="C1572" s="10"/>
    </row>
    <row r="1573" spans="2:3" x14ac:dyDescent="0.3">
      <c r="B1573" s="10"/>
      <c r="C1573" s="10"/>
    </row>
    <row r="1574" spans="2:3" x14ac:dyDescent="0.3">
      <c r="B1574" s="10"/>
      <c r="C1574" s="10"/>
    </row>
    <row r="1575" spans="2:3" x14ac:dyDescent="0.3">
      <c r="B1575" s="10"/>
      <c r="C1575" s="10"/>
    </row>
    <row r="1576" spans="2:3" x14ac:dyDescent="0.3">
      <c r="B1576" s="10"/>
      <c r="C1576" s="10"/>
    </row>
    <row r="1577" spans="2:3" x14ac:dyDescent="0.3">
      <c r="B1577" s="10"/>
      <c r="C1577" s="10"/>
    </row>
    <row r="1578" spans="2:3" x14ac:dyDescent="0.3">
      <c r="B1578" s="10"/>
      <c r="C1578" s="10"/>
    </row>
    <row r="1579" spans="2:3" x14ac:dyDescent="0.3">
      <c r="B1579" s="10"/>
      <c r="C1579" s="10"/>
    </row>
    <row r="1580" spans="2:3" x14ac:dyDescent="0.3">
      <c r="B1580" s="10"/>
      <c r="C1580" s="10"/>
    </row>
    <row r="1581" spans="2:3" x14ac:dyDescent="0.3">
      <c r="B1581" s="10"/>
      <c r="C1581" s="10"/>
    </row>
    <row r="1582" spans="2:3" x14ac:dyDescent="0.3">
      <c r="B1582" s="10"/>
      <c r="C1582" s="10"/>
    </row>
    <row r="1583" spans="2:3" x14ac:dyDescent="0.3">
      <c r="B1583" s="10"/>
      <c r="C1583" s="10"/>
    </row>
    <row r="1584" spans="2:3" x14ac:dyDescent="0.3">
      <c r="B1584" s="10"/>
      <c r="C1584" s="10"/>
    </row>
    <row r="1585" spans="2:3" x14ac:dyDescent="0.3">
      <c r="B1585" s="10"/>
      <c r="C1585" s="10"/>
    </row>
    <row r="1586" spans="2:3" x14ac:dyDescent="0.3">
      <c r="B1586" s="10"/>
      <c r="C1586" s="10"/>
    </row>
    <row r="1587" spans="2:3" x14ac:dyDescent="0.3">
      <c r="B1587" s="10"/>
      <c r="C1587" s="10"/>
    </row>
    <row r="1588" spans="2:3" x14ac:dyDescent="0.3">
      <c r="B1588" s="10"/>
      <c r="C1588" s="10"/>
    </row>
    <row r="1589" spans="2:3" x14ac:dyDescent="0.3">
      <c r="B1589" s="10"/>
      <c r="C1589" s="10"/>
    </row>
    <row r="1590" spans="2:3" x14ac:dyDescent="0.3">
      <c r="B1590" s="10"/>
      <c r="C1590" s="10"/>
    </row>
    <row r="1591" spans="2:3" x14ac:dyDescent="0.3">
      <c r="B1591" s="10"/>
      <c r="C1591" s="10"/>
    </row>
    <row r="1592" spans="2:3" x14ac:dyDescent="0.3">
      <c r="B1592" s="10"/>
      <c r="C1592" s="10"/>
    </row>
    <row r="1593" spans="2:3" x14ac:dyDescent="0.3">
      <c r="B1593" s="10"/>
      <c r="C1593" s="10"/>
    </row>
    <row r="1594" spans="2:3" x14ac:dyDescent="0.3">
      <c r="B1594" s="10"/>
      <c r="C1594" s="10"/>
    </row>
    <row r="1595" spans="2:3" x14ac:dyDescent="0.3">
      <c r="B1595" s="10"/>
      <c r="C1595" s="10"/>
    </row>
    <row r="1596" spans="2:3" x14ac:dyDescent="0.3">
      <c r="B1596" s="10"/>
      <c r="C1596" s="10"/>
    </row>
    <row r="1597" spans="2:3" x14ac:dyDescent="0.3">
      <c r="B1597" s="10"/>
      <c r="C1597" s="10"/>
    </row>
    <row r="1598" spans="2:3" x14ac:dyDescent="0.3">
      <c r="B1598" s="10"/>
      <c r="C1598" s="10"/>
    </row>
    <row r="1599" spans="2:3" x14ac:dyDescent="0.3">
      <c r="B1599" s="10"/>
      <c r="C1599" s="10"/>
    </row>
    <row r="1600" spans="2:3" x14ac:dyDescent="0.3">
      <c r="B1600" s="10"/>
      <c r="C1600" s="10"/>
    </row>
    <row r="1601" spans="2:3" x14ac:dyDescent="0.3">
      <c r="B1601" s="10"/>
      <c r="C1601" s="10"/>
    </row>
    <row r="1602" spans="2:3" x14ac:dyDescent="0.3">
      <c r="B1602" s="10"/>
      <c r="C1602" s="10"/>
    </row>
    <row r="1603" spans="2:3" x14ac:dyDescent="0.3">
      <c r="B1603" s="10"/>
      <c r="C1603" s="10"/>
    </row>
    <row r="1604" spans="2:3" x14ac:dyDescent="0.3">
      <c r="B1604" s="10"/>
      <c r="C1604" s="10"/>
    </row>
    <row r="1605" spans="2:3" x14ac:dyDescent="0.3">
      <c r="B1605" s="10"/>
      <c r="C1605" s="10"/>
    </row>
    <row r="1606" spans="2:3" x14ac:dyDescent="0.3">
      <c r="B1606" s="10"/>
      <c r="C1606" s="10"/>
    </row>
    <row r="1607" spans="2:3" x14ac:dyDescent="0.3">
      <c r="B1607" s="10"/>
      <c r="C1607" s="10"/>
    </row>
    <row r="1608" spans="2:3" x14ac:dyDescent="0.3">
      <c r="B1608" s="10"/>
      <c r="C1608" s="10"/>
    </row>
    <row r="1609" spans="2:3" x14ac:dyDescent="0.3">
      <c r="B1609" s="10"/>
      <c r="C1609" s="10"/>
    </row>
    <row r="1610" spans="2:3" x14ac:dyDescent="0.3">
      <c r="B1610" s="10"/>
      <c r="C1610" s="10"/>
    </row>
    <row r="1611" spans="2:3" x14ac:dyDescent="0.3">
      <c r="B1611" s="10"/>
      <c r="C1611" s="10"/>
    </row>
    <row r="1612" spans="2:3" x14ac:dyDescent="0.3">
      <c r="B1612" s="10"/>
      <c r="C1612" s="10"/>
    </row>
    <row r="1613" spans="2:3" x14ac:dyDescent="0.3">
      <c r="B1613" s="10"/>
      <c r="C1613" s="10"/>
    </row>
    <row r="1614" spans="2:3" x14ac:dyDescent="0.3">
      <c r="B1614" s="10"/>
      <c r="C1614" s="10"/>
    </row>
    <row r="1615" spans="2:3" x14ac:dyDescent="0.3">
      <c r="B1615" s="10"/>
      <c r="C1615" s="10"/>
    </row>
    <row r="1616" spans="2:3" x14ac:dyDescent="0.3">
      <c r="B1616" s="10"/>
      <c r="C1616" s="10"/>
    </row>
  </sheetData>
  <mergeCells count="109">
    <mergeCell ref="B84:C84"/>
    <mergeCell ref="B159:C159"/>
    <mergeCell ref="B122:C122"/>
    <mergeCell ref="B167:C167"/>
    <mergeCell ref="B168:C168"/>
    <mergeCell ref="B169:C169"/>
    <mergeCell ref="B85:C85"/>
    <mergeCell ref="B86:C86"/>
    <mergeCell ref="B88:C88"/>
    <mergeCell ref="B89:C89"/>
    <mergeCell ref="B90:C90"/>
    <mergeCell ref="B91:C91"/>
    <mergeCell ref="B92:C92"/>
    <mergeCell ref="B93:C93"/>
    <mergeCell ref="B94:C94"/>
    <mergeCell ref="B68:C68"/>
    <mergeCell ref="B69:C69"/>
    <mergeCell ref="B70:C70"/>
    <mergeCell ref="B71:C71"/>
    <mergeCell ref="B72:C72"/>
    <mergeCell ref="F2:H2"/>
    <mergeCell ref="K2:K3"/>
    <mergeCell ref="P2:P3"/>
    <mergeCell ref="A1:P1"/>
    <mergeCell ref="I2:I3"/>
    <mergeCell ref="J2:J3"/>
    <mergeCell ref="L2:L3"/>
    <mergeCell ref="M2:M3"/>
    <mergeCell ref="N2:N3"/>
    <mergeCell ref="O2:O3"/>
    <mergeCell ref="B78:C78"/>
    <mergeCell ref="B79:C79"/>
    <mergeCell ref="B81:C81"/>
    <mergeCell ref="B82:C82"/>
    <mergeCell ref="B83:C83"/>
    <mergeCell ref="B73:C73"/>
    <mergeCell ref="B74:C74"/>
    <mergeCell ref="B75:C75"/>
    <mergeCell ref="B76:C76"/>
    <mergeCell ref="B77:C77"/>
    <mergeCell ref="B100:C100"/>
    <mergeCell ref="B101:C101"/>
    <mergeCell ref="B102:C102"/>
    <mergeCell ref="B103:C103"/>
    <mergeCell ref="B104:C104"/>
    <mergeCell ref="B95:C95"/>
    <mergeCell ref="B96:C96"/>
    <mergeCell ref="B97:C97"/>
    <mergeCell ref="B98:C98"/>
    <mergeCell ref="B99:C99"/>
    <mergeCell ref="B111:C111"/>
    <mergeCell ref="B112:C112"/>
    <mergeCell ref="B113:C113"/>
    <mergeCell ref="B114:C114"/>
    <mergeCell ref="B115:C115"/>
    <mergeCell ref="B105:C105"/>
    <mergeCell ref="B106:C106"/>
    <mergeCell ref="B108:C108"/>
    <mergeCell ref="B109:C109"/>
    <mergeCell ref="B110:C110"/>
    <mergeCell ref="B121:C121"/>
    <mergeCell ref="B123:C123"/>
    <mergeCell ref="B124:C124"/>
    <mergeCell ref="B125:C125"/>
    <mergeCell ref="B126:C126"/>
    <mergeCell ref="B116:C116"/>
    <mergeCell ref="B117:C117"/>
    <mergeCell ref="B118:C118"/>
    <mergeCell ref="B119:C119"/>
    <mergeCell ref="B120:C120"/>
    <mergeCell ref="B132:C132"/>
    <mergeCell ref="B133:C133"/>
    <mergeCell ref="B134:C134"/>
    <mergeCell ref="B135:C135"/>
    <mergeCell ref="B136:C136"/>
    <mergeCell ref="B127:C127"/>
    <mergeCell ref="B128:C128"/>
    <mergeCell ref="B129:C129"/>
    <mergeCell ref="B130:C130"/>
    <mergeCell ref="B131:C131"/>
    <mergeCell ref="B142:C142"/>
    <mergeCell ref="B143:C143"/>
    <mergeCell ref="B144:C144"/>
    <mergeCell ref="B145:C145"/>
    <mergeCell ref="B146:C146"/>
    <mergeCell ref="B137:C137"/>
    <mergeCell ref="B138:C138"/>
    <mergeCell ref="B139:C139"/>
    <mergeCell ref="B140:C140"/>
    <mergeCell ref="B141:C141"/>
    <mergeCell ref="B152:C152"/>
    <mergeCell ref="B153:C153"/>
    <mergeCell ref="B154:C154"/>
    <mergeCell ref="B155:C155"/>
    <mergeCell ref="B156:C156"/>
    <mergeCell ref="B147:C147"/>
    <mergeCell ref="B148:C148"/>
    <mergeCell ref="B149:C149"/>
    <mergeCell ref="B150:C150"/>
    <mergeCell ref="B151:C151"/>
    <mergeCell ref="B163:C163"/>
    <mergeCell ref="B164:C164"/>
    <mergeCell ref="B165:C165"/>
    <mergeCell ref="B166:C166"/>
    <mergeCell ref="B157:C157"/>
    <mergeCell ref="B158:C158"/>
    <mergeCell ref="B160:C160"/>
    <mergeCell ref="B161:C161"/>
    <mergeCell ref="B162:C162"/>
  </mergeCells>
  <dataValidations count="1">
    <dataValidation type="whole" allowBlank="1" showInputMessage="1" showErrorMessage="1" sqref="J49:J52 J59:J63 J12:J14 J44:J47 J41:J42 J36:J39 J30:J34 J27:J28 J22:J25 I6:J10 J54:J55 J16:J20 J65:J66 J57 J151:J152 D108:E162 K91:K106 J68:J79 I142:J142 I163:J163 J106 I12:I79 D81:K86 K6:K79 J92:J104 F108:J115 J133:J134 I116:J132 I133:I141 F91:J91 J136:J141 J143:J146 D88:K90 D91:E106 F92:I106 I149:J150 I143:I148 I158:J158 I151:I157 D164:E169 E163 K108:K169 F116:H169 I159:I162 I164:I169 D6:H79" xr:uid="{00000000-0002-0000-0600-000000000000}">
      <formula1>0</formula1>
      <formula2>50000</formula2>
    </dataValidation>
  </dataValidations>
  <pageMargins left="0.78740157480314965" right="0.23622047244094491" top="0.56999999999999995" bottom="0.23622047244094491" header="0.31496062992125984" footer="0.15748031496062992"/>
  <pageSetup paperSize="9" scale="46" fitToHeight="0" orientation="portrait" r:id="rId1"/>
  <headerFooter differentFirst="1">
    <oddHeader>&amp;C&amp;"Arial,Regular"&amp;12&amp;P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B Vechicle</vt:lpstr>
      <vt:lpstr>C Vehicle</vt:lpstr>
      <vt:lpstr>ARMT</vt:lpstr>
      <vt:lpstr>SA</vt:lpstr>
      <vt:lpstr>INSTS</vt:lpstr>
      <vt:lpstr>ARMT!Print_Area</vt:lpstr>
      <vt:lpstr>'B Vechicle'!Print_Area</vt:lpstr>
      <vt:lpstr>'C Vehicle'!Print_Area</vt:lpstr>
      <vt:lpstr>INSTS!Print_Area</vt:lpstr>
      <vt:lpstr>SA!Print_Area</vt:lpstr>
      <vt:lpstr>'B Vechicle'!Print_Titles</vt:lpstr>
      <vt:lpstr>'C Vehicle'!Print_Titles</vt:lpstr>
      <vt:lpstr>INSTS!Print_Titles</vt:lpstr>
      <vt:lpstr>SA!Print_Titles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2026-03-23T06:43:14Z</dcterms:modified>
</cp:coreProperties>
</file>
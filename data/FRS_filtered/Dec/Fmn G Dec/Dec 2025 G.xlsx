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84D06FC-FCF5-4EDA-8481-4B2E1A64BC49}" xr6:coauthVersionLast="47" xr6:coauthVersionMax="47" xr10:uidLastSave="{00000000-0000-0000-0000-000000000000}"/>
  <bookViews>
    <workbookView xWindow="0" yWindow="84" windowWidth="23040" windowHeight="12156" tabRatio="811" activeTab="1" xr2:uid="{32212EA4-CB97-4EFB-BF0B-A0135F8E7177}"/>
  </bookViews>
  <sheets>
    <sheet name="B Veh" sheetId="14" r:id="rId1"/>
    <sheet name="C Veh" sheetId="11" r:id="rId2"/>
    <sheet name="Armt" sheetId="12" r:id="rId3"/>
    <sheet name="SA" sheetId="13" r:id="rId4"/>
    <sheet name="Inst" sheetId="7" r:id="rId5"/>
  </sheets>
  <definedNames>
    <definedName name="_xlnm._FilterDatabase" localSheetId="0" hidden="1">'B Veh'!#REF!</definedName>
    <definedName name="_xlnm._FilterDatabase" localSheetId="1" hidden="1">'C Veh'!#REF!</definedName>
    <definedName name="_xlnm.Print_Area" localSheetId="2">Armt!$A$1:$T$8</definedName>
    <definedName name="_xlnm.Print_Area" localSheetId="0">'B Veh'!$A$1:$T$17</definedName>
    <definedName name="_xlnm.Print_Area" localSheetId="1">'C Veh'!$A$1:$T$19</definedName>
    <definedName name="_xlnm.Print_Area" localSheetId="4">Inst!$A$1:$P$124</definedName>
    <definedName name="_xlnm.Print_Area" localSheetId="3">SA!$A$1:$Q$13</definedName>
    <definedName name="_xlnm.Print_Titles" localSheetId="0">'B Veh'!$2:$4</definedName>
    <definedName name="_xlnm.Print_Titles" localSheetId="1">'C Veh'!$2:$4</definedName>
  </definedNames>
  <calcPr calcId="191029"/>
</workbook>
</file>

<file path=xl/calcChain.xml><?xml version="1.0" encoding="utf-8"?>
<calcChain xmlns="http://schemas.openxmlformats.org/spreadsheetml/2006/main">
  <c r="Q17" i="14" l="1"/>
  <c r="M17" i="14"/>
  <c r="P17" i="14" s="1"/>
  <c r="Q16" i="14"/>
  <c r="M16" i="14"/>
  <c r="P16" i="14" s="1"/>
  <c r="M15" i="14"/>
  <c r="Q14" i="14"/>
  <c r="M14" i="14"/>
  <c r="P14" i="14" s="1"/>
  <c r="Q13" i="14"/>
  <c r="M13" i="14"/>
  <c r="P13" i="14" s="1"/>
  <c r="Q12" i="14"/>
  <c r="M12" i="14"/>
  <c r="O12" i="14" s="1"/>
  <c r="R12" i="14" s="1"/>
  <c r="Q11" i="14"/>
  <c r="M11" i="14"/>
  <c r="P11" i="14" s="1"/>
  <c r="Q10" i="14"/>
  <c r="M10" i="14"/>
  <c r="O10" i="14" s="1"/>
  <c r="R10" i="14" s="1"/>
  <c r="Q9" i="14"/>
  <c r="P9" i="14"/>
  <c r="O9" i="14"/>
  <c r="R9" i="14" s="1"/>
  <c r="Q8" i="14"/>
  <c r="M8" i="14"/>
  <c r="P8" i="14" s="1"/>
  <c r="Q7" i="14"/>
  <c r="P7" i="14"/>
  <c r="O7" i="14"/>
  <c r="R7" i="14" s="1"/>
  <c r="Q6" i="14"/>
  <c r="P6" i="14"/>
  <c r="O6" i="14"/>
  <c r="R6" i="14" s="1"/>
  <c r="S6" i="14" s="1"/>
  <c r="Q5" i="14"/>
  <c r="P5" i="14"/>
  <c r="M5" i="14"/>
  <c r="O5" i="14" s="1"/>
  <c r="R5" i="14" s="1"/>
  <c r="L13" i="13"/>
  <c r="M6" i="11"/>
  <c r="P6" i="11" s="1"/>
  <c r="Q6" i="11"/>
  <c r="M7" i="11"/>
  <c r="P7" i="11"/>
  <c r="Q7" i="11"/>
  <c r="M9" i="13"/>
  <c r="M118" i="7"/>
  <c r="L118" i="7"/>
  <c r="K118" i="7"/>
  <c r="N118" i="7"/>
  <c r="K112" i="7"/>
  <c r="N112" i="7"/>
  <c r="K106" i="7"/>
  <c r="K105" i="7"/>
  <c r="O12" i="13"/>
  <c r="P12" i="13"/>
  <c r="M13" i="11"/>
  <c r="P13" i="11" s="1"/>
  <c r="Q14" i="11"/>
  <c r="M14" i="11"/>
  <c r="O14" i="11"/>
  <c r="R14" i="11" s="1"/>
  <c r="Q19" i="11"/>
  <c r="M19" i="11"/>
  <c r="O19" i="11" s="1"/>
  <c r="R19" i="11" s="1"/>
  <c r="Q16" i="11"/>
  <c r="M16" i="11"/>
  <c r="O16" i="11"/>
  <c r="R16" i="11" s="1"/>
  <c r="S16" i="11" s="1"/>
  <c r="Q8" i="11"/>
  <c r="M8" i="11"/>
  <c r="O8" i="11"/>
  <c r="R8" i="11" s="1"/>
  <c r="M11" i="11"/>
  <c r="O11" i="11"/>
  <c r="R11" i="11" s="1"/>
  <c r="Q11" i="11"/>
  <c r="M17" i="11"/>
  <c r="P17" i="11" s="1"/>
  <c r="Q17" i="11"/>
  <c r="Q15" i="11"/>
  <c r="M15" i="11"/>
  <c r="O15" i="11" s="1"/>
  <c r="R15" i="11" s="1"/>
  <c r="M11" i="13"/>
  <c r="L9" i="13"/>
  <c r="O9" i="13"/>
  <c r="L10" i="13"/>
  <c r="O10" i="13"/>
  <c r="L11" i="13"/>
  <c r="O11" i="13"/>
  <c r="M8" i="13"/>
  <c r="K74" i="7"/>
  <c r="N74" i="7" s="1"/>
  <c r="O74" i="7" s="1"/>
  <c r="L74" i="7"/>
  <c r="M74" i="7"/>
  <c r="L102" i="7"/>
  <c r="M102" i="7"/>
  <c r="N102" i="7"/>
  <c r="I108" i="7"/>
  <c r="L108" i="7" s="1"/>
  <c r="M108" i="7"/>
  <c r="L109" i="7"/>
  <c r="M109" i="7"/>
  <c r="N109" i="7"/>
  <c r="L111" i="7"/>
  <c r="M111" i="7"/>
  <c r="N111" i="7"/>
  <c r="L112" i="7"/>
  <c r="M112" i="7"/>
  <c r="L8" i="13"/>
  <c r="O8" i="13" s="1"/>
  <c r="P8" i="13" s="1"/>
  <c r="N8" i="13"/>
  <c r="N9" i="13"/>
  <c r="N10" i="13"/>
  <c r="N11" i="13"/>
  <c r="P8" i="12"/>
  <c r="Q8" i="12"/>
  <c r="R8" i="12"/>
  <c r="M5" i="11"/>
  <c r="O5" i="11" s="1"/>
  <c r="R5" i="11" s="1"/>
  <c r="S5" i="11" s="1"/>
  <c r="Q5" i="11"/>
  <c r="M10" i="11"/>
  <c r="P10" i="11" s="1"/>
  <c r="Q10" i="11"/>
  <c r="M12" i="11"/>
  <c r="O12" i="11" s="1"/>
  <c r="R12" i="11" s="1"/>
  <c r="Q12" i="11"/>
  <c r="M18" i="11"/>
  <c r="O18" i="11" s="1"/>
  <c r="R18" i="11" s="1"/>
  <c r="S18" i="11" s="1"/>
  <c r="Q18" i="11"/>
  <c r="M9" i="11"/>
  <c r="O9" i="11" s="1"/>
  <c r="R9" i="11" s="1"/>
  <c r="S9" i="11" s="1"/>
  <c r="Q9" i="11"/>
  <c r="O112" i="7"/>
  <c r="O109" i="7"/>
  <c r="O111" i="7"/>
  <c r="O102" i="7"/>
  <c r="O118" i="7"/>
  <c r="P9" i="13"/>
  <c r="P11" i="13"/>
  <c r="P10" i="13"/>
  <c r="S8" i="12"/>
  <c r="O7" i="11"/>
  <c r="R7" i="11" s="1"/>
  <c r="S7" i="11" s="1"/>
  <c r="P16" i="11"/>
  <c r="P5" i="11"/>
  <c r="P8" i="11"/>
  <c r="P19" i="11"/>
  <c r="P11" i="11"/>
  <c r="P14" i="11"/>
  <c r="K108" i="7"/>
  <c r="N108" i="7"/>
  <c r="O108" i="7" s="1"/>
  <c r="P9" i="11"/>
  <c r="O10" i="11" l="1"/>
  <c r="R10" i="11" s="1"/>
  <c r="S10" i="11" s="1"/>
  <c r="S11" i="11"/>
  <c r="S12" i="11"/>
  <c r="O13" i="11"/>
  <c r="R13" i="11" s="1"/>
  <c r="S13" i="11" s="1"/>
  <c r="O17" i="11"/>
  <c r="R17" i="11" s="1"/>
  <c r="S17" i="11" s="1"/>
  <c r="S8" i="11"/>
  <c r="S14" i="11"/>
  <c r="P18" i="11"/>
  <c r="S15" i="11"/>
  <c r="S5" i="14"/>
  <c r="O8" i="14"/>
  <c r="R8" i="14" s="1"/>
  <c r="S8" i="14" s="1"/>
  <c r="S7" i="14"/>
  <c r="P12" i="14"/>
  <c r="P10" i="14"/>
  <c r="O11" i="14"/>
  <c r="R11" i="14" s="1"/>
  <c r="S11" i="14" s="1"/>
  <c r="O17" i="14"/>
  <c r="R17" i="14" s="1"/>
  <c r="S17" i="14" s="1"/>
  <c r="S9" i="14"/>
  <c r="O14" i="14"/>
  <c r="R14" i="14" s="1"/>
  <c r="S14" i="14" s="1"/>
  <c r="S12" i="14"/>
  <c r="S10" i="14"/>
  <c r="O16" i="14"/>
  <c r="R16" i="14" s="1"/>
  <c r="S16" i="14" s="1"/>
  <c r="O13" i="14"/>
  <c r="R13" i="14" s="1"/>
  <c r="S13" i="14" s="1"/>
  <c r="P15" i="11"/>
  <c r="P12" i="11"/>
  <c r="S19" i="11"/>
  <c r="O6" i="11"/>
  <c r="R6" i="11" s="1"/>
  <c r="S6" i="11" s="1"/>
</calcChain>
</file>

<file path=xl/sharedStrings.xml><?xml version="1.0" encoding="utf-8"?>
<sst xmlns="http://schemas.openxmlformats.org/spreadsheetml/2006/main" count="418" uniqueCount="223">
  <si>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</si>
  <si>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</si>
  <si>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</si>
  <si>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</si>
  <si>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</si>
  <si>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</si>
  <si>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</si>
  <si>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</si>
  <si>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</si>
  <si>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</si>
  <si>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</si>
  <si>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</si>
  <si>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</si>
  <si>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</si>
  <si>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</si>
  <si>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</si>
  <si>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</si>
  <si>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</si>
  <si>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 xml:space="preserve">NMC due to 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</si>
  <si>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</si>
  <si>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</si>
  <si>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</si>
  <si>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</si>
  <si>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</si>
  <si>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</si>
  <si>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</si>
  <si>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Remarks (To incl present loc of eqpt EOA)</t>
  </si>
  <si>
    <t>Auth (UE)</t>
  </si>
  <si>
    <t>Held (UH)</t>
  </si>
  <si>
    <t>Spares</t>
  </si>
  <si>
    <t>OBE</t>
  </si>
  <si>
    <t>(xiv)</t>
  </si>
  <si>
    <t>(xv)</t>
  </si>
  <si>
    <t>TIIOE</t>
  </si>
  <si>
    <t>LORROS</t>
  </si>
  <si>
    <t>LRF LH-30</t>
  </si>
  <si>
    <t>BMP TIM</t>
  </si>
  <si>
    <t>TI ESSA</t>
  </si>
  <si>
    <t>TKN-4S</t>
  </si>
  <si>
    <t>PNS for Snipper Rif</t>
  </si>
  <si>
    <t>PNS 7.62mm Rif/LMG</t>
  </si>
  <si>
    <t>PNS Sight 7.62mm (MAG) 101A</t>
  </si>
  <si>
    <t>PNS Mini N/SEAS</t>
  </si>
  <si>
    <t>PNS for 84mm RL</t>
  </si>
  <si>
    <t>TISAS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</si>
  <si>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</si>
  <si>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</si>
  <si>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</si>
  <si>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</si>
  <si>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</si>
  <si>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</si>
  <si>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</si>
  <si>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</si>
  <si>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</si>
  <si>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</si>
  <si>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</si>
  <si>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</si>
  <si>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</si>
  <si>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</si>
  <si>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Eng/Brl</t>
  </si>
  <si>
    <t xml:space="preserve"> Under OH / MR/R4/FR/ Base Repair</t>
  </si>
  <si>
    <t>IGLA-1M (LM)</t>
  </si>
  <si>
    <t>WE Eqpt</t>
  </si>
  <si>
    <t>Tk T-72 (Gnr Sight)</t>
  </si>
  <si>
    <t>LRF TPDK-I</t>
  </si>
  <si>
    <t>TPN-1-49-23</t>
  </si>
  <si>
    <t>TISAS (U)</t>
  </si>
  <si>
    <t>Tk T-72 (Cdr Sight)</t>
  </si>
  <si>
    <t xml:space="preserve">TKN-3 </t>
  </si>
  <si>
    <t>TNPO-160</t>
  </si>
  <si>
    <t>Episcope</t>
  </si>
  <si>
    <t>Tk T-72 (Dvr Sight)</t>
  </si>
  <si>
    <t>TVNE-4B</t>
  </si>
  <si>
    <t>TVNE-4PA</t>
  </si>
  <si>
    <t>TVNE-4B (M1)</t>
  </si>
  <si>
    <t>TNPA-65</t>
  </si>
  <si>
    <t>TNPO-168B</t>
  </si>
  <si>
    <t>Tk T-90 (Gnr Sight)</t>
  </si>
  <si>
    <t>1G-46</t>
  </si>
  <si>
    <t>PZU-7</t>
  </si>
  <si>
    <t>MRS</t>
  </si>
  <si>
    <t>Tk T-90 (Cdr Sight)</t>
  </si>
  <si>
    <t>TNPO-165</t>
  </si>
  <si>
    <t>Tk T-90 (Dvr Sight)</t>
  </si>
  <si>
    <t>TVNE-5</t>
  </si>
  <si>
    <t>TVNE-4B (M2)</t>
  </si>
  <si>
    <t>TNP-168B</t>
  </si>
  <si>
    <t xml:space="preserve">TNPA-65 </t>
  </si>
  <si>
    <t>ICV BMP-I/II/IIK(Gnr Sight)</t>
  </si>
  <si>
    <t>BPK-2-42</t>
  </si>
  <si>
    <t>IPN-22-M2</t>
  </si>
  <si>
    <t>9SH 119M</t>
  </si>
  <si>
    <t>ICV BMP-I/II/IIK (Cdr Sight)</t>
  </si>
  <si>
    <t>TKN-3B</t>
  </si>
  <si>
    <t>IP-3-3</t>
  </si>
  <si>
    <t>ICV BMP-I/II/IIK (Dvr Sight)</t>
  </si>
  <si>
    <t>TVNE-1PA</t>
  </si>
  <si>
    <t>TVNE-4PA (Retrofitted)</t>
  </si>
  <si>
    <t>TVNO-2</t>
  </si>
  <si>
    <t>TNP-350B</t>
  </si>
  <si>
    <t>MBT ARJUN (Gnr Sight)</t>
  </si>
  <si>
    <t>GAS</t>
  </si>
  <si>
    <t xml:space="preserve">GMS </t>
  </si>
  <si>
    <t>Gnr Utility Window</t>
  </si>
  <si>
    <t>MBT ARJUN (Cdr Sight)</t>
  </si>
  <si>
    <t>Panoramic Sight</t>
  </si>
  <si>
    <t>MBT ARJUN (Dvr Sight)</t>
  </si>
  <si>
    <t>Dvrs Passive Ni Sight</t>
  </si>
  <si>
    <t>Tk T-55(Gnr Sight)</t>
  </si>
  <si>
    <t xml:space="preserve">Hinged Telescope </t>
  </si>
  <si>
    <t>IPN-1-22-M1</t>
  </si>
  <si>
    <t>TK T-55 (Cdr Sight)</t>
  </si>
  <si>
    <t>TKN-1S</t>
  </si>
  <si>
    <t>TPKU-2B</t>
  </si>
  <si>
    <t>Tk T-55 (Dvr Sight)</t>
  </si>
  <si>
    <t>TVN-2</t>
  </si>
  <si>
    <t>Devise Vision</t>
  </si>
  <si>
    <t>SVL / OBSN / SIGHTING EQPTS (THERMAL IMAGING)</t>
  </si>
  <si>
    <t>HHTI (Ex France)</t>
  </si>
  <si>
    <t>HHTI (Elop) / HHTI Ex BEL</t>
  </si>
  <si>
    <t>ARTIMLR</t>
  </si>
  <si>
    <t>MIRA Ni Sight</t>
  </si>
  <si>
    <t>TI Sight for ATGM Lr</t>
  </si>
  <si>
    <t>LASER BASED INSTS</t>
  </si>
  <si>
    <t>Laser Tgt Designator (LTD)</t>
  </si>
  <si>
    <t>LDR 1D-20/22</t>
  </si>
  <si>
    <t>N/CROS</t>
  </si>
  <si>
    <t>Gap Measuring Device (GMD)</t>
  </si>
  <si>
    <t>Angle Measuring Device (AMD)</t>
  </si>
  <si>
    <t>PASSIVE NIGHT VISION DEVICES (PNVD)</t>
  </si>
  <si>
    <t>Googles Night Visison Passive 101A</t>
  </si>
  <si>
    <t>Passive Night Vission Goggle (Ex BEL)</t>
  </si>
  <si>
    <t>Binocular Night Vision Passive OB-44B-01</t>
  </si>
  <si>
    <t>Night Observation Device Passive 102A</t>
  </si>
  <si>
    <t>Passive Night Sight  NK-24 (Bofors)</t>
  </si>
  <si>
    <t>CSWS AN/TVS/5</t>
  </si>
  <si>
    <t>PNVS for 5.56mm INSAS Rif/LMG</t>
  </si>
  <si>
    <t>PNS AK-47</t>
  </si>
  <si>
    <t>PNS 84mm Carl Gustav</t>
  </si>
  <si>
    <t>PNVS for Rocket Lr (Ex BEL)</t>
  </si>
  <si>
    <t xml:space="preserve"> Under OH /R4/FR/  Base Repair</t>
  </si>
  <si>
    <t>Googles Passive Night Visison Passive 102A</t>
  </si>
  <si>
    <t>Binocular</t>
  </si>
  <si>
    <t>Category 
(Make &amp; Type)</t>
  </si>
  <si>
    <t>Optical Eqpt</t>
  </si>
  <si>
    <t>Watches wrist HMT</t>
  </si>
  <si>
    <t>-</t>
  </si>
  <si>
    <t>Part of 3D TCR fleet.</t>
  </si>
  <si>
    <t>EOA/VOR STATE : INSTS</t>
  </si>
  <si>
    <t>EOA/VOR STATE  : SMALL ARMS</t>
  </si>
  <si>
    <t>EOA/VOR STATE : ARMT</t>
  </si>
  <si>
    <t>Held with Akashteer</t>
  </si>
  <si>
    <t>Held with LLLR (Bharani)</t>
  </si>
  <si>
    <t>01 x ACSFP Store</t>
  </si>
  <si>
    <t>Held with MSST</t>
  </si>
  <si>
    <t>ACSFP Store</t>
  </si>
  <si>
    <t>Op Wks Stores</t>
  </si>
  <si>
    <t xml:space="preserve">01 x ACSFP Store </t>
  </si>
  <si>
    <t>Taken Over from 401 Lt AD Regt (Comp)</t>
  </si>
  <si>
    <t>191..3</t>
  </si>
  <si>
    <t>Held with 3D TCR fleet. Electronic Governer of 01 x Genr Set faulty. OEM has been contacted for provn of Spares. OEM has been agreed to provide the spares with lead time of 6-7 months.</t>
  </si>
  <si>
    <t>ACSFP Stores. 06 x Tab  isssued with HHTIs are unsv due to display not working. Eqpt under wty. Hence, case for wty repairs has been takenup with the OEM.</t>
  </si>
  <si>
    <r>
      <rPr>
        <b/>
        <u/>
        <sz val="12"/>
        <rFont val="Arial"/>
        <family val="2"/>
      </rPr>
      <t>Appx 'C'</t>
    </r>
    <r>
      <rPr>
        <sz val="12"/>
        <rFont val="Arial"/>
        <family val="2"/>
      </rPr>
      <t xml:space="preserve">
(Ref 957 Lt AD Regt (Comp) Wksp letter No 70101/FRS/Wksp/12  dt 30 Dec 2025)</t>
    </r>
  </si>
  <si>
    <r>
      <t xml:space="preserve">Appx 'B'
</t>
    </r>
    <r>
      <rPr>
        <sz val="12"/>
        <color indexed="8"/>
        <rFont val="Arial"/>
        <family val="2"/>
      </rPr>
      <t>(Ref 957 Lt AD Regt (Comp) Wksp letter No 70101/FRS/  Wksp/12 dt  30 Dec 2025)</t>
    </r>
  </si>
  <si>
    <t>Half Engine demanded wef 29 Dec 25</t>
  </si>
  <si>
    <t>01x Rotary Pump fwd to 4 CZW for OH wef 20 Dec 25</t>
  </si>
  <si>
    <t>02 x FAT decl Cl-V. Docus under prog</t>
  </si>
  <si>
    <t>01 x Armature burn out. Armature rewinding under LRC.</t>
  </si>
  <si>
    <t xml:space="preserve">Gun Regd No C-4181 &amp; C-4208 fwd for BOH wef 29 Dec 2025. </t>
  </si>
  <si>
    <t>01 x Rif  Regd No 17030503 unsv due to SA Fg accident. Conditioning completed. Awaiting for Disposal Order.</t>
  </si>
  <si>
    <r>
      <t>Appx 'D'</t>
    </r>
    <r>
      <rPr>
        <sz val="12"/>
        <rFont val="Arial"/>
        <family val="2"/>
      </rPr>
      <t xml:space="preserve">                                                               
(Ref 957 Lt AD Regt (Comp) Wksp letter No 70101/FRS/Wksp/12 dt 30 Dec 2025)</t>
    </r>
  </si>
  <si>
    <t>B71</t>
  </si>
  <si>
    <t>B69</t>
  </si>
  <si>
    <t>B1</t>
  </si>
  <si>
    <t>B79</t>
  </si>
  <si>
    <t>B74</t>
  </si>
  <si>
    <t>B2</t>
  </si>
  <si>
    <t>B3</t>
  </si>
  <si>
    <t>B46</t>
  </si>
  <si>
    <t>B84</t>
  </si>
  <si>
    <t>B67</t>
  </si>
  <si>
    <t>B68</t>
  </si>
  <si>
    <t>B60</t>
  </si>
  <si>
    <t>B34</t>
  </si>
  <si>
    <t>C20</t>
  </si>
  <si>
    <t>C81</t>
  </si>
  <si>
    <t>C123</t>
  </si>
  <si>
    <t>C70</t>
  </si>
  <si>
    <t>C128</t>
  </si>
  <si>
    <t>C88</t>
  </si>
  <si>
    <t>C98</t>
  </si>
  <si>
    <t>C72</t>
  </si>
  <si>
    <t>C125</t>
  </si>
  <si>
    <t>C136</t>
  </si>
  <si>
    <t>C182</t>
  </si>
  <si>
    <t>C108</t>
  </si>
  <si>
    <t>C63</t>
  </si>
  <si>
    <t>C102</t>
  </si>
  <si>
    <t>C80</t>
  </si>
  <si>
    <t>D1</t>
  </si>
  <si>
    <t>S1</t>
  </si>
  <si>
    <t>S22</t>
  </si>
  <si>
    <t>S24</t>
  </si>
  <si>
    <t>S26</t>
  </si>
  <si>
    <t>S27</t>
  </si>
  <si>
    <t>S67</t>
  </si>
  <si>
    <t>T25</t>
  </si>
  <si>
    <t>T18</t>
  </si>
  <si>
    <t>T30</t>
  </si>
  <si>
    <t>T36</t>
  </si>
  <si>
    <t>T37</t>
  </si>
  <si>
    <t>T65</t>
  </si>
  <si>
    <t>T144</t>
  </si>
  <si>
    <t>T121</t>
  </si>
  <si>
    <t>T106</t>
  </si>
  <si>
    <t>T157</t>
  </si>
  <si>
    <t>T156</t>
  </si>
  <si>
    <t>T158</t>
  </si>
  <si>
    <t>T159</t>
  </si>
  <si>
    <t>T160</t>
  </si>
  <si>
    <t>T161</t>
  </si>
  <si>
    <t>EOA/VOR STATE  :  'B' VEHS</t>
  </si>
  <si>
    <t>EOA/VOR STATE  : 'C' VEHS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</si>
</sst>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indexed="8"/>
      <name val="Arial"/>
      <family val="2"/>
    </font>
    <font>
      <b/>
      <u/>
      <sz val="14"/>
      <name val="Arial"/>
      <family val="2"/>
    </font>
    <font>
      <sz val="14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2"/>
      <color rgb="FF00B050"/>
      <name val="Arial"/>
      <family val="2"/>
    </font>
    <font>
      <sz val="11"/>
      <color rgb="FF00B05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2" fillId="0" borderId="0" applyFont="0" applyFill="0" applyBorder="0" applyAlignment="0" applyProtection="0"/>
  </cellStyleXfs>
  <cellXfs count="17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shrinkToFit="1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0" fontId="1" fillId="2" borderId="1" xfId="3" applyNumberFormat="1" applyFont="1" applyFill="1" applyBorder="1" applyAlignment="1" applyProtection="1">
      <alignment horizontal="center" vertical="top"/>
    </xf>
    <xf numFmtId="0" fontId="15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justify" vertical="top"/>
    </xf>
    <xf numFmtId="0" fontId="14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4" fillId="3" borderId="2" xfId="0" applyFont="1" applyFill="1" applyBorder="1" applyAlignment="1">
      <alignment horizontal="center" vertical="top"/>
    </xf>
    <xf numFmtId="0" fontId="14" fillId="3" borderId="2" xfId="0" applyFont="1" applyFill="1" applyBorder="1" applyAlignment="1" applyProtection="1">
      <alignment horizontal="center" vertical="top"/>
      <protection locked="0"/>
    </xf>
    <xf numFmtId="0" fontId="14" fillId="3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 applyProtection="1">
      <alignment horizontal="center" vertical="top"/>
      <protection locked="0"/>
    </xf>
    <xf numFmtId="0" fontId="15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justify" vertical="top" wrapText="1"/>
    </xf>
    <xf numFmtId="0" fontId="15" fillId="2" borderId="1" xfId="0" applyFont="1" applyFill="1" applyBorder="1" applyAlignment="1">
      <alignment horizontal="center" vertical="top"/>
    </xf>
    <xf numFmtId="0" fontId="1" fillId="2" borderId="1" xfId="2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justify" vertical="top"/>
    </xf>
    <xf numFmtId="0" fontId="2" fillId="2" borderId="1" xfId="0" applyFont="1" applyFill="1" applyBorder="1" applyAlignment="1">
      <alignment horizontal="center" vertical="top"/>
    </xf>
    <xf numFmtId="10" fontId="2" fillId="2" borderId="1" xfId="3" applyNumberFormat="1" applyFont="1" applyFill="1" applyBorder="1" applyAlignment="1" applyProtection="1">
      <alignment horizontal="center" vertical="top"/>
    </xf>
    <xf numFmtId="1" fontId="2" fillId="2" borderId="1" xfId="0" applyNumberFormat="1" applyFont="1" applyFill="1" applyBorder="1" applyAlignment="1">
      <alignment horizontal="center" vertical="top" wrapText="1"/>
    </xf>
    <xf numFmtId="1" fontId="16" fillId="3" borderId="2" xfId="0" applyNumberFormat="1" applyFont="1" applyFill="1" applyBorder="1" applyAlignment="1">
      <alignment horizontal="center" vertical="top" wrapText="1"/>
    </xf>
    <xf numFmtId="10" fontId="14" fillId="3" borderId="2" xfId="3" applyNumberFormat="1" applyFont="1" applyFill="1" applyBorder="1" applyAlignment="1">
      <alignment horizontal="center" vertical="top"/>
    </xf>
    <xf numFmtId="0" fontId="17" fillId="3" borderId="2" xfId="0" applyFont="1" applyFill="1" applyBorder="1" applyAlignment="1" applyProtection="1">
      <alignment horizontal="left" vertical="top"/>
      <protection locked="0"/>
    </xf>
    <xf numFmtId="0" fontId="15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center" vertical="top"/>
    </xf>
    <xf numFmtId="1" fontId="14" fillId="2" borderId="0" xfId="0" applyNumberFormat="1" applyFont="1" applyFill="1" applyAlignment="1">
      <alignment horizontal="center" vertical="top" wrapText="1"/>
    </xf>
    <xf numFmtId="10" fontId="14" fillId="2" borderId="0" xfId="3" applyNumberFormat="1" applyFont="1" applyFill="1" applyBorder="1" applyAlignment="1" applyProtection="1">
      <alignment horizontal="center" vertical="top"/>
    </xf>
    <xf numFmtId="0" fontId="18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justify" vertical="top" wrapText="1"/>
    </xf>
    <xf numFmtId="0" fontId="15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top"/>
    </xf>
    <xf numFmtId="0" fontId="20" fillId="3" borderId="0" xfId="0" applyFont="1" applyFill="1" applyAlignment="1">
      <alignment vertical="top"/>
    </xf>
    <xf numFmtId="0" fontId="21" fillId="3" borderId="0" xfId="0" applyFont="1" applyFill="1" applyAlignment="1">
      <alignment horizontal="left" vertical="top"/>
    </xf>
    <xf numFmtId="0" fontId="3" fillId="2" borderId="1" xfId="0" applyFont="1" applyFill="1" applyBorder="1" applyAlignment="1">
      <alignment horizontal="center" vertical="top" textRotation="255"/>
    </xf>
    <xf numFmtId="1" fontId="2" fillId="2" borderId="1" xfId="0" applyNumberFormat="1" applyFont="1" applyFill="1" applyBorder="1" applyAlignment="1">
      <alignment horizontal="left" vertical="top" wrapText="1"/>
    </xf>
    <xf numFmtId="10" fontId="2" fillId="2" borderId="1" xfId="3" applyNumberFormat="1" applyFont="1" applyFill="1" applyBorder="1" applyAlignment="1" applyProtection="1">
      <alignment horizontal="left"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 applyProtection="1">
      <alignment horizontal="center" vertical="top"/>
      <protection locked="0"/>
    </xf>
    <xf numFmtId="1" fontId="10" fillId="3" borderId="1" xfId="0" applyNumberFormat="1" applyFont="1" applyFill="1" applyBorder="1" applyAlignment="1">
      <alignment horizontal="center" vertical="top" wrapText="1"/>
    </xf>
    <xf numFmtId="10" fontId="2" fillId="3" borderId="1" xfId="3" applyNumberFormat="1" applyFont="1" applyFill="1" applyBorder="1" applyAlignment="1">
      <alignment horizontal="center" vertical="top"/>
    </xf>
    <xf numFmtId="0" fontId="2" fillId="3" borderId="1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 applyProtection="1">
      <alignment horizontal="center" vertical="top"/>
      <protection locked="0"/>
    </xf>
    <xf numFmtId="10" fontId="1" fillId="0" borderId="1" xfId="3" applyNumberFormat="1" applyFont="1" applyFill="1" applyBorder="1" applyAlignment="1" applyProtection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justify" vertical="top" wrapText="1"/>
    </xf>
    <xf numFmtId="0" fontId="6" fillId="2" borderId="1" xfId="0" applyFont="1" applyFill="1" applyBorder="1" applyAlignment="1" applyProtection="1">
      <alignment horizontal="justify" vertical="top" wrapText="1"/>
      <protection locked="0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13" fillId="2" borderId="1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left" vertical="top"/>
    </xf>
    <xf numFmtId="0" fontId="15" fillId="2" borderId="1" xfId="0" applyFont="1" applyFill="1" applyBorder="1" applyAlignment="1">
      <alignment vertical="top" wrapText="1"/>
    </xf>
    <xf numFmtId="0" fontId="15" fillId="2" borderId="1" xfId="0" applyFont="1" applyFill="1" applyBorder="1" applyAlignment="1" applyProtection="1">
      <alignment horizontal="center" vertical="top"/>
      <protection locked="0"/>
    </xf>
    <xf numFmtId="10" fontId="15" fillId="2" borderId="1" xfId="3" applyNumberFormat="1" applyFont="1" applyFill="1" applyBorder="1" applyAlignment="1" applyProtection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justify" vertical="top" wrapText="1"/>
    </xf>
    <xf numFmtId="0" fontId="1" fillId="0" borderId="1" xfId="0" applyFont="1" applyBorder="1" applyAlignment="1" applyProtection="1">
      <alignment horizontal="justify" vertical="top" wrapText="1"/>
      <protection locked="0"/>
    </xf>
    <xf numFmtId="0" fontId="13" fillId="2" borderId="1" xfId="0" applyFont="1" applyFill="1" applyBorder="1" applyAlignment="1" applyProtection="1">
      <alignment horizontal="justify" vertical="top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/>
    </xf>
    <xf numFmtId="0" fontId="22" fillId="2" borderId="1" xfId="0" applyFont="1" applyFill="1" applyBorder="1" applyAlignment="1" applyProtection="1">
      <alignment horizontal="justify" vertical="top" wrapText="1"/>
      <protection locked="0"/>
    </xf>
    <xf numFmtId="0" fontId="6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1" fontId="14" fillId="2" borderId="1" xfId="0" applyNumberFormat="1" applyFont="1" applyFill="1" applyBorder="1" applyAlignment="1">
      <alignment horizontal="center" vertical="center" wrapText="1"/>
    </xf>
    <xf numFmtId="10" fontId="14" fillId="2" borderId="1" xfId="3" applyNumberFormat="1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 applyProtection="1">
      <alignment horizontal="justify" vertical="center"/>
      <protection locked="0"/>
    </xf>
    <xf numFmtId="0" fontId="1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 applyProtection="1">
      <alignment horizontal="justify" vertical="center"/>
      <protection locked="0"/>
    </xf>
    <xf numFmtId="0" fontId="15" fillId="2" borderId="4" xfId="0" applyFont="1" applyFill="1" applyBorder="1" applyAlignment="1">
      <alignment vertical="top"/>
    </xf>
    <xf numFmtId="0" fontId="15" fillId="2" borderId="5" xfId="0" applyFont="1" applyFill="1" applyBorder="1" applyAlignment="1">
      <alignment vertical="top"/>
    </xf>
    <xf numFmtId="1" fontId="15" fillId="2" borderId="1" xfId="0" applyNumberFormat="1" applyFont="1" applyFill="1" applyBorder="1" applyAlignment="1">
      <alignment horizontal="center" vertical="top" wrapText="1"/>
    </xf>
    <xf numFmtId="0" fontId="15" fillId="2" borderId="2" xfId="0" applyFont="1" applyFill="1" applyBorder="1" applyAlignment="1">
      <alignment horizontal="center" vertical="top"/>
    </xf>
    <xf numFmtId="0" fontId="17" fillId="2" borderId="3" xfId="0" applyFont="1" applyFill="1" applyBorder="1" applyAlignment="1" applyProtection="1">
      <alignment horizontal="center" vertical="center" wrapText="1"/>
      <protection locked="0"/>
    </xf>
    <xf numFmtId="0" fontId="22" fillId="2" borderId="1" xfId="0" applyFont="1" applyFill="1" applyBorder="1" applyAlignment="1">
      <alignment horizontal="justify" vertical="top" wrapText="1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 applyProtection="1">
      <alignment horizontal="justify" vertical="top"/>
      <protection locked="0"/>
    </xf>
    <xf numFmtId="0" fontId="13" fillId="0" borderId="1" xfId="0" applyFont="1" applyBorder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" fontId="2" fillId="0" borderId="1" xfId="0" applyNumberFormat="1" applyFont="1" applyBorder="1" applyAlignment="1">
      <alignment horizontal="center" vertical="top" wrapText="1"/>
    </xf>
    <xf numFmtId="10" fontId="2" fillId="0" borderId="1" xfId="3" applyNumberFormat="1" applyFont="1" applyFill="1" applyBorder="1" applyAlignment="1" applyProtection="1">
      <alignment horizontal="center" vertical="top"/>
    </xf>
    <xf numFmtId="0" fontId="2" fillId="0" borderId="1" xfId="0" applyFont="1" applyBorder="1" applyAlignment="1" applyProtection="1">
      <alignment horizontal="left" vertical="top"/>
      <protection locked="0"/>
    </xf>
    <xf numFmtId="1" fontId="10" fillId="0" borderId="1" xfId="0" applyNumberFormat="1" applyFont="1" applyBorder="1" applyAlignment="1">
      <alignment horizontal="center" vertical="top" wrapText="1"/>
    </xf>
    <xf numFmtId="10" fontId="2" fillId="0" borderId="1" xfId="3" applyNumberFormat="1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1" fontId="14" fillId="2" borderId="1" xfId="0" applyNumberFormat="1" applyFont="1" applyFill="1" applyBorder="1" applyAlignment="1">
      <alignment horizontal="center" vertical="top" wrapText="1"/>
    </xf>
    <xf numFmtId="10" fontId="14" fillId="2" borderId="1" xfId="3" applyNumberFormat="1" applyFont="1" applyFill="1" applyBorder="1" applyAlignment="1" applyProtection="1">
      <alignment horizontal="center" vertical="top"/>
    </xf>
    <xf numFmtId="0" fontId="23" fillId="2" borderId="1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 applyProtection="1">
      <alignment horizontal="center" vertical="top"/>
      <protection locked="0"/>
    </xf>
    <xf numFmtId="10" fontId="15" fillId="0" borderId="1" xfId="3" applyNumberFormat="1" applyFont="1" applyFill="1" applyBorder="1" applyAlignment="1" applyProtection="1">
      <alignment horizontal="center" vertical="top"/>
    </xf>
    <xf numFmtId="0" fontId="15" fillId="0" borderId="1" xfId="0" applyFont="1" applyBorder="1" applyAlignment="1">
      <alignment horizontal="justify" vertical="top" wrapText="1"/>
    </xf>
    <xf numFmtId="0" fontId="21" fillId="2" borderId="1" xfId="0" applyFont="1" applyFill="1" applyBorder="1" applyAlignment="1">
      <alignment horizontal="left" vertical="top" wrapText="1"/>
    </xf>
    <xf numFmtId="0" fontId="21" fillId="2" borderId="1" xfId="0" applyFont="1" applyFill="1" applyBorder="1" applyAlignment="1" applyProtection="1">
      <alignment horizontal="justify" vertical="top" wrapText="1"/>
      <protection locked="0"/>
    </xf>
    <xf numFmtId="0" fontId="17" fillId="2" borderId="3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1" fillId="2" borderId="2" xfId="0" applyFont="1" applyFill="1" applyBorder="1" applyAlignment="1" applyProtection="1">
      <alignment vertical="top"/>
      <protection locked="0"/>
    </xf>
    <xf numFmtId="0" fontId="0" fillId="2" borderId="5" xfId="0" applyFill="1" applyBorder="1" applyAlignment="1">
      <alignment vertical="top"/>
    </xf>
    <xf numFmtId="0" fontId="7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0" fontId="2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justify" vertical="top" wrapText="1"/>
    </xf>
    <xf numFmtId="0" fontId="1" fillId="2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10" fontId="2" fillId="2" borderId="1" xfId="3" applyNumberFormat="1" applyFont="1" applyFill="1" applyBorder="1" applyAlignment="1" applyProtection="1">
      <alignment horizontal="center" vertical="top"/>
    </xf>
    <xf numFmtId="0" fontId="7" fillId="2" borderId="1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6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horizontal="justify" vertical="top" wrapText="1"/>
    </xf>
  </cellXfs>
  <cellStyles count="4">
    <cellStyle name="Normal" xfId="0" builtinId="0"/>
    <cellStyle name="Normal 2" xfId="1" xr:uid="{7575244D-8D1F-418A-8009-009F91B436A0}"/>
    <cellStyle name="Normal 4" xfId="2" xr:uid="{E0413364-7EE9-4A9B-94AB-234F9B6D6B6B}"/>
    <cellStyle name="Percent" xfId="3" builtinId="5"/>
  </cellStyles>
  <dxfs count="10"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722E-13BF-436B-9700-850B17CFB5EC}">
  <dimension ref="A1:T17"/>
  <sheetViews>
    <sheetView view="pageBreakPreview" zoomScale="70" zoomScaleNormal="70" zoomScaleSheetLayoutView="70" workbookViewId="0">
      <pane xSplit="1" ySplit="4" topLeftCell="B5" activePane="bottomRight" state="frozen"/>
      <selection pane="topRight" activeCell="K1" sqref="K1"/>
      <selection pane="bottomLeft" activeCell="A7" sqref="A7"/>
      <selection pane="bottomRight" activeCell="A18" sqref="A18:XFD18"/>
    </sheetView>
  </sheetViews>
  <sheetFormatPr defaultColWidth="9.109375" defaultRowHeight="13.8" x14ac:dyDescent="0.3"/>
  <cols>
    <col min="1" max="1" width="10.109375" style="6" customWidth="1"/>
    <col min="2" max="2" width="38" style="10" customWidth="1"/>
    <col min="3" max="3" width="8.109375" style="6" customWidth="1"/>
    <col min="4" max="4" width="11.44140625" style="6" bestFit="1" customWidth="1"/>
    <col min="5" max="6" width="7.5546875" style="6" customWidth="1"/>
    <col min="7" max="7" width="9.33203125" style="6" bestFit="1" customWidth="1"/>
    <col min="8" max="8" width="7.6640625" style="6" customWidth="1"/>
    <col min="9" max="9" width="7.33203125" style="6" customWidth="1"/>
    <col min="10" max="10" width="6.44140625" style="6" customWidth="1"/>
    <col min="11" max="11" width="6.5546875" style="6" customWidth="1"/>
    <col min="12" max="12" width="7.44140625" style="6" customWidth="1"/>
    <col min="13" max="13" width="8.88671875" style="6" customWidth="1"/>
    <col min="14" max="14" width="9.33203125" style="6" bestFit="1" customWidth="1"/>
    <col min="15" max="15" width="7.5546875" style="6" customWidth="1"/>
    <col min="16" max="16" width="10.88671875" style="10" customWidth="1"/>
    <col min="17" max="18" width="12" style="10" customWidth="1"/>
    <col min="19" max="19" width="10.88671875" style="10" customWidth="1"/>
    <col min="20" max="20" width="44.109375" style="11" customWidth="1"/>
    <col min="21" max="16384" width="9.109375" style="10"/>
  </cols>
  <sheetData>
    <row r="1" spans="1:20" s="9" customFormat="1" ht="21" customHeight="1" x14ac:dyDescent="0.3">
      <c r="A1" s="143" t="s">
        <v>221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0" s="5" customFormat="1" ht="15.6" x14ac:dyDescent="0.3">
      <c r="A2" s="144" t="s">
        <v>0</v>
      </c>
      <c r="B2" s="145" t="s">
        <v>143</v>
      </c>
      <c r="C2" s="144" t="s">
        <v>17</v>
      </c>
      <c r="D2" s="144"/>
      <c r="E2" s="144" t="s">
        <v>45</v>
      </c>
      <c r="F2" s="144"/>
      <c r="G2" s="144"/>
      <c r="H2" s="144"/>
      <c r="I2" s="144"/>
      <c r="J2" s="144"/>
      <c r="K2" s="144"/>
      <c r="L2" s="144"/>
      <c r="M2" s="145" t="s">
        <v>19</v>
      </c>
      <c r="N2" s="145" t="s">
        <v>46</v>
      </c>
      <c r="O2" s="146" t="s">
        <v>47</v>
      </c>
      <c r="P2" s="145" t="s">
        <v>22</v>
      </c>
      <c r="Q2" s="145" t="s">
        <v>23</v>
      </c>
      <c r="R2" s="145" t="s">
        <v>24</v>
      </c>
      <c r="S2" s="145" t="s">
        <v>25</v>
      </c>
      <c r="T2" s="145" t="s">
        <v>48</v>
      </c>
    </row>
    <row r="3" spans="1:20" s="5" customFormat="1" ht="31.2" x14ac:dyDescent="0.3">
      <c r="A3" s="144"/>
      <c r="B3" s="145"/>
      <c r="C3" s="72" t="s">
        <v>27</v>
      </c>
      <c r="D3" s="87" t="s">
        <v>28</v>
      </c>
      <c r="E3" s="71" t="s">
        <v>15</v>
      </c>
      <c r="F3" s="71" t="s">
        <v>49</v>
      </c>
      <c r="G3" s="71" t="s">
        <v>29</v>
      </c>
      <c r="H3" s="71" t="s">
        <v>50</v>
      </c>
      <c r="I3" s="71" t="s">
        <v>51</v>
      </c>
      <c r="J3" s="71" t="s">
        <v>52</v>
      </c>
      <c r="K3" s="71" t="s">
        <v>53</v>
      </c>
      <c r="L3" s="71" t="s">
        <v>30</v>
      </c>
      <c r="M3" s="145"/>
      <c r="N3" s="145"/>
      <c r="O3" s="146"/>
      <c r="P3" s="145"/>
      <c r="Q3" s="145"/>
      <c r="R3" s="145"/>
      <c r="S3" s="145"/>
      <c r="T3" s="145"/>
    </row>
    <row r="4" spans="1:20" s="5" customFormat="1" ht="19.5" customHeight="1" x14ac:dyDescent="0.3">
      <c r="A4" s="71" t="s">
        <v>1</v>
      </c>
      <c r="B4" s="72" t="s">
        <v>2</v>
      </c>
      <c r="C4" s="71" t="s">
        <v>3</v>
      </c>
      <c r="D4" s="71" t="s">
        <v>4</v>
      </c>
      <c r="E4" s="71" t="s">
        <v>5</v>
      </c>
      <c r="F4" s="71" t="s">
        <v>6</v>
      </c>
      <c r="G4" s="71" t="s">
        <v>7</v>
      </c>
      <c r="H4" s="71" t="s">
        <v>8</v>
      </c>
      <c r="I4" s="71" t="s">
        <v>9</v>
      </c>
      <c r="J4" s="71" t="s">
        <v>10</v>
      </c>
      <c r="K4" s="71" t="s">
        <v>11</v>
      </c>
      <c r="L4" s="71" t="s">
        <v>12</v>
      </c>
      <c r="M4" s="71" t="s">
        <v>13</v>
      </c>
      <c r="N4" s="71" t="s">
        <v>31</v>
      </c>
      <c r="O4" s="71" t="s">
        <v>32</v>
      </c>
      <c r="P4" s="71" t="s">
        <v>54</v>
      </c>
      <c r="Q4" s="71" t="s">
        <v>55</v>
      </c>
      <c r="R4" s="71" t="s">
        <v>56</v>
      </c>
      <c r="S4" s="71" t="s">
        <v>57</v>
      </c>
      <c r="T4" s="92" t="s">
        <v>58</v>
      </c>
    </row>
    <row r="5" spans="1:20" s="83" customFormat="1" ht="23.25" customHeight="1" x14ac:dyDescent="0.3">
      <c r="A5" s="82">
        <v>1</v>
      </c>
      <c r="B5" s="84" t="s">
        <v>173</v>
      </c>
      <c r="C5" s="112">
        <v>19</v>
      </c>
      <c r="D5" s="30">
        <v>13</v>
      </c>
      <c r="E5" s="30">
        <v>1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f>E5+F5+G5+H5+I5+J5+K5+L5</f>
        <v>1</v>
      </c>
      <c r="N5" s="30">
        <v>0</v>
      </c>
      <c r="O5" s="25">
        <f t="shared" ref="O5:O14" si="0">D5-M5</f>
        <v>12</v>
      </c>
      <c r="P5" s="86">
        <f t="shared" ref="P5:P14" si="1">IF(D5=0,"-",(M5/D5))</f>
        <v>7.6923076923076927E-2</v>
      </c>
      <c r="Q5" s="86">
        <f t="shared" ref="Q5:Q14" si="2">IF(D5=0,"-",(N5/D5))</f>
        <v>0</v>
      </c>
      <c r="R5" s="86">
        <f t="shared" ref="R5:R14" si="3">IF(D5=0,"-",(O5/D5))</f>
        <v>0.92307692307692313</v>
      </c>
      <c r="S5" s="86">
        <f t="shared" ref="S5:S14" si="4">IF(D5=0,"-",(Q5+R5))</f>
        <v>0.92307692307692313</v>
      </c>
      <c r="T5" s="114" t="s">
        <v>164</v>
      </c>
    </row>
    <row r="6" spans="1:20" s="27" customFormat="1" ht="32.25" customHeight="1" x14ac:dyDescent="0.3">
      <c r="A6" s="7">
        <v>2</v>
      </c>
      <c r="B6" s="24" t="s">
        <v>176</v>
      </c>
      <c r="C6" s="25">
        <v>53</v>
      </c>
      <c r="D6" s="25">
        <v>45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98">
        <v>1</v>
      </c>
      <c r="N6" s="25">
        <v>0</v>
      </c>
      <c r="O6" s="25">
        <f t="shared" si="0"/>
        <v>44</v>
      </c>
      <c r="P6" s="8">
        <f t="shared" si="1"/>
        <v>2.2222222222222223E-2</v>
      </c>
      <c r="Q6" s="8">
        <f t="shared" si="2"/>
        <v>0</v>
      </c>
      <c r="R6" s="8">
        <f t="shared" si="3"/>
        <v>0.97777777777777775</v>
      </c>
      <c r="S6" s="8">
        <f t="shared" si="4"/>
        <v>0.97777777777777775</v>
      </c>
      <c r="T6" s="97" t="s">
        <v>165</v>
      </c>
    </row>
    <row r="7" spans="1:20" s="27" customFormat="1" ht="22.5" customHeight="1" x14ac:dyDescent="0.3">
      <c r="A7" s="7">
        <v>3</v>
      </c>
      <c r="B7" s="24" t="s">
        <v>177</v>
      </c>
      <c r="C7" s="7">
        <v>35</v>
      </c>
      <c r="D7" s="7">
        <v>30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25">
        <f t="shared" si="0"/>
        <v>30</v>
      </c>
      <c r="P7" s="8">
        <f t="shared" si="1"/>
        <v>0</v>
      </c>
      <c r="Q7" s="8">
        <f t="shared" si="2"/>
        <v>0</v>
      </c>
      <c r="R7" s="8">
        <f t="shared" si="3"/>
        <v>1</v>
      </c>
      <c r="S7" s="8">
        <f t="shared" si="4"/>
        <v>1</v>
      </c>
      <c r="T7" s="97"/>
    </row>
    <row r="8" spans="1:20" s="27" customFormat="1" ht="18.75" customHeight="1" x14ac:dyDescent="0.3">
      <c r="A8" s="82">
        <v>4</v>
      </c>
      <c r="B8" s="24" t="s">
        <v>183</v>
      </c>
      <c r="C8" s="7">
        <v>0</v>
      </c>
      <c r="D8" s="7">
        <v>3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82">
        <f>E8+F8+G8+H8+I8+J8+K8+L8</f>
        <v>0</v>
      </c>
      <c r="N8" s="7">
        <v>0</v>
      </c>
      <c r="O8" s="25">
        <f t="shared" si="0"/>
        <v>3</v>
      </c>
      <c r="P8" s="8">
        <f t="shared" si="1"/>
        <v>0</v>
      </c>
      <c r="Q8" s="8">
        <f t="shared" si="2"/>
        <v>0</v>
      </c>
      <c r="R8" s="8">
        <f t="shared" si="3"/>
        <v>1</v>
      </c>
      <c r="S8" s="8">
        <f t="shared" si="4"/>
        <v>1</v>
      </c>
      <c r="T8" s="29" t="s">
        <v>147</v>
      </c>
    </row>
    <row r="9" spans="1:20" s="56" customFormat="1" ht="15.6" x14ac:dyDescent="0.3">
      <c r="A9" s="7">
        <v>5</v>
      </c>
      <c r="B9" s="24" t="s">
        <v>178</v>
      </c>
      <c r="C9" s="25">
        <v>32</v>
      </c>
      <c r="D9" s="25">
        <v>29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82">
        <v>0</v>
      </c>
      <c r="N9" s="25">
        <v>0</v>
      </c>
      <c r="O9" s="25">
        <f t="shared" si="0"/>
        <v>29</v>
      </c>
      <c r="P9" s="8">
        <f t="shared" si="1"/>
        <v>0</v>
      </c>
      <c r="Q9" s="8">
        <f t="shared" si="2"/>
        <v>0</v>
      </c>
      <c r="R9" s="8">
        <f t="shared" si="3"/>
        <v>1</v>
      </c>
      <c r="S9" s="8">
        <f t="shared" si="4"/>
        <v>1</v>
      </c>
      <c r="T9" s="97" t="s">
        <v>166</v>
      </c>
    </row>
    <row r="10" spans="1:20" s="27" customFormat="1" ht="18.75" customHeight="1" x14ac:dyDescent="0.3">
      <c r="A10" s="7">
        <v>6</v>
      </c>
      <c r="B10" s="24" t="s">
        <v>182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82">
        <f t="shared" ref="M10:M17" si="5">E10+F10+G10+H10+I10+J10+K10+L10</f>
        <v>0</v>
      </c>
      <c r="N10" s="7">
        <v>0</v>
      </c>
      <c r="O10" s="25">
        <f t="shared" si="0"/>
        <v>2</v>
      </c>
      <c r="P10" s="8">
        <f t="shared" si="1"/>
        <v>0</v>
      </c>
      <c r="Q10" s="8">
        <f t="shared" si="2"/>
        <v>0</v>
      </c>
      <c r="R10" s="8">
        <f t="shared" si="3"/>
        <v>1</v>
      </c>
      <c r="S10" s="8">
        <f t="shared" si="4"/>
        <v>1</v>
      </c>
      <c r="T10" s="29" t="s">
        <v>157</v>
      </c>
    </row>
    <row r="11" spans="1:20" s="69" customFormat="1" ht="15.6" x14ac:dyDescent="0.3">
      <c r="A11" s="82">
        <v>7</v>
      </c>
      <c r="B11" s="90" t="s">
        <v>180</v>
      </c>
      <c r="C11" s="25" t="s">
        <v>146</v>
      </c>
      <c r="D11" s="25">
        <v>7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82">
        <f t="shared" si="5"/>
        <v>0</v>
      </c>
      <c r="N11" s="25">
        <v>0</v>
      </c>
      <c r="O11" s="25">
        <f t="shared" si="0"/>
        <v>7</v>
      </c>
      <c r="P11" s="8">
        <f t="shared" si="1"/>
        <v>0</v>
      </c>
      <c r="Q11" s="8">
        <f t="shared" si="2"/>
        <v>0</v>
      </c>
      <c r="R11" s="8">
        <f t="shared" si="3"/>
        <v>1</v>
      </c>
      <c r="S11" s="8">
        <f t="shared" si="4"/>
        <v>1</v>
      </c>
      <c r="T11" s="81"/>
    </row>
    <row r="12" spans="1:20" s="56" customFormat="1" ht="15.6" x14ac:dyDescent="0.3">
      <c r="A12" s="7">
        <v>8</v>
      </c>
      <c r="B12" s="24" t="s">
        <v>181</v>
      </c>
      <c r="C12" s="78">
        <v>6</v>
      </c>
      <c r="D12" s="25">
        <v>3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82">
        <f t="shared" si="5"/>
        <v>0</v>
      </c>
      <c r="N12" s="25">
        <v>0</v>
      </c>
      <c r="O12" s="25">
        <f t="shared" si="0"/>
        <v>3</v>
      </c>
      <c r="P12" s="8">
        <f t="shared" si="1"/>
        <v>0</v>
      </c>
      <c r="Q12" s="8">
        <f t="shared" si="2"/>
        <v>0</v>
      </c>
      <c r="R12" s="8">
        <f t="shared" si="3"/>
        <v>1</v>
      </c>
      <c r="S12" s="8">
        <f t="shared" si="4"/>
        <v>1</v>
      </c>
      <c r="T12" s="80"/>
    </row>
    <row r="13" spans="1:20" s="56" customFormat="1" ht="15.6" x14ac:dyDescent="0.3">
      <c r="A13" s="7">
        <v>9</v>
      </c>
      <c r="B13" s="24" t="s">
        <v>172</v>
      </c>
      <c r="C13" s="142"/>
      <c r="D13" s="25">
        <v>3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82">
        <f t="shared" si="5"/>
        <v>0</v>
      </c>
      <c r="N13" s="25">
        <v>0</v>
      </c>
      <c r="O13" s="25">
        <f t="shared" si="0"/>
        <v>3</v>
      </c>
      <c r="P13" s="8">
        <f t="shared" si="1"/>
        <v>0</v>
      </c>
      <c r="Q13" s="8">
        <f t="shared" si="2"/>
        <v>0</v>
      </c>
      <c r="R13" s="8">
        <f t="shared" si="3"/>
        <v>1</v>
      </c>
      <c r="S13" s="8">
        <f t="shared" si="4"/>
        <v>1</v>
      </c>
      <c r="T13" s="80"/>
    </row>
    <row r="14" spans="1:20" s="56" customFormat="1" ht="15.6" x14ac:dyDescent="0.3">
      <c r="A14" s="82">
        <v>10</v>
      </c>
      <c r="B14" s="24" t="s">
        <v>171</v>
      </c>
      <c r="C14" s="141">
        <v>3</v>
      </c>
      <c r="D14" s="25">
        <v>5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82">
        <f t="shared" si="5"/>
        <v>0</v>
      </c>
      <c r="N14" s="25">
        <v>0</v>
      </c>
      <c r="O14" s="25">
        <f t="shared" si="0"/>
        <v>5</v>
      </c>
      <c r="P14" s="8">
        <f t="shared" si="1"/>
        <v>0</v>
      </c>
      <c r="Q14" s="8">
        <f t="shared" si="2"/>
        <v>0</v>
      </c>
      <c r="R14" s="8">
        <f t="shared" si="3"/>
        <v>1</v>
      </c>
      <c r="S14" s="8">
        <f t="shared" si="4"/>
        <v>1</v>
      </c>
      <c r="T14" s="97"/>
    </row>
    <row r="15" spans="1:20" s="26" customFormat="1" ht="15.6" x14ac:dyDescent="0.3">
      <c r="A15" s="7">
        <v>11</v>
      </c>
      <c r="B15" s="84" t="s">
        <v>175</v>
      </c>
      <c r="C15" s="110"/>
      <c r="D15" s="85">
        <v>2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30">
        <f t="shared" si="5"/>
        <v>0</v>
      </c>
      <c r="N15" s="85">
        <v>0</v>
      </c>
      <c r="O15" s="25">
        <v>2</v>
      </c>
      <c r="P15" s="86">
        <v>0</v>
      </c>
      <c r="Q15" s="86">
        <v>0</v>
      </c>
      <c r="R15" s="86">
        <v>1</v>
      </c>
      <c r="S15" s="86">
        <v>1</v>
      </c>
      <c r="T15" s="94"/>
    </row>
    <row r="16" spans="1:20" s="56" customFormat="1" ht="15.6" x14ac:dyDescent="0.3">
      <c r="A16" s="7">
        <v>12</v>
      </c>
      <c r="B16" s="24" t="s">
        <v>174</v>
      </c>
      <c r="C16" s="109"/>
      <c r="D16" s="25">
        <v>1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30">
        <f t="shared" si="5"/>
        <v>0</v>
      </c>
      <c r="N16" s="25">
        <v>0</v>
      </c>
      <c r="O16" s="25">
        <f>D16-M16</f>
        <v>1</v>
      </c>
      <c r="P16" s="8">
        <f>IF(D16=0,"-",(M16/D16))</f>
        <v>0</v>
      </c>
      <c r="Q16" s="8">
        <f>IF(D16=0,"-",(N16/D16))</f>
        <v>0</v>
      </c>
      <c r="R16" s="8">
        <f>IF(D16=0,"-",(O16/D16))</f>
        <v>1</v>
      </c>
      <c r="S16" s="8">
        <f>IF(D16=0,"-",(Q16+R16))</f>
        <v>1</v>
      </c>
      <c r="T16" s="80"/>
    </row>
    <row r="17" spans="1:20" s="56" customFormat="1" ht="15.6" x14ac:dyDescent="0.3">
      <c r="A17" s="82">
        <v>13</v>
      </c>
      <c r="B17" s="24" t="s">
        <v>179</v>
      </c>
      <c r="C17" s="25">
        <v>1</v>
      </c>
      <c r="D17" s="25">
        <v>2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82">
        <f t="shared" si="5"/>
        <v>0</v>
      </c>
      <c r="N17" s="25">
        <v>0</v>
      </c>
      <c r="O17" s="25">
        <f>D17-M17</f>
        <v>2</v>
      </c>
      <c r="P17" s="8">
        <f>IF(D17=0,"-",(M17/D17))</f>
        <v>0</v>
      </c>
      <c r="Q17" s="8">
        <f>IF(D17=0,"-",(N17/D17))</f>
        <v>0</v>
      </c>
      <c r="R17" s="8">
        <f>IF(D17=0,"-",(O17/D17))</f>
        <v>1</v>
      </c>
      <c r="S17" s="8">
        <f>IF(D17=0,"-",(Q17+R17))</f>
        <v>1</v>
      </c>
      <c r="T17" s="80"/>
    </row>
  </sheetData>
  <mergeCells count="13">
    <mergeCell ref="R2:R3"/>
    <mergeCell ref="S2:S3"/>
    <mergeCell ref="T2:T3"/>
    <mergeCell ref="A1:T1"/>
    <mergeCell ref="A2:A3"/>
    <mergeCell ref="B2:B3"/>
    <mergeCell ref="C2:D2"/>
    <mergeCell ref="E2:L2"/>
    <mergeCell ref="M2:M3"/>
    <mergeCell ref="N2:N3"/>
    <mergeCell ref="O2:O3"/>
    <mergeCell ref="P2:P3"/>
    <mergeCell ref="Q2:Q3"/>
  </mergeCells>
  <dataValidations count="2">
    <dataValidation type="whole" allowBlank="1" showInputMessage="1" showErrorMessage="1" errorTitle="Value Between 0 to 200000" sqref="O65223:O65484" xr:uid="{04F48C0D-740C-47D8-94F4-92D3462D3DF3}">
      <formula1>0</formula1>
      <formula2>200000</formula2>
    </dataValidation>
    <dataValidation type="whole" allowBlank="1" showInputMessage="1" showErrorMessage="1" sqref="C65223:L65484" xr:uid="{480256A3-D71C-4060-A927-7155AA0D4644}">
      <formula1>0</formula1>
      <formula2>50000</formula2>
    </dataValidation>
  </dataValidations>
  <pageMargins left="0.47244094488188981" right="0.15748031496062992" top="0.23622047244094491" bottom="0" header="0.31496062992125984" footer="0.31496062992125984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ABA0-718C-417E-B39E-FB21188BD679}">
  <dimension ref="A1:T19"/>
  <sheetViews>
    <sheetView tabSelected="1" view="pageBreakPreview" zoomScale="70" zoomScaleNormal="70" zoomScaleSheetLayoutView="70" workbookViewId="0">
      <pane xSplit="1" ySplit="4" topLeftCell="B5" activePane="bottomRight" state="frozen"/>
      <selection pane="topRight" activeCell="K1" sqref="K1"/>
      <selection pane="bottomLeft" activeCell="A7" sqref="A7"/>
      <selection pane="bottomRight" activeCell="M27" sqref="M27"/>
    </sheetView>
  </sheetViews>
  <sheetFormatPr defaultColWidth="9.109375" defaultRowHeight="13.8" x14ac:dyDescent="0.3"/>
  <cols>
    <col min="1" max="1" width="10.109375" style="6" customWidth="1"/>
    <col min="2" max="2" width="38" style="10" customWidth="1"/>
    <col min="3" max="3" width="8.109375" style="6" customWidth="1"/>
    <col min="4" max="4" width="11.44140625" style="6" bestFit="1" customWidth="1"/>
    <col min="5" max="6" width="7.5546875" style="6" customWidth="1"/>
    <col min="7" max="7" width="9.33203125" style="6" bestFit="1" customWidth="1"/>
    <col min="8" max="8" width="7.6640625" style="6" customWidth="1"/>
    <col min="9" max="9" width="7.33203125" style="6" customWidth="1"/>
    <col min="10" max="10" width="6.44140625" style="6" customWidth="1"/>
    <col min="11" max="11" width="6.5546875" style="6" customWidth="1"/>
    <col min="12" max="12" width="7.44140625" style="6" customWidth="1"/>
    <col min="13" max="13" width="8.88671875" style="6" customWidth="1"/>
    <col min="14" max="14" width="9.33203125" style="6" bestFit="1" customWidth="1"/>
    <col min="15" max="15" width="7.5546875" style="6" customWidth="1"/>
    <col min="16" max="16" width="10.88671875" style="10" customWidth="1"/>
    <col min="17" max="18" width="12" style="10" customWidth="1"/>
    <col min="19" max="19" width="10.88671875" style="10" customWidth="1"/>
    <col min="20" max="20" width="44.109375" style="11" customWidth="1"/>
    <col min="21" max="16384" width="9.109375" style="10"/>
  </cols>
  <sheetData>
    <row r="1" spans="1:20" s="9" customFormat="1" ht="21" customHeight="1" x14ac:dyDescent="0.3">
      <c r="A1" s="143" t="s">
        <v>222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0" s="5" customFormat="1" ht="15.6" x14ac:dyDescent="0.3">
      <c r="A2" s="144" t="s">
        <v>0</v>
      </c>
      <c r="B2" s="145" t="s">
        <v>143</v>
      </c>
      <c r="C2" s="144" t="s">
        <v>17</v>
      </c>
      <c r="D2" s="144"/>
      <c r="E2" s="144" t="s">
        <v>45</v>
      </c>
      <c r="F2" s="144"/>
      <c r="G2" s="144"/>
      <c r="H2" s="144"/>
      <c r="I2" s="144"/>
      <c r="J2" s="144"/>
      <c r="K2" s="144"/>
      <c r="L2" s="144"/>
      <c r="M2" s="145" t="s">
        <v>19</v>
      </c>
      <c r="N2" s="145" t="s">
        <v>46</v>
      </c>
      <c r="O2" s="146" t="s">
        <v>47</v>
      </c>
      <c r="P2" s="145" t="s">
        <v>22</v>
      </c>
      <c r="Q2" s="145" t="s">
        <v>23</v>
      </c>
      <c r="R2" s="145" t="s">
        <v>24</v>
      </c>
      <c r="S2" s="145" t="s">
        <v>25</v>
      </c>
      <c r="T2" s="145" t="s">
        <v>48</v>
      </c>
    </row>
    <row r="3" spans="1:20" s="5" customFormat="1" ht="31.2" x14ac:dyDescent="0.3">
      <c r="A3" s="144"/>
      <c r="B3" s="145"/>
      <c r="C3" s="72" t="s">
        <v>27</v>
      </c>
      <c r="D3" s="87" t="s">
        <v>28</v>
      </c>
      <c r="E3" s="71" t="s">
        <v>15</v>
      </c>
      <c r="F3" s="71" t="s">
        <v>49</v>
      </c>
      <c r="G3" s="71" t="s">
        <v>29</v>
      </c>
      <c r="H3" s="71" t="s">
        <v>50</v>
      </c>
      <c r="I3" s="71" t="s">
        <v>51</v>
      </c>
      <c r="J3" s="71" t="s">
        <v>52</v>
      </c>
      <c r="K3" s="71" t="s">
        <v>53</v>
      </c>
      <c r="L3" s="71" t="s">
        <v>30</v>
      </c>
      <c r="M3" s="145"/>
      <c r="N3" s="145"/>
      <c r="O3" s="146"/>
      <c r="P3" s="145"/>
      <c r="Q3" s="145"/>
      <c r="R3" s="145"/>
      <c r="S3" s="145"/>
      <c r="T3" s="145"/>
    </row>
    <row r="4" spans="1:20" s="5" customFormat="1" ht="19.5" customHeight="1" x14ac:dyDescent="0.3">
      <c r="A4" s="71" t="s">
        <v>1</v>
      </c>
      <c r="B4" s="72" t="s">
        <v>2</v>
      </c>
      <c r="C4" s="71" t="s">
        <v>3</v>
      </c>
      <c r="D4" s="71" t="s">
        <v>4</v>
      </c>
      <c r="E4" s="71" t="s">
        <v>5</v>
      </c>
      <c r="F4" s="71" t="s">
        <v>6</v>
      </c>
      <c r="G4" s="71" t="s">
        <v>7</v>
      </c>
      <c r="H4" s="71" t="s">
        <v>8</v>
      </c>
      <c r="I4" s="71" t="s">
        <v>9</v>
      </c>
      <c r="J4" s="71" t="s">
        <v>10</v>
      </c>
      <c r="K4" s="71" t="s">
        <v>11</v>
      </c>
      <c r="L4" s="71" t="s">
        <v>12</v>
      </c>
      <c r="M4" s="71" t="s">
        <v>13</v>
      </c>
      <c r="N4" s="71" t="s">
        <v>31</v>
      </c>
      <c r="O4" s="71" t="s">
        <v>32</v>
      </c>
      <c r="P4" s="71" t="s">
        <v>54</v>
      </c>
      <c r="Q4" s="71" t="s">
        <v>55</v>
      </c>
      <c r="R4" s="71" t="s">
        <v>56</v>
      </c>
      <c r="S4" s="71" t="s">
        <v>57</v>
      </c>
      <c r="T4" s="92" t="s">
        <v>58</v>
      </c>
    </row>
    <row r="5" spans="1:20" s="12" customFormat="1" ht="18.75" customHeight="1" x14ac:dyDescent="0.3">
      <c r="A5" s="73">
        <v>1</v>
      </c>
      <c r="B5" s="74" t="s">
        <v>184</v>
      </c>
      <c r="C5" s="73">
        <v>4</v>
      </c>
      <c r="D5" s="73">
        <v>1</v>
      </c>
      <c r="E5" s="73">
        <v>0</v>
      </c>
      <c r="F5" s="73">
        <v>1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1">
        <f t="shared" ref="M5:M19" si="0">E5+F5+G5+H5+I5+J5+K5+L5</f>
        <v>1</v>
      </c>
      <c r="N5" s="73">
        <v>0</v>
      </c>
      <c r="O5" s="75">
        <f t="shared" ref="O5:O19" si="1">D5-M5</f>
        <v>0</v>
      </c>
      <c r="P5" s="76">
        <f t="shared" ref="P5:P19" si="2">IF(D5=0,"-",(M5/D5))</f>
        <v>1</v>
      </c>
      <c r="Q5" s="76">
        <f t="shared" ref="Q5:Q12" si="3">IF(D5=0,"-",(N5/D5))</f>
        <v>0</v>
      </c>
      <c r="R5" s="76">
        <f t="shared" ref="R5:R19" si="4">IF(D5=0,"-",(O5/D5))</f>
        <v>0</v>
      </c>
      <c r="S5" s="76">
        <f t="shared" ref="S5:S19" si="5">IF(D5=0,"-",(Q5+R5))</f>
        <v>0</v>
      </c>
      <c r="T5" s="92"/>
    </row>
    <row r="6" spans="1:20" s="12" customFormat="1" ht="15.6" x14ac:dyDescent="0.3">
      <c r="A6" s="73">
        <v>2</v>
      </c>
      <c r="B6" s="74" t="s">
        <v>196</v>
      </c>
      <c r="C6" s="73">
        <v>0</v>
      </c>
      <c r="D6" s="73">
        <v>3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1">
        <f t="shared" si="0"/>
        <v>0</v>
      </c>
      <c r="N6" s="73">
        <v>0</v>
      </c>
      <c r="O6" s="75">
        <f t="shared" si="1"/>
        <v>3</v>
      </c>
      <c r="P6" s="76">
        <f t="shared" si="2"/>
        <v>0</v>
      </c>
      <c r="Q6" s="76">
        <f t="shared" si="3"/>
        <v>0</v>
      </c>
      <c r="R6" s="76">
        <f t="shared" si="4"/>
        <v>1</v>
      </c>
      <c r="S6" s="76">
        <f t="shared" si="5"/>
        <v>1</v>
      </c>
      <c r="T6" s="116" t="s">
        <v>152</v>
      </c>
    </row>
    <row r="7" spans="1:20" s="120" customFormat="1" ht="15.6" x14ac:dyDescent="0.3">
      <c r="A7" s="73">
        <v>3</v>
      </c>
      <c r="B7" s="74" t="s">
        <v>187</v>
      </c>
      <c r="C7" s="75">
        <v>0</v>
      </c>
      <c r="D7" s="75">
        <v>6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119">
        <f t="shared" si="0"/>
        <v>0</v>
      </c>
      <c r="N7" s="75">
        <v>0</v>
      </c>
      <c r="O7" s="75">
        <f t="shared" si="1"/>
        <v>6</v>
      </c>
      <c r="P7" s="76">
        <f t="shared" si="2"/>
        <v>0</v>
      </c>
      <c r="Q7" s="76">
        <f t="shared" si="3"/>
        <v>0</v>
      </c>
      <c r="R7" s="76">
        <f t="shared" si="4"/>
        <v>1</v>
      </c>
      <c r="S7" s="76">
        <f t="shared" si="5"/>
        <v>1</v>
      </c>
      <c r="T7" s="116" t="s">
        <v>153</v>
      </c>
    </row>
    <row r="8" spans="1:20" s="120" customFormat="1" ht="23.25" customHeight="1" x14ac:dyDescent="0.3">
      <c r="A8" s="73">
        <v>4</v>
      </c>
      <c r="B8" s="117" t="s">
        <v>191</v>
      </c>
      <c r="C8" s="73">
        <v>0</v>
      </c>
      <c r="D8" s="73">
        <v>4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119">
        <f t="shared" si="0"/>
        <v>0</v>
      </c>
      <c r="N8" s="75">
        <v>0</v>
      </c>
      <c r="O8" s="75">
        <f t="shared" si="1"/>
        <v>4</v>
      </c>
      <c r="P8" s="76">
        <f t="shared" si="2"/>
        <v>0</v>
      </c>
      <c r="Q8" s="76">
        <f t="shared" si="3"/>
        <v>0</v>
      </c>
      <c r="R8" s="76">
        <f t="shared" si="4"/>
        <v>1</v>
      </c>
      <c r="S8" s="76">
        <f t="shared" si="5"/>
        <v>1</v>
      </c>
      <c r="T8" s="116" t="s">
        <v>151</v>
      </c>
    </row>
    <row r="9" spans="1:20" s="120" customFormat="1" ht="15.6" x14ac:dyDescent="0.3">
      <c r="A9" s="73">
        <v>5</v>
      </c>
      <c r="B9" s="74" t="s">
        <v>198</v>
      </c>
      <c r="C9" s="73">
        <v>2</v>
      </c>
      <c r="D9" s="73">
        <v>2</v>
      </c>
      <c r="E9" s="73">
        <v>0</v>
      </c>
      <c r="F9" s="73">
        <v>0</v>
      </c>
      <c r="G9" s="73">
        <v>0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119">
        <f t="shared" si="0"/>
        <v>0</v>
      </c>
      <c r="N9" s="73">
        <v>0</v>
      </c>
      <c r="O9" s="75">
        <f t="shared" si="1"/>
        <v>2</v>
      </c>
      <c r="P9" s="76">
        <f t="shared" si="2"/>
        <v>0</v>
      </c>
      <c r="Q9" s="76">
        <f t="shared" si="3"/>
        <v>0</v>
      </c>
      <c r="R9" s="76">
        <f t="shared" si="4"/>
        <v>1</v>
      </c>
      <c r="S9" s="76">
        <f t="shared" si="5"/>
        <v>1</v>
      </c>
      <c r="T9" s="116"/>
    </row>
    <row r="10" spans="1:20" s="9" customFormat="1" ht="18.75" customHeight="1" x14ac:dyDescent="0.3">
      <c r="A10" s="132">
        <v>6</v>
      </c>
      <c r="B10" s="133" t="s">
        <v>185</v>
      </c>
      <c r="C10" s="132">
        <v>5</v>
      </c>
      <c r="D10" s="132">
        <v>1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19">
        <f t="shared" si="0"/>
        <v>0</v>
      </c>
      <c r="N10" s="134">
        <v>0</v>
      </c>
      <c r="O10" s="134">
        <f t="shared" si="1"/>
        <v>1</v>
      </c>
      <c r="P10" s="135">
        <f t="shared" si="2"/>
        <v>0</v>
      </c>
      <c r="Q10" s="135">
        <f t="shared" si="3"/>
        <v>0</v>
      </c>
      <c r="R10" s="135">
        <f t="shared" si="4"/>
        <v>1</v>
      </c>
      <c r="S10" s="135">
        <f t="shared" si="5"/>
        <v>1</v>
      </c>
      <c r="T10" s="136"/>
    </row>
    <row r="11" spans="1:20" s="120" customFormat="1" ht="15.6" x14ac:dyDescent="0.3">
      <c r="A11" s="73">
        <v>7</v>
      </c>
      <c r="B11" s="74" t="s">
        <v>189</v>
      </c>
      <c r="C11" s="75">
        <v>0</v>
      </c>
      <c r="D11" s="75">
        <v>1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119">
        <f t="shared" si="0"/>
        <v>0</v>
      </c>
      <c r="N11" s="75">
        <v>0</v>
      </c>
      <c r="O11" s="75">
        <f t="shared" si="1"/>
        <v>1</v>
      </c>
      <c r="P11" s="76">
        <f t="shared" si="2"/>
        <v>0</v>
      </c>
      <c r="Q11" s="76">
        <f t="shared" si="3"/>
        <v>0</v>
      </c>
      <c r="R11" s="76">
        <f t="shared" si="4"/>
        <v>1</v>
      </c>
      <c r="S11" s="76">
        <f t="shared" si="5"/>
        <v>1</v>
      </c>
      <c r="T11" s="116"/>
    </row>
    <row r="12" spans="1:20" s="56" customFormat="1" ht="30" x14ac:dyDescent="0.3">
      <c r="A12" s="7">
        <v>8</v>
      </c>
      <c r="B12" s="74" t="s">
        <v>190</v>
      </c>
      <c r="C12" s="7">
        <v>0</v>
      </c>
      <c r="D12" s="7">
        <v>2</v>
      </c>
      <c r="E12" s="7">
        <v>0</v>
      </c>
      <c r="F12" s="7">
        <v>0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82">
        <f t="shared" si="0"/>
        <v>1</v>
      </c>
      <c r="N12" s="25">
        <v>0</v>
      </c>
      <c r="O12" s="25">
        <f t="shared" si="1"/>
        <v>1</v>
      </c>
      <c r="P12" s="8">
        <f t="shared" si="2"/>
        <v>0.5</v>
      </c>
      <c r="Q12" s="8">
        <f t="shared" si="3"/>
        <v>0</v>
      </c>
      <c r="R12" s="8">
        <f t="shared" si="4"/>
        <v>0.5</v>
      </c>
      <c r="S12" s="8">
        <f t="shared" si="5"/>
        <v>0.5</v>
      </c>
      <c r="T12" s="138" t="s">
        <v>167</v>
      </c>
    </row>
    <row r="13" spans="1:20" s="12" customFormat="1" ht="15.6" x14ac:dyDescent="0.3">
      <c r="A13" s="73">
        <v>9</v>
      </c>
      <c r="B13" s="117" t="s">
        <v>197</v>
      </c>
      <c r="C13" s="75">
        <v>0</v>
      </c>
      <c r="D13" s="75">
        <v>4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1">
        <f t="shared" si="0"/>
        <v>0</v>
      </c>
      <c r="N13" s="75">
        <v>0</v>
      </c>
      <c r="O13" s="75">
        <f t="shared" si="1"/>
        <v>4</v>
      </c>
      <c r="P13" s="76">
        <f t="shared" si="2"/>
        <v>0</v>
      </c>
      <c r="Q13" s="76">
        <v>0</v>
      </c>
      <c r="R13" s="76">
        <f t="shared" si="4"/>
        <v>1</v>
      </c>
      <c r="S13" s="76">
        <f t="shared" si="5"/>
        <v>1</v>
      </c>
      <c r="T13" s="118" t="s">
        <v>156</v>
      </c>
    </row>
    <row r="14" spans="1:20" s="12" customFormat="1" ht="75" x14ac:dyDescent="0.3">
      <c r="A14" s="73">
        <v>10</v>
      </c>
      <c r="B14" s="77" t="s">
        <v>195</v>
      </c>
      <c r="C14" s="73">
        <v>0</v>
      </c>
      <c r="D14" s="73">
        <v>2</v>
      </c>
      <c r="E14" s="73">
        <v>0</v>
      </c>
      <c r="F14" s="73">
        <v>0</v>
      </c>
      <c r="G14" s="73">
        <v>1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1">
        <f t="shared" si="0"/>
        <v>1</v>
      </c>
      <c r="N14" s="73">
        <v>0</v>
      </c>
      <c r="O14" s="75">
        <f t="shared" si="1"/>
        <v>1</v>
      </c>
      <c r="P14" s="76">
        <f t="shared" si="2"/>
        <v>0.5</v>
      </c>
      <c r="Q14" s="76">
        <f t="shared" ref="Q14:Q19" si="6">IF(D14=0,"-",(N14/D14))</f>
        <v>0</v>
      </c>
      <c r="R14" s="76">
        <f t="shared" si="4"/>
        <v>0.5</v>
      </c>
      <c r="S14" s="76">
        <f t="shared" si="5"/>
        <v>0.5</v>
      </c>
      <c r="T14" s="93" t="s">
        <v>160</v>
      </c>
    </row>
    <row r="15" spans="1:20" s="12" customFormat="1" ht="15.6" x14ac:dyDescent="0.3">
      <c r="A15" s="73">
        <v>11</v>
      </c>
      <c r="B15" s="74" t="s">
        <v>186</v>
      </c>
      <c r="C15" s="73">
        <v>0</v>
      </c>
      <c r="D15" s="73">
        <v>3</v>
      </c>
      <c r="E15" s="73">
        <v>0</v>
      </c>
      <c r="F15" s="73">
        <v>0</v>
      </c>
      <c r="G15" s="73">
        <v>0</v>
      </c>
      <c r="H15" s="73">
        <v>0</v>
      </c>
      <c r="I15" s="73">
        <v>0</v>
      </c>
      <c r="J15" s="73">
        <v>0</v>
      </c>
      <c r="K15" s="73">
        <v>0</v>
      </c>
      <c r="L15" s="73">
        <v>0</v>
      </c>
      <c r="M15" s="71">
        <f t="shared" si="0"/>
        <v>0</v>
      </c>
      <c r="N15" s="73">
        <v>0</v>
      </c>
      <c r="O15" s="75">
        <f t="shared" si="1"/>
        <v>3</v>
      </c>
      <c r="P15" s="76">
        <f t="shared" si="2"/>
        <v>0</v>
      </c>
      <c r="Q15" s="76">
        <f t="shared" si="6"/>
        <v>0</v>
      </c>
      <c r="R15" s="76">
        <f t="shared" si="4"/>
        <v>1</v>
      </c>
      <c r="S15" s="76">
        <f t="shared" si="5"/>
        <v>1</v>
      </c>
      <c r="T15" s="116"/>
    </row>
    <row r="16" spans="1:20" s="120" customFormat="1" ht="23.25" customHeight="1" x14ac:dyDescent="0.3">
      <c r="A16" s="73">
        <v>12</v>
      </c>
      <c r="B16" s="117" t="s">
        <v>192</v>
      </c>
      <c r="C16" s="73">
        <v>0</v>
      </c>
      <c r="D16" s="73">
        <v>9</v>
      </c>
      <c r="E16" s="73">
        <v>0</v>
      </c>
      <c r="F16" s="73">
        <v>0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119">
        <f t="shared" si="0"/>
        <v>0</v>
      </c>
      <c r="N16" s="75">
        <v>0</v>
      </c>
      <c r="O16" s="75">
        <f t="shared" si="1"/>
        <v>9</v>
      </c>
      <c r="P16" s="76">
        <f t="shared" si="2"/>
        <v>0</v>
      </c>
      <c r="Q16" s="76">
        <f t="shared" si="6"/>
        <v>0</v>
      </c>
      <c r="R16" s="76">
        <f t="shared" si="4"/>
        <v>1</v>
      </c>
      <c r="S16" s="76">
        <f t="shared" si="5"/>
        <v>1</v>
      </c>
      <c r="T16" s="116" t="s">
        <v>151</v>
      </c>
    </row>
    <row r="17" spans="1:20" s="120" customFormat="1" ht="15.6" x14ac:dyDescent="0.3">
      <c r="A17" s="73">
        <v>13</v>
      </c>
      <c r="B17" s="74" t="s">
        <v>188</v>
      </c>
      <c r="C17" s="75">
        <v>0</v>
      </c>
      <c r="D17" s="75">
        <v>2</v>
      </c>
      <c r="E17" s="75">
        <v>0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119">
        <f t="shared" si="0"/>
        <v>0</v>
      </c>
      <c r="N17" s="75">
        <v>0</v>
      </c>
      <c r="O17" s="75">
        <f t="shared" si="1"/>
        <v>2</v>
      </c>
      <c r="P17" s="76">
        <f t="shared" si="2"/>
        <v>0</v>
      </c>
      <c r="Q17" s="76">
        <f t="shared" si="6"/>
        <v>0</v>
      </c>
      <c r="R17" s="76">
        <f t="shared" si="4"/>
        <v>1</v>
      </c>
      <c r="S17" s="76">
        <f t="shared" si="5"/>
        <v>1</v>
      </c>
      <c r="T17" s="116" t="s">
        <v>154</v>
      </c>
    </row>
    <row r="18" spans="1:20" s="120" customFormat="1" ht="15.6" x14ac:dyDescent="0.3">
      <c r="A18" s="73">
        <v>14</v>
      </c>
      <c r="B18" s="74" t="s">
        <v>193</v>
      </c>
      <c r="C18" s="75">
        <v>0</v>
      </c>
      <c r="D18" s="75">
        <v>3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119">
        <f t="shared" si="0"/>
        <v>0</v>
      </c>
      <c r="N18" s="75">
        <v>0</v>
      </c>
      <c r="O18" s="75">
        <f t="shared" si="1"/>
        <v>3</v>
      </c>
      <c r="P18" s="76">
        <f t="shared" si="2"/>
        <v>0</v>
      </c>
      <c r="Q18" s="76">
        <f t="shared" si="6"/>
        <v>0</v>
      </c>
      <c r="R18" s="76">
        <f t="shared" si="4"/>
        <v>1</v>
      </c>
      <c r="S18" s="76">
        <f t="shared" si="5"/>
        <v>1</v>
      </c>
      <c r="T18" s="116"/>
    </row>
    <row r="19" spans="1:20" s="120" customFormat="1" ht="23.25" customHeight="1" x14ac:dyDescent="0.3">
      <c r="A19" s="73">
        <v>15</v>
      </c>
      <c r="B19" s="117" t="s">
        <v>194</v>
      </c>
      <c r="C19" s="73">
        <v>0</v>
      </c>
      <c r="D19" s="73">
        <v>4</v>
      </c>
      <c r="E19" s="73">
        <v>0</v>
      </c>
      <c r="F19" s="73">
        <v>0</v>
      </c>
      <c r="G19" s="73">
        <v>0</v>
      </c>
      <c r="H19" s="73">
        <v>0</v>
      </c>
      <c r="I19" s="73">
        <v>0</v>
      </c>
      <c r="J19" s="73">
        <v>0</v>
      </c>
      <c r="K19" s="73">
        <v>0</v>
      </c>
      <c r="L19" s="73">
        <v>0</v>
      </c>
      <c r="M19" s="119">
        <f t="shared" si="0"/>
        <v>0</v>
      </c>
      <c r="N19" s="75">
        <v>0</v>
      </c>
      <c r="O19" s="75">
        <f t="shared" si="1"/>
        <v>4</v>
      </c>
      <c r="P19" s="76">
        <f t="shared" si="2"/>
        <v>0</v>
      </c>
      <c r="Q19" s="76">
        <f t="shared" si="6"/>
        <v>0</v>
      </c>
      <c r="R19" s="76">
        <f t="shared" si="4"/>
        <v>1</v>
      </c>
      <c r="S19" s="76">
        <f t="shared" si="5"/>
        <v>1</v>
      </c>
      <c r="T19" s="116" t="s">
        <v>155</v>
      </c>
    </row>
  </sheetData>
  <mergeCells count="13">
    <mergeCell ref="O2:O3"/>
    <mergeCell ref="R2:R3"/>
    <mergeCell ref="P2:P3"/>
    <mergeCell ref="M2:M3"/>
    <mergeCell ref="E2:L2"/>
    <mergeCell ref="A1:T1"/>
    <mergeCell ref="A2:A3"/>
    <mergeCell ref="B2:B3"/>
    <mergeCell ref="C2:D2"/>
    <mergeCell ref="Q2:Q3"/>
    <mergeCell ref="T2:T3"/>
    <mergeCell ref="S2:S3"/>
    <mergeCell ref="N2:N3"/>
  </mergeCells>
  <conditionalFormatting sqref="B8">
    <cfRule type="duplicateValues" dxfId="9" priority="7" stopIfTrue="1"/>
    <cfRule type="duplicateValues" dxfId="8" priority="8" stopIfTrue="1"/>
  </conditionalFormatting>
  <conditionalFormatting sqref="B10">
    <cfRule type="duplicateValues" dxfId="7" priority="35" stopIfTrue="1"/>
    <cfRule type="duplicateValues" dxfId="6" priority="36" stopIfTrue="1"/>
  </conditionalFormatting>
  <conditionalFormatting sqref="B13">
    <cfRule type="duplicateValues" dxfId="5" priority="1" stopIfTrue="1"/>
    <cfRule type="duplicateValues" dxfId="4" priority="2" stopIfTrue="1"/>
  </conditionalFormatting>
  <conditionalFormatting sqref="B16">
    <cfRule type="duplicateValues" dxfId="3" priority="5" stopIfTrue="1"/>
    <cfRule type="duplicateValues" dxfId="2" priority="6" stopIfTrue="1"/>
  </conditionalFormatting>
  <conditionalFormatting sqref="B19">
    <cfRule type="duplicateValues" dxfId="1" priority="3" stopIfTrue="1"/>
    <cfRule type="duplicateValues" dxfId="0" priority="4" stopIfTrue="1"/>
  </conditionalFormatting>
  <dataValidations disablePrompts="1" count="2">
    <dataValidation type="whole" allowBlank="1" showInputMessage="1" showErrorMessage="1" sqref="C65225:L65486" xr:uid="{9D1127A1-F0FB-4FD3-8734-A69D11B5AABD}">
      <formula1>0</formula1>
      <formula2>50000</formula2>
    </dataValidation>
    <dataValidation type="whole" allowBlank="1" showInputMessage="1" showErrorMessage="1" errorTitle="Value Between 0 to 200000" sqref="O65225:O65486" xr:uid="{0EDB76AF-A16B-4FBD-AF39-23EC410CD191}">
      <formula1>0</formula1>
      <formula2>200000</formula2>
    </dataValidation>
  </dataValidations>
  <pageMargins left="0.47244094488188981" right="0.15748031496062992" top="0.23622047244094491" bottom="0" header="0.31496062992125984" footer="0.31496062992125984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69A9-F480-408B-BE5B-478C382311C3}">
  <dimension ref="A1:T8"/>
  <sheetViews>
    <sheetView view="pageBreakPreview" zoomScale="95" zoomScaleNormal="85" zoomScaleSheetLayoutView="95" workbookViewId="0">
      <selection activeCell="B13" sqref="B13"/>
    </sheetView>
  </sheetViews>
  <sheetFormatPr defaultColWidth="9.109375" defaultRowHeight="15" x14ac:dyDescent="0.3"/>
  <cols>
    <col min="1" max="1" width="8.44140625" style="3" customWidth="1"/>
    <col min="2" max="2" width="18.44140625" style="12" customWidth="1"/>
    <col min="3" max="3" width="6.33203125" style="3" bestFit="1" customWidth="1"/>
    <col min="4" max="4" width="7.5546875" style="3" customWidth="1"/>
    <col min="5" max="5" width="5.109375" style="3" bestFit="1" customWidth="1"/>
    <col min="6" max="6" width="5.88671875" style="3" bestFit="1" customWidth="1"/>
    <col min="7" max="7" width="8.109375" style="3" bestFit="1" customWidth="1"/>
    <col min="8" max="8" width="5.5546875" style="3" bestFit="1" customWidth="1"/>
    <col min="9" max="9" width="4.5546875" style="3" bestFit="1" customWidth="1"/>
    <col min="10" max="10" width="4" style="3" bestFit="1" customWidth="1"/>
    <col min="11" max="11" width="4.33203125" style="3" bestFit="1" customWidth="1"/>
    <col min="12" max="12" width="5.6640625" style="3" bestFit="1" customWidth="1"/>
    <col min="13" max="13" width="9.109375" style="3" customWidth="1"/>
    <col min="14" max="14" width="8.44140625" style="3" customWidth="1"/>
    <col min="15" max="15" width="6.109375" style="12" bestFit="1" customWidth="1"/>
    <col min="16" max="16" width="11.109375" style="12" customWidth="1"/>
    <col min="17" max="17" width="9.44140625" style="12" bestFit="1" customWidth="1"/>
    <col min="18" max="18" width="10.88671875" style="12" customWidth="1"/>
    <col min="19" max="19" width="11.6640625" style="12" customWidth="1"/>
    <col min="20" max="20" width="42.88671875" style="12" customWidth="1"/>
    <col min="21" max="16384" width="9.109375" style="12"/>
  </cols>
  <sheetData>
    <row r="1" spans="1:20" ht="51.75" customHeight="1" x14ac:dyDescent="0.3">
      <c r="R1" s="151" t="s">
        <v>163</v>
      </c>
      <c r="S1" s="151"/>
      <c r="T1" s="151"/>
    </row>
    <row r="2" spans="1:20" ht="15.6" x14ac:dyDescent="0.3">
      <c r="A2" s="143" t="s">
        <v>150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</row>
    <row r="3" spans="1:20" ht="15.6" x14ac:dyDescent="0.3">
      <c r="R3" s="148"/>
      <c r="S3" s="149"/>
    </row>
    <row r="4" spans="1:20" s="16" customFormat="1" ht="15.6" x14ac:dyDescent="0.3">
      <c r="A4" s="146" t="s">
        <v>0</v>
      </c>
      <c r="B4" s="150" t="s">
        <v>14</v>
      </c>
      <c r="C4" s="146" t="s">
        <v>17</v>
      </c>
      <c r="D4" s="146"/>
      <c r="E4" s="146" t="s">
        <v>45</v>
      </c>
      <c r="F4" s="146"/>
      <c r="G4" s="146"/>
      <c r="H4" s="146"/>
      <c r="I4" s="146"/>
      <c r="J4" s="146"/>
      <c r="K4" s="146"/>
      <c r="L4" s="146"/>
      <c r="M4" s="150" t="s">
        <v>19</v>
      </c>
      <c r="N4" s="150" t="s">
        <v>20</v>
      </c>
      <c r="O4" s="146" t="s">
        <v>47</v>
      </c>
      <c r="P4" s="150" t="s">
        <v>22</v>
      </c>
      <c r="Q4" s="150" t="s">
        <v>23</v>
      </c>
      <c r="R4" s="150" t="s">
        <v>24</v>
      </c>
      <c r="S4" s="150" t="s">
        <v>25</v>
      </c>
      <c r="T4" s="146" t="s">
        <v>48</v>
      </c>
    </row>
    <row r="5" spans="1:20" s="16" customFormat="1" ht="31.2" x14ac:dyDescent="0.3">
      <c r="A5" s="146"/>
      <c r="B5" s="150"/>
      <c r="C5" s="87" t="s">
        <v>27</v>
      </c>
      <c r="D5" s="87" t="s">
        <v>28</v>
      </c>
      <c r="E5" s="98" t="s">
        <v>15</v>
      </c>
      <c r="F5" s="98" t="s">
        <v>49</v>
      </c>
      <c r="G5" s="98" t="s">
        <v>29</v>
      </c>
      <c r="H5" s="98" t="s">
        <v>50</v>
      </c>
      <c r="I5" s="98" t="s">
        <v>51</v>
      </c>
      <c r="J5" s="98" t="s">
        <v>52</v>
      </c>
      <c r="K5" s="98" t="s">
        <v>53</v>
      </c>
      <c r="L5" s="98" t="s">
        <v>30</v>
      </c>
      <c r="M5" s="150"/>
      <c r="N5" s="150"/>
      <c r="O5" s="146"/>
      <c r="P5" s="150"/>
      <c r="Q5" s="150"/>
      <c r="R5" s="150"/>
      <c r="S5" s="150"/>
      <c r="T5" s="146"/>
    </row>
    <row r="6" spans="1:20" s="16" customFormat="1" ht="15.6" x14ac:dyDescent="0.3">
      <c r="A6" s="98" t="s">
        <v>1</v>
      </c>
      <c r="B6" s="87" t="s">
        <v>2</v>
      </c>
      <c r="C6" s="98" t="s">
        <v>3</v>
      </c>
      <c r="D6" s="98" t="s">
        <v>4</v>
      </c>
      <c r="E6" s="98" t="s">
        <v>5</v>
      </c>
      <c r="F6" s="98" t="s">
        <v>6</v>
      </c>
      <c r="G6" s="98" t="s">
        <v>7</v>
      </c>
      <c r="H6" s="98" t="s">
        <v>8</v>
      </c>
      <c r="I6" s="98" t="s">
        <v>9</v>
      </c>
      <c r="J6" s="98" t="s">
        <v>10</v>
      </c>
      <c r="K6" s="98" t="s">
        <v>11</v>
      </c>
      <c r="L6" s="98" t="s">
        <v>12</v>
      </c>
      <c r="M6" s="98" t="s">
        <v>13</v>
      </c>
      <c r="N6" s="98" t="s">
        <v>31</v>
      </c>
      <c r="O6" s="98" t="s">
        <v>32</v>
      </c>
      <c r="P6" s="98" t="s">
        <v>54</v>
      </c>
      <c r="Q6" s="98" t="s">
        <v>55</v>
      </c>
      <c r="R6" s="98" t="s">
        <v>56</v>
      </c>
      <c r="S6" s="98" t="s">
        <v>57</v>
      </c>
      <c r="T6" s="98" t="s">
        <v>58</v>
      </c>
    </row>
    <row r="7" spans="1:20" s="16" customFormat="1" ht="20.25" customHeight="1" x14ac:dyDescent="0.3">
      <c r="A7" s="147" t="s">
        <v>62</v>
      </c>
      <c r="B7" s="147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</row>
    <row r="8" spans="1:20" s="58" customFormat="1" ht="30" x14ac:dyDescent="0.3">
      <c r="A8" s="7">
        <v>1</v>
      </c>
      <c r="B8" s="31" t="s">
        <v>199</v>
      </c>
      <c r="C8" s="25">
        <v>32</v>
      </c>
      <c r="D8" s="25">
        <v>32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85">
        <v>0</v>
      </c>
      <c r="L8" s="85">
        <v>0</v>
      </c>
      <c r="M8" s="30">
        <v>0</v>
      </c>
      <c r="N8" s="85">
        <v>0</v>
      </c>
      <c r="O8" s="111">
        <v>32</v>
      </c>
      <c r="P8" s="86">
        <f>IF(D8=0,"-",(M8/D8))</f>
        <v>0</v>
      </c>
      <c r="Q8" s="8">
        <f>IF(D8=0,"-",(N8/D8))</f>
        <v>0</v>
      </c>
      <c r="R8" s="8">
        <f>IF(D8=0,"-",(O8/D8))</f>
        <v>1</v>
      </c>
      <c r="S8" s="8">
        <f>IF(D8=0,"-",(Q8+R8))</f>
        <v>1</v>
      </c>
      <c r="T8" s="137" t="s">
        <v>168</v>
      </c>
    </row>
  </sheetData>
  <mergeCells count="16">
    <mergeCell ref="A2:T2"/>
    <mergeCell ref="T4:T5"/>
    <mergeCell ref="R1:T1"/>
    <mergeCell ref="O4:O5"/>
    <mergeCell ref="P4:P5"/>
    <mergeCell ref="Q4:Q5"/>
    <mergeCell ref="R4:R5"/>
    <mergeCell ref="S4:S5"/>
    <mergeCell ref="A7:B7"/>
    <mergeCell ref="R3:S3"/>
    <mergeCell ref="A4:A5"/>
    <mergeCell ref="B4:B5"/>
    <mergeCell ref="C4:D4"/>
    <mergeCell ref="E4:L4"/>
    <mergeCell ref="M4:M5"/>
    <mergeCell ref="N4:N5"/>
  </mergeCells>
  <dataValidations count="2">
    <dataValidation type="whole" allowBlank="1" showInputMessage="1" showErrorMessage="1" sqref="C8:L8" xr:uid="{E60E427C-1D50-4378-A1E0-5F50F54ADE56}">
      <formula1>0</formula1>
      <formula2>50000</formula2>
    </dataValidation>
    <dataValidation type="whole" allowBlank="1" showInputMessage="1" showErrorMessage="1" errorTitle="Value Between 0 to 200000" sqref="O8" xr:uid="{C1F18EE4-89A9-4533-9190-11194B2F2BC3}">
      <formula1>0</formula1>
      <formula2>200000</formula2>
    </dataValidation>
  </dataValidations>
  <printOptions horizontalCentered="1"/>
  <pageMargins left="0.47244094488188981" right="0.31496062992125984" top="0.51181102362204722" bottom="0.43307086614173229" header="0.31496062992125984" footer="0.31496062992125984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AA3F-24D4-45EE-A988-DCDEA7827832}">
  <dimension ref="A1:CN13"/>
  <sheetViews>
    <sheetView view="pageBreakPreview" zoomScale="85" zoomScaleSheetLayoutView="85" workbookViewId="0">
      <pane ySplit="5" topLeftCell="A6" activePane="bottomLeft" state="frozen"/>
      <selection pane="bottomLeft" activeCell="A8" sqref="A8:A13"/>
    </sheetView>
  </sheetViews>
  <sheetFormatPr defaultColWidth="9.109375" defaultRowHeight="13.8" x14ac:dyDescent="0.3"/>
  <cols>
    <col min="1" max="1" width="8.88671875" style="1" customWidth="1"/>
    <col min="2" max="2" width="31.88671875" style="1" customWidth="1"/>
    <col min="3" max="3" width="7.5546875" style="1" customWidth="1"/>
    <col min="4" max="4" width="8.6640625" style="1" customWidth="1"/>
    <col min="5" max="5" width="6.33203125" style="1" customWidth="1"/>
    <col min="6" max="6" width="5.88671875" style="1" customWidth="1"/>
    <col min="7" max="7" width="9.5546875" style="1" customWidth="1"/>
    <col min="8" max="8" width="17.5546875" style="1" customWidth="1"/>
    <col min="9" max="9" width="5.6640625" style="1" customWidth="1"/>
    <col min="10" max="11" width="9" style="1" customWidth="1"/>
    <col min="12" max="12" width="9.5546875" style="1" customWidth="1"/>
    <col min="13" max="13" width="9.44140625" style="1" customWidth="1"/>
    <col min="14" max="14" width="9.33203125" style="1" bestFit="1" customWidth="1"/>
    <col min="15" max="15" width="11" style="1" customWidth="1"/>
    <col min="16" max="16" width="10" style="1" customWidth="1"/>
    <col min="17" max="17" width="24.5546875" style="14" bestFit="1" customWidth="1"/>
    <col min="18" max="16384" width="9.109375" style="1"/>
  </cols>
  <sheetData>
    <row r="1" spans="1:92" ht="45.75" customHeight="1" x14ac:dyDescent="0.3">
      <c r="A1" s="3"/>
      <c r="C1" s="2"/>
      <c r="D1" s="2"/>
      <c r="E1" s="4"/>
      <c r="F1" s="4"/>
      <c r="G1" s="4"/>
      <c r="H1" s="4"/>
      <c r="I1" s="4"/>
      <c r="J1" s="2"/>
      <c r="K1" s="2"/>
      <c r="N1" s="153" t="s">
        <v>162</v>
      </c>
      <c r="O1" s="153"/>
      <c r="P1" s="153"/>
      <c r="Q1" s="153"/>
    </row>
    <row r="2" spans="1:92" ht="24.75" customHeight="1" x14ac:dyDescent="0.3">
      <c r="A2" s="154" t="s">
        <v>149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</row>
    <row r="3" spans="1:92" s="13" customFormat="1" ht="15.6" x14ac:dyDescent="0.3">
      <c r="A3" s="2"/>
      <c r="B3" s="1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48"/>
      <c r="P3" s="149"/>
      <c r="Q3" s="149"/>
    </row>
    <row r="4" spans="1:92" s="16" customFormat="1" ht="15.6" x14ac:dyDescent="0.3">
      <c r="A4" s="146" t="s">
        <v>0</v>
      </c>
      <c r="B4" s="150" t="s">
        <v>16</v>
      </c>
      <c r="C4" s="146" t="s">
        <v>17</v>
      </c>
      <c r="D4" s="146"/>
      <c r="E4" s="146" t="s">
        <v>45</v>
      </c>
      <c r="F4" s="146"/>
      <c r="G4" s="146"/>
      <c r="H4" s="146"/>
      <c r="I4" s="146"/>
      <c r="J4" s="150" t="s">
        <v>19</v>
      </c>
      <c r="K4" s="150" t="s">
        <v>20</v>
      </c>
      <c r="L4" s="150" t="s">
        <v>21</v>
      </c>
      <c r="M4" s="150" t="s">
        <v>22</v>
      </c>
      <c r="N4" s="150" t="s">
        <v>23</v>
      </c>
      <c r="O4" s="150" t="s">
        <v>24</v>
      </c>
      <c r="P4" s="150" t="s">
        <v>25</v>
      </c>
      <c r="Q4" s="150" t="s">
        <v>48</v>
      </c>
    </row>
    <row r="5" spans="1:92" s="55" customFormat="1" ht="74.400000000000006" x14ac:dyDescent="0.3">
      <c r="A5" s="146"/>
      <c r="B5" s="150"/>
      <c r="C5" s="95" t="s">
        <v>27</v>
      </c>
      <c r="D5" s="95" t="s">
        <v>28</v>
      </c>
      <c r="E5" s="53" t="s">
        <v>59</v>
      </c>
      <c r="F5" s="53" t="s">
        <v>49</v>
      </c>
      <c r="G5" s="53" t="s">
        <v>29</v>
      </c>
      <c r="H5" s="54" t="s">
        <v>60</v>
      </c>
      <c r="I5" s="53" t="s">
        <v>30</v>
      </c>
      <c r="J5" s="150"/>
      <c r="K5" s="150"/>
      <c r="L5" s="150"/>
      <c r="M5" s="150"/>
      <c r="N5" s="150"/>
      <c r="O5" s="150"/>
      <c r="P5" s="150"/>
      <c r="Q5" s="146"/>
    </row>
    <row r="6" spans="1:92" s="17" customFormat="1" ht="17.25" customHeight="1" x14ac:dyDescent="0.3">
      <c r="A6" s="89" t="s">
        <v>1</v>
      </c>
      <c r="B6" s="88" t="s">
        <v>2</v>
      </c>
      <c r="C6" s="89" t="s">
        <v>3</v>
      </c>
      <c r="D6" s="89" t="s">
        <v>4</v>
      </c>
      <c r="E6" s="89" t="s">
        <v>5</v>
      </c>
      <c r="F6" s="89" t="s">
        <v>6</v>
      </c>
      <c r="G6" s="89" t="s">
        <v>7</v>
      </c>
      <c r="H6" s="89" t="s">
        <v>8</v>
      </c>
      <c r="I6" s="89" t="s">
        <v>9</v>
      </c>
      <c r="J6" s="89" t="s">
        <v>10</v>
      </c>
      <c r="K6" s="89" t="s">
        <v>11</v>
      </c>
      <c r="L6" s="89" t="s">
        <v>12</v>
      </c>
      <c r="M6" s="89" t="s">
        <v>13</v>
      </c>
      <c r="N6" s="89" t="s">
        <v>31</v>
      </c>
      <c r="O6" s="89" t="s">
        <v>32</v>
      </c>
      <c r="P6" s="89" t="s">
        <v>54</v>
      </c>
      <c r="Q6" s="32" t="s">
        <v>55</v>
      </c>
    </row>
    <row r="7" spans="1:92" s="18" customFormat="1" ht="24.75" customHeight="1" x14ac:dyDescent="0.3">
      <c r="A7" s="152" t="s">
        <v>62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92" s="19" customFormat="1" ht="28.5" customHeight="1" x14ac:dyDescent="0.3">
      <c r="A8" s="99">
        <v>1</v>
      </c>
      <c r="B8" s="100" t="s">
        <v>200</v>
      </c>
      <c r="C8" s="101">
        <v>51</v>
      </c>
      <c r="D8" s="101">
        <v>48</v>
      </c>
      <c r="E8" s="101">
        <v>0</v>
      </c>
      <c r="F8" s="101">
        <v>0</v>
      </c>
      <c r="G8" s="101">
        <v>0</v>
      </c>
      <c r="H8" s="101">
        <v>0</v>
      </c>
      <c r="I8" s="101">
        <v>0</v>
      </c>
      <c r="J8" s="99">
        <v>0</v>
      </c>
      <c r="K8" s="101">
        <v>0</v>
      </c>
      <c r="L8" s="102">
        <f>IF(D8=0,"-",D8-(J8+K8))</f>
        <v>48</v>
      </c>
      <c r="M8" s="103">
        <f>J8/D8*100</f>
        <v>0</v>
      </c>
      <c r="N8" s="103">
        <f>IF(D8=0,"-",(K8/D8))</f>
        <v>0</v>
      </c>
      <c r="O8" s="103">
        <f>IF(D8=0,"-",(L8/D8))</f>
        <v>1</v>
      </c>
      <c r="P8" s="103">
        <f>IF(D8=0,"-",(N8+O8))</f>
        <v>1</v>
      </c>
      <c r="Q8" s="104"/>
    </row>
    <row r="9" spans="1:92" s="18" customFormat="1" ht="72" customHeight="1" x14ac:dyDescent="0.3">
      <c r="A9" s="50">
        <v>2</v>
      </c>
      <c r="B9" s="105" t="s">
        <v>201</v>
      </c>
      <c r="C9" s="70">
        <v>319</v>
      </c>
      <c r="D9" s="70">
        <v>376</v>
      </c>
      <c r="E9" s="70">
        <v>0</v>
      </c>
      <c r="F9" s="70">
        <v>0</v>
      </c>
      <c r="G9" s="70">
        <v>0</v>
      </c>
      <c r="H9" s="70">
        <v>1</v>
      </c>
      <c r="I9" s="70">
        <v>0</v>
      </c>
      <c r="J9" s="99">
        <v>1</v>
      </c>
      <c r="K9" s="70">
        <v>0</v>
      </c>
      <c r="L9" s="102">
        <f>IF(D9=0,"-",D9-(J9+K9))</f>
        <v>375</v>
      </c>
      <c r="M9" s="103">
        <f>J9/D9*100</f>
        <v>0.26595744680851063</v>
      </c>
      <c r="N9" s="52">
        <f>IF(D9=0,"-",(K9/D9))</f>
        <v>0</v>
      </c>
      <c r="O9" s="52">
        <f>IF(D9=0,"-",(L9/D9))</f>
        <v>0.99734042553191493</v>
      </c>
      <c r="P9" s="52">
        <f>IF(D9=0,"-",(N9+O9))</f>
        <v>0.99734042553191493</v>
      </c>
      <c r="Q9" s="139" t="s">
        <v>169</v>
      </c>
    </row>
    <row r="10" spans="1:92" s="18" customFormat="1" ht="27.75" customHeight="1" x14ac:dyDescent="0.3">
      <c r="A10" s="106">
        <v>3</v>
      </c>
      <c r="B10" s="107" t="s">
        <v>202</v>
      </c>
      <c r="C10" s="70">
        <v>348</v>
      </c>
      <c r="D10" s="70">
        <v>281</v>
      </c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99">
        <v>0</v>
      </c>
      <c r="K10" s="70">
        <v>0</v>
      </c>
      <c r="L10" s="102">
        <f>IF(D10=0,"-",D10-(J10+K10))</f>
        <v>281</v>
      </c>
      <c r="M10" s="103">
        <v>3.3999999999999998E-3</v>
      </c>
      <c r="N10" s="52">
        <f>IF(D10=0,"-",(K10/D10))</f>
        <v>0</v>
      </c>
      <c r="O10" s="52">
        <f>IF(D10=0,"-",(L10/D10))</f>
        <v>1</v>
      </c>
      <c r="P10" s="52">
        <f>IF(D10=0,"-",(N10+O10))</f>
        <v>1</v>
      </c>
      <c r="Q10" s="113"/>
    </row>
    <row r="11" spans="1:92" s="18" customFormat="1" ht="15" x14ac:dyDescent="0.3">
      <c r="A11" s="99">
        <v>4</v>
      </c>
      <c r="B11" s="105" t="s">
        <v>203</v>
      </c>
      <c r="C11" s="70">
        <v>50</v>
      </c>
      <c r="D11" s="70">
        <v>52</v>
      </c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50">
        <v>0</v>
      </c>
      <c r="K11" s="70">
        <v>0</v>
      </c>
      <c r="L11" s="102">
        <f>IF(D11=0,"-",D11-(J11+K11))</f>
        <v>52</v>
      </c>
      <c r="M11" s="103">
        <f>J11/D11*100</f>
        <v>0</v>
      </c>
      <c r="N11" s="52">
        <f>IF(D11=0,"-",(K11/D11))</f>
        <v>0</v>
      </c>
      <c r="O11" s="52">
        <f>IF(D11=0,"-",(L11/D11))</f>
        <v>1</v>
      </c>
      <c r="P11" s="52">
        <f>IF(D11=0,"-",(N11+O11))</f>
        <v>1</v>
      </c>
      <c r="Q11" s="108"/>
    </row>
    <row r="12" spans="1:92" s="18" customFormat="1" ht="33" customHeight="1" x14ac:dyDescent="0.3">
      <c r="A12" s="50">
        <v>5</v>
      </c>
      <c r="B12" s="105" t="s">
        <v>204</v>
      </c>
      <c r="C12" s="70">
        <v>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50">
        <v>0</v>
      </c>
      <c r="K12" s="70">
        <v>0</v>
      </c>
      <c r="L12" s="51">
        <v>0</v>
      </c>
      <c r="M12" s="103">
        <v>0</v>
      </c>
      <c r="N12" s="52">
        <v>0</v>
      </c>
      <c r="O12" s="52" t="str">
        <f>IF(D12=0,"-",(L12/D12))</f>
        <v>-</v>
      </c>
      <c r="P12" s="52" t="str">
        <f>IF(D12=0,"-",(N12+O12))</f>
        <v>-</v>
      </c>
      <c r="Q12" s="113"/>
    </row>
    <row r="13" spans="1:92" s="96" customFormat="1" ht="27.6" x14ac:dyDescent="0.3">
      <c r="A13" s="106">
        <v>6</v>
      </c>
      <c r="B13" s="105" t="s">
        <v>205</v>
      </c>
      <c r="C13" s="70">
        <v>0</v>
      </c>
      <c r="D13" s="70">
        <v>23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50">
        <v>0</v>
      </c>
      <c r="K13" s="70">
        <v>0</v>
      </c>
      <c r="L13" s="51">
        <f>IF(D13=0,"-",D13-(J13+K13))</f>
        <v>23</v>
      </c>
      <c r="M13" s="52">
        <v>0</v>
      </c>
      <c r="N13" s="52">
        <v>0</v>
      </c>
      <c r="O13" s="52">
        <v>1</v>
      </c>
      <c r="P13" s="52">
        <v>1</v>
      </c>
      <c r="Q13" s="108" t="s">
        <v>158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</row>
  </sheetData>
  <mergeCells count="16">
    <mergeCell ref="A7:Q7"/>
    <mergeCell ref="N1:Q1"/>
    <mergeCell ref="Q4:Q5"/>
    <mergeCell ref="M4:M5"/>
    <mergeCell ref="N4:N5"/>
    <mergeCell ref="E4:I4"/>
    <mergeCell ref="J4:J5"/>
    <mergeCell ref="K4:K5"/>
    <mergeCell ref="L4:L5"/>
    <mergeCell ref="A2:Q2"/>
    <mergeCell ref="O3:Q3"/>
    <mergeCell ref="A4:A5"/>
    <mergeCell ref="B4:B5"/>
    <mergeCell ref="C4:D4"/>
    <mergeCell ref="O4:O5"/>
    <mergeCell ref="P4:P5"/>
  </mergeCells>
  <dataValidations count="3">
    <dataValidation type="whole" allowBlank="1" showInputMessage="1" showErrorMessage="1" sqref="C8:I13" xr:uid="{3A346822-55D4-4B07-9D7D-E98AA017DF37}">
      <formula1>0</formula1>
      <formula2>50000</formula2>
    </dataValidation>
    <dataValidation type="whole" allowBlank="1" showInputMessage="1" showErrorMessage="1" errorTitle="Value Between 0 to 200000" sqref="L8:L13" xr:uid="{644C9BD6-76B2-478E-AAF2-FB9925E92EE6}">
      <formula1>0</formula1>
      <formula2>200000</formula2>
    </dataValidation>
    <dataValidation allowBlank="1" showInputMessage="1" showErrorMessage="1" promptTitle="FORMULA USED" prompt="Don't Ammend Here" sqref="B8:B13" xr:uid="{4AD15769-5E58-4D92-805E-D7C3C65E09E2}"/>
  </dataValidations>
  <printOptions horizontalCentered="1"/>
  <pageMargins left="0.47244094488188981" right="0.43307086614173229" top="0.51181102362204722" bottom="0.23622047244094491" header="0.31496062992125984" footer="0.31496062992125984"/>
  <pageSetup paperSize="9" scale="70" orientation="landscape" r:id="rId1"/>
  <colBreaks count="1" manualBreakCount="1">
    <brk id="17" min="1" max="2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8173-59F1-4B10-A909-860616B0879A}">
  <dimension ref="A1:P137"/>
  <sheetViews>
    <sheetView view="pageBreakPreview" zoomScale="70" zoomScaleSheetLayoutView="70" workbookViewId="0">
      <selection activeCell="B74" sqref="B74:C74"/>
    </sheetView>
  </sheetViews>
  <sheetFormatPr defaultColWidth="9.109375" defaultRowHeight="13.8" x14ac:dyDescent="0.3"/>
  <cols>
    <col min="1" max="1" width="8.33203125" style="15" customWidth="1"/>
    <col min="2" max="2" width="9.109375" style="15"/>
    <col min="3" max="3" width="25.33203125" style="15" bestFit="1" customWidth="1"/>
    <col min="4" max="5" width="9.109375" style="15"/>
    <col min="6" max="6" width="10.44140625" style="15" customWidth="1"/>
    <col min="7" max="7" width="11.44140625" style="15" customWidth="1"/>
    <col min="8" max="8" width="7.5546875" style="15" customWidth="1"/>
    <col min="9" max="9" width="7.88671875" style="15" customWidth="1"/>
    <col min="10" max="10" width="7.109375" style="15" customWidth="1"/>
    <col min="11" max="13" width="9.109375" style="15"/>
    <col min="14" max="15" width="11.44140625" style="15" bestFit="1" customWidth="1"/>
    <col min="16" max="16" width="28.33203125" style="15" customWidth="1"/>
    <col min="17" max="16384" width="9.109375" style="15"/>
  </cols>
  <sheetData>
    <row r="1" spans="1:16" ht="50.25" customHeight="1" x14ac:dyDescent="0.3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7" t="s">
        <v>170</v>
      </c>
      <c r="N1" s="157"/>
      <c r="O1" s="157"/>
      <c r="P1" s="157"/>
    </row>
    <row r="2" spans="1:16" ht="18.75" customHeight="1" x14ac:dyDescent="0.3">
      <c r="A2" s="172" t="s">
        <v>148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3" spans="1:16" s="20" customFormat="1" ht="22.5" customHeight="1" x14ac:dyDescent="0.3">
      <c r="A3" s="171" t="s">
        <v>0</v>
      </c>
      <c r="B3" s="170" t="s">
        <v>16</v>
      </c>
      <c r="C3" s="170"/>
      <c r="D3" s="171" t="s">
        <v>17</v>
      </c>
      <c r="E3" s="171"/>
      <c r="F3" s="171" t="s">
        <v>18</v>
      </c>
      <c r="G3" s="171"/>
      <c r="H3" s="171"/>
      <c r="I3" s="170" t="s">
        <v>19</v>
      </c>
      <c r="J3" s="170" t="s">
        <v>20</v>
      </c>
      <c r="K3" s="170" t="s">
        <v>21</v>
      </c>
      <c r="L3" s="170" t="s">
        <v>22</v>
      </c>
      <c r="M3" s="170" t="s">
        <v>23</v>
      </c>
      <c r="N3" s="170" t="s">
        <v>24</v>
      </c>
      <c r="O3" s="170" t="s">
        <v>25</v>
      </c>
      <c r="P3" s="173" t="s">
        <v>26</v>
      </c>
    </row>
    <row r="4" spans="1:16" s="20" customFormat="1" ht="32.25" customHeight="1" x14ac:dyDescent="0.3">
      <c r="A4" s="171"/>
      <c r="B4" s="170"/>
      <c r="C4" s="170"/>
      <c r="D4" s="88" t="s">
        <v>27</v>
      </c>
      <c r="E4" s="88" t="s">
        <v>28</v>
      </c>
      <c r="F4" s="89" t="s">
        <v>29</v>
      </c>
      <c r="G4" s="88" t="s">
        <v>140</v>
      </c>
      <c r="H4" s="59" t="s">
        <v>30</v>
      </c>
      <c r="I4" s="170"/>
      <c r="J4" s="170"/>
      <c r="K4" s="170"/>
      <c r="L4" s="170"/>
      <c r="M4" s="170"/>
      <c r="N4" s="170"/>
      <c r="O4" s="170"/>
      <c r="P4" s="174"/>
    </row>
    <row r="5" spans="1:16" s="20" customFormat="1" ht="22.5" customHeight="1" x14ac:dyDescent="0.3">
      <c r="A5" s="89" t="s">
        <v>1</v>
      </c>
      <c r="B5" s="170" t="s">
        <v>2</v>
      </c>
      <c r="C5" s="170"/>
      <c r="D5" s="89" t="s">
        <v>3</v>
      </c>
      <c r="E5" s="89" t="s">
        <v>4</v>
      </c>
      <c r="F5" s="89" t="s">
        <v>5</v>
      </c>
      <c r="G5" s="89" t="s">
        <v>6</v>
      </c>
      <c r="H5" s="89" t="s">
        <v>7</v>
      </c>
      <c r="I5" s="89" t="s">
        <v>8</v>
      </c>
      <c r="J5" s="89" t="s">
        <v>9</v>
      </c>
      <c r="K5" s="89" t="s">
        <v>10</v>
      </c>
      <c r="L5" s="89" t="s">
        <v>11</v>
      </c>
      <c r="M5" s="89" t="s">
        <v>12</v>
      </c>
      <c r="N5" s="89" t="s">
        <v>13</v>
      </c>
      <c r="O5" s="89" t="s">
        <v>31</v>
      </c>
      <c r="P5" s="89" t="s">
        <v>32</v>
      </c>
    </row>
    <row r="6" spans="1:16" s="20" customFormat="1" ht="29.25" hidden="1" customHeight="1" x14ac:dyDescent="0.3">
      <c r="A6" s="28">
        <v>1</v>
      </c>
      <c r="B6" s="91" t="s">
        <v>63</v>
      </c>
      <c r="C6" s="91"/>
      <c r="D6" s="160"/>
      <c r="E6" s="160"/>
      <c r="F6" s="160"/>
      <c r="G6" s="160"/>
      <c r="H6" s="160"/>
      <c r="I6" s="160"/>
      <c r="J6" s="160"/>
      <c r="K6" s="169"/>
      <c r="L6" s="161"/>
      <c r="M6" s="161"/>
      <c r="N6" s="161"/>
      <c r="O6" s="161"/>
      <c r="P6" s="159"/>
    </row>
    <row r="7" spans="1:16" s="20" customFormat="1" ht="29.25" hidden="1" customHeight="1" x14ac:dyDescent="0.3">
      <c r="A7" s="28"/>
      <c r="B7" s="29" t="s">
        <v>1</v>
      </c>
      <c r="C7" s="29" t="s">
        <v>64</v>
      </c>
      <c r="D7" s="33"/>
      <c r="E7" s="33"/>
      <c r="F7" s="33"/>
      <c r="G7" s="33"/>
      <c r="H7" s="33"/>
      <c r="I7" s="160"/>
      <c r="J7" s="160"/>
      <c r="K7" s="169"/>
      <c r="L7" s="161"/>
      <c r="M7" s="161"/>
      <c r="N7" s="161"/>
      <c r="O7" s="161"/>
      <c r="P7" s="159"/>
    </row>
    <row r="8" spans="1:16" s="20" customFormat="1" ht="29.25" hidden="1" customHeight="1" x14ac:dyDescent="0.3">
      <c r="A8" s="28"/>
      <c r="B8" s="155" t="s">
        <v>2</v>
      </c>
      <c r="C8" s="155" t="s">
        <v>65</v>
      </c>
      <c r="D8" s="33"/>
      <c r="E8" s="33"/>
      <c r="F8" s="33"/>
      <c r="G8" s="33"/>
      <c r="H8" s="33"/>
      <c r="I8" s="33"/>
      <c r="J8" s="33"/>
      <c r="K8" s="35"/>
      <c r="L8" s="34"/>
      <c r="M8" s="34"/>
      <c r="N8" s="34"/>
      <c r="O8" s="34"/>
      <c r="P8" s="47"/>
    </row>
    <row r="9" spans="1:16" s="20" customFormat="1" ht="29.25" hidden="1" customHeight="1" x14ac:dyDescent="0.3">
      <c r="A9" s="28"/>
      <c r="B9" s="29" t="s">
        <v>3</v>
      </c>
      <c r="C9" s="29" t="s">
        <v>44</v>
      </c>
      <c r="D9" s="33"/>
      <c r="E9" s="33"/>
      <c r="F9" s="33"/>
      <c r="G9" s="33"/>
      <c r="H9" s="33"/>
      <c r="I9" s="33"/>
      <c r="J9" s="33"/>
      <c r="K9" s="35"/>
      <c r="L9" s="34"/>
      <c r="M9" s="34"/>
      <c r="N9" s="34"/>
      <c r="O9" s="34"/>
      <c r="P9" s="47"/>
    </row>
    <row r="10" spans="1:16" s="20" customFormat="1" ht="29.25" hidden="1" customHeight="1" x14ac:dyDescent="0.3">
      <c r="A10" s="28"/>
      <c r="B10" s="29" t="s">
        <v>4</v>
      </c>
      <c r="C10" s="29" t="s">
        <v>66</v>
      </c>
      <c r="D10" s="33"/>
      <c r="E10" s="33"/>
      <c r="F10" s="33"/>
      <c r="G10" s="33"/>
      <c r="H10" s="33"/>
      <c r="I10" s="33"/>
      <c r="J10" s="33"/>
      <c r="K10" s="35"/>
      <c r="L10" s="34"/>
      <c r="M10" s="34"/>
      <c r="N10" s="34"/>
      <c r="O10" s="34"/>
      <c r="P10" s="47"/>
    </row>
    <row r="11" spans="1:16" s="20" customFormat="1" ht="29.25" hidden="1" customHeight="1" x14ac:dyDescent="0.3">
      <c r="A11" s="168">
        <v>2</v>
      </c>
      <c r="B11" s="162" t="s">
        <v>67</v>
      </c>
      <c r="C11" s="162"/>
      <c r="D11" s="33"/>
      <c r="E11" s="33"/>
      <c r="F11" s="33"/>
      <c r="G11" s="33"/>
      <c r="H11" s="33"/>
      <c r="I11" s="33"/>
      <c r="J11" s="33"/>
      <c r="K11" s="35"/>
      <c r="L11" s="34"/>
      <c r="M11" s="34"/>
      <c r="N11" s="34"/>
      <c r="O11" s="34"/>
      <c r="P11" s="47"/>
    </row>
    <row r="12" spans="1:16" s="20" customFormat="1" ht="29.25" hidden="1" customHeight="1" x14ac:dyDescent="0.3">
      <c r="A12" s="168"/>
      <c r="B12" s="29" t="s">
        <v>1</v>
      </c>
      <c r="C12" s="29" t="s">
        <v>68</v>
      </c>
      <c r="D12" s="33"/>
      <c r="E12" s="33"/>
      <c r="F12" s="33"/>
      <c r="G12" s="33"/>
      <c r="H12" s="33"/>
      <c r="I12" s="33"/>
      <c r="J12" s="33"/>
      <c r="K12" s="35"/>
      <c r="L12" s="34"/>
      <c r="M12" s="34"/>
      <c r="N12" s="34"/>
      <c r="O12" s="34"/>
      <c r="P12" s="47"/>
    </row>
    <row r="13" spans="1:16" s="20" customFormat="1" ht="29.25" hidden="1" customHeight="1" x14ac:dyDescent="0.3">
      <c r="A13" s="168"/>
      <c r="B13" s="29" t="s">
        <v>2</v>
      </c>
      <c r="C13" s="29" t="s">
        <v>69</v>
      </c>
      <c r="D13" s="33"/>
      <c r="E13" s="33"/>
      <c r="F13" s="33"/>
      <c r="G13" s="33"/>
      <c r="H13" s="33"/>
      <c r="I13" s="33"/>
      <c r="J13" s="33"/>
      <c r="K13" s="35"/>
      <c r="L13" s="34"/>
      <c r="M13" s="34"/>
      <c r="N13" s="34"/>
      <c r="O13" s="34"/>
      <c r="P13" s="47"/>
    </row>
    <row r="14" spans="1:16" s="20" customFormat="1" ht="29.25" hidden="1" customHeight="1" x14ac:dyDescent="0.3">
      <c r="A14" s="168"/>
      <c r="B14" s="29" t="s">
        <v>3</v>
      </c>
      <c r="C14" s="29" t="s">
        <v>70</v>
      </c>
      <c r="D14" s="33"/>
      <c r="E14" s="33"/>
      <c r="F14" s="33"/>
      <c r="G14" s="33"/>
      <c r="H14" s="33"/>
      <c r="I14" s="33"/>
      <c r="J14" s="33"/>
      <c r="K14" s="35"/>
      <c r="L14" s="34"/>
      <c r="M14" s="34"/>
      <c r="N14" s="34"/>
      <c r="O14" s="34"/>
      <c r="P14" s="47"/>
    </row>
    <row r="15" spans="1:16" s="20" customFormat="1" ht="29.25" hidden="1" customHeight="1" x14ac:dyDescent="0.3">
      <c r="A15" s="168">
        <v>3</v>
      </c>
      <c r="B15" s="162" t="s">
        <v>71</v>
      </c>
      <c r="C15" s="162"/>
      <c r="D15" s="33"/>
      <c r="E15" s="33"/>
      <c r="F15" s="33"/>
      <c r="G15" s="33"/>
      <c r="H15" s="33"/>
      <c r="I15" s="33"/>
      <c r="J15" s="33"/>
      <c r="K15" s="35"/>
      <c r="L15" s="34"/>
      <c r="M15" s="34"/>
      <c r="N15" s="34"/>
      <c r="O15" s="34"/>
      <c r="P15" s="47"/>
    </row>
    <row r="16" spans="1:16" s="20" customFormat="1" ht="29.25" hidden="1" customHeight="1" x14ac:dyDescent="0.3">
      <c r="A16" s="168"/>
      <c r="B16" s="29" t="s">
        <v>1</v>
      </c>
      <c r="C16" s="29" t="s">
        <v>72</v>
      </c>
      <c r="D16" s="33"/>
      <c r="E16" s="33"/>
      <c r="F16" s="33"/>
      <c r="G16" s="33"/>
      <c r="H16" s="33"/>
      <c r="I16" s="33"/>
      <c r="J16" s="33"/>
      <c r="K16" s="35"/>
      <c r="L16" s="34"/>
      <c r="M16" s="34"/>
      <c r="N16" s="34"/>
      <c r="O16" s="34"/>
      <c r="P16" s="47"/>
    </row>
    <row r="17" spans="1:16" s="20" customFormat="1" ht="29.25" hidden="1" customHeight="1" x14ac:dyDescent="0.3">
      <c r="A17" s="168"/>
      <c r="B17" s="29" t="s">
        <v>2</v>
      </c>
      <c r="C17" s="29" t="s">
        <v>73</v>
      </c>
      <c r="D17" s="33"/>
      <c r="E17" s="33"/>
      <c r="F17" s="33"/>
      <c r="G17" s="33"/>
      <c r="H17" s="33"/>
      <c r="I17" s="33"/>
      <c r="J17" s="33"/>
      <c r="K17" s="35"/>
      <c r="L17" s="34"/>
      <c r="M17" s="34"/>
      <c r="N17" s="34"/>
      <c r="O17" s="34"/>
      <c r="P17" s="47"/>
    </row>
    <row r="18" spans="1:16" s="20" customFormat="1" ht="29.25" hidden="1" customHeight="1" x14ac:dyDescent="0.3">
      <c r="A18" s="168"/>
      <c r="B18" s="29" t="s">
        <v>3</v>
      </c>
      <c r="C18" s="29" t="s">
        <v>74</v>
      </c>
      <c r="D18" s="33"/>
      <c r="E18" s="33"/>
      <c r="F18" s="33"/>
      <c r="G18" s="33"/>
      <c r="H18" s="33"/>
      <c r="I18" s="33"/>
      <c r="J18" s="33"/>
      <c r="K18" s="35"/>
      <c r="L18" s="34"/>
      <c r="M18" s="34"/>
      <c r="N18" s="34"/>
      <c r="O18" s="34"/>
      <c r="P18" s="47"/>
    </row>
    <row r="19" spans="1:16" s="20" customFormat="1" ht="29.25" hidden="1" customHeight="1" x14ac:dyDescent="0.3">
      <c r="A19" s="168"/>
      <c r="B19" s="29" t="s">
        <v>4</v>
      </c>
      <c r="C19" s="29" t="s">
        <v>75</v>
      </c>
      <c r="D19" s="33"/>
      <c r="E19" s="33"/>
      <c r="F19" s="33"/>
      <c r="G19" s="33"/>
      <c r="H19" s="33"/>
      <c r="I19" s="33"/>
      <c r="J19" s="33"/>
      <c r="K19" s="35"/>
      <c r="L19" s="34"/>
      <c r="M19" s="34"/>
      <c r="N19" s="34"/>
      <c r="O19" s="34"/>
      <c r="P19" s="47"/>
    </row>
    <row r="20" spans="1:16" s="20" customFormat="1" ht="29.25" hidden="1" customHeight="1" x14ac:dyDescent="0.3">
      <c r="A20" s="168"/>
      <c r="B20" s="29" t="s">
        <v>4</v>
      </c>
      <c r="C20" s="29" t="s">
        <v>76</v>
      </c>
      <c r="D20" s="33"/>
      <c r="E20" s="33"/>
      <c r="F20" s="33"/>
      <c r="G20" s="33"/>
      <c r="H20" s="33"/>
      <c r="I20" s="33"/>
      <c r="J20" s="33"/>
      <c r="K20" s="35"/>
      <c r="L20" s="34"/>
      <c r="M20" s="34"/>
      <c r="N20" s="34"/>
      <c r="O20" s="34"/>
      <c r="P20" s="47"/>
    </row>
    <row r="21" spans="1:16" s="20" customFormat="1" ht="29.25" hidden="1" customHeight="1" x14ac:dyDescent="0.3">
      <c r="A21" s="168">
        <v>4</v>
      </c>
      <c r="B21" s="162" t="s">
        <v>77</v>
      </c>
      <c r="C21" s="162"/>
      <c r="D21" s="33"/>
      <c r="E21" s="33"/>
      <c r="F21" s="33"/>
      <c r="G21" s="33"/>
      <c r="H21" s="33"/>
      <c r="I21" s="33"/>
      <c r="J21" s="33"/>
      <c r="K21" s="35"/>
      <c r="L21" s="34"/>
      <c r="M21" s="34"/>
      <c r="N21" s="34"/>
      <c r="O21" s="34"/>
      <c r="P21" s="47"/>
    </row>
    <row r="22" spans="1:16" s="20" customFormat="1" ht="29.25" hidden="1" customHeight="1" x14ac:dyDescent="0.3">
      <c r="A22" s="168"/>
      <c r="B22" s="29" t="s">
        <v>1</v>
      </c>
      <c r="C22" s="29" t="s">
        <v>78</v>
      </c>
      <c r="D22" s="33"/>
      <c r="E22" s="33"/>
      <c r="F22" s="33"/>
      <c r="G22" s="33"/>
      <c r="H22" s="33"/>
      <c r="I22" s="33"/>
      <c r="J22" s="33"/>
      <c r="K22" s="35"/>
      <c r="L22" s="34"/>
      <c r="M22" s="34"/>
      <c r="N22" s="34"/>
      <c r="O22" s="34"/>
      <c r="P22" s="47"/>
    </row>
    <row r="23" spans="1:16" s="20" customFormat="1" ht="29.25" hidden="1" customHeight="1" x14ac:dyDescent="0.3">
      <c r="A23" s="168"/>
      <c r="B23" s="29" t="s">
        <v>2</v>
      </c>
      <c r="C23" s="29" t="s">
        <v>37</v>
      </c>
      <c r="D23" s="33"/>
      <c r="E23" s="33"/>
      <c r="F23" s="33"/>
      <c r="G23" s="33"/>
      <c r="H23" s="33"/>
      <c r="I23" s="33"/>
      <c r="J23" s="33"/>
      <c r="K23" s="35"/>
      <c r="L23" s="34"/>
      <c r="M23" s="34"/>
      <c r="N23" s="34"/>
      <c r="O23" s="34"/>
      <c r="P23" s="47"/>
    </row>
    <row r="24" spans="1:16" s="20" customFormat="1" ht="29.25" hidden="1" customHeight="1" x14ac:dyDescent="0.3">
      <c r="A24" s="168"/>
      <c r="B24" s="29" t="s">
        <v>3</v>
      </c>
      <c r="C24" s="29" t="s">
        <v>79</v>
      </c>
      <c r="D24" s="33"/>
      <c r="E24" s="33"/>
      <c r="F24" s="33"/>
      <c r="G24" s="33"/>
      <c r="H24" s="33"/>
      <c r="I24" s="33"/>
      <c r="J24" s="33"/>
      <c r="K24" s="35"/>
      <c r="L24" s="34"/>
      <c r="M24" s="34"/>
      <c r="N24" s="34"/>
      <c r="O24" s="34"/>
      <c r="P24" s="47"/>
    </row>
    <row r="25" spans="1:16" s="20" customFormat="1" ht="29.25" hidden="1" customHeight="1" x14ac:dyDescent="0.3">
      <c r="A25" s="168"/>
      <c r="B25" s="29" t="s">
        <v>4</v>
      </c>
      <c r="C25" s="29" t="s">
        <v>80</v>
      </c>
      <c r="D25" s="33"/>
      <c r="E25" s="33"/>
      <c r="F25" s="33"/>
      <c r="G25" s="33"/>
      <c r="H25" s="33"/>
      <c r="I25" s="33"/>
      <c r="J25" s="33"/>
      <c r="K25" s="35"/>
      <c r="L25" s="34"/>
      <c r="M25" s="34"/>
      <c r="N25" s="34"/>
      <c r="O25" s="34"/>
      <c r="P25" s="47"/>
    </row>
    <row r="26" spans="1:16" s="20" customFormat="1" ht="29.25" hidden="1" customHeight="1" x14ac:dyDescent="0.3">
      <c r="A26" s="168">
        <v>5</v>
      </c>
      <c r="B26" s="162" t="s">
        <v>81</v>
      </c>
      <c r="C26" s="162"/>
      <c r="D26" s="33"/>
      <c r="E26" s="33"/>
      <c r="F26" s="33"/>
      <c r="G26" s="33"/>
      <c r="H26" s="33"/>
      <c r="I26" s="33"/>
      <c r="J26" s="33"/>
      <c r="K26" s="35"/>
      <c r="L26" s="34"/>
      <c r="M26" s="34"/>
      <c r="N26" s="34"/>
      <c r="O26" s="34"/>
      <c r="P26" s="47"/>
    </row>
    <row r="27" spans="1:16" s="20" customFormat="1" ht="29.25" hidden="1" customHeight="1" x14ac:dyDescent="0.3">
      <c r="A27" s="168"/>
      <c r="B27" s="29" t="s">
        <v>1</v>
      </c>
      <c r="C27" s="29" t="s">
        <v>38</v>
      </c>
      <c r="D27" s="33"/>
      <c r="E27" s="33"/>
      <c r="F27" s="33"/>
      <c r="G27" s="33"/>
      <c r="H27" s="33"/>
      <c r="I27" s="33"/>
      <c r="J27" s="33"/>
      <c r="K27" s="35"/>
      <c r="L27" s="34"/>
      <c r="M27" s="34"/>
      <c r="N27" s="34"/>
      <c r="O27" s="34"/>
      <c r="P27" s="47"/>
    </row>
    <row r="28" spans="1:16" s="20" customFormat="1" ht="29.25" hidden="1" customHeight="1" x14ac:dyDescent="0.3">
      <c r="A28" s="168"/>
      <c r="B28" s="29" t="s">
        <v>2</v>
      </c>
      <c r="C28" s="29" t="s">
        <v>82</v>
      </c>
      <c r="D28" s="33"/>
      <c r="E28" s="33"/>
      <c r="F28" s="33"/>
      <c r="G28" s="33"/>
      <c r="H28" s="33"/>
      <c r="I28" s="33"/>
      <c r="J28" s="33"/>
      <c r="K28" s="35"/>
      <c r="L28" s="34"/>
      <c r="M28" s="34"/>
      <c r="N28" s="34"/>
      <c r="O28" s="34"/>
      <c r="P28" s="47"/>
    </row>
    <row r="29" spans="1:16" s="20" customFormat="1" ht="29.25" hidden="1" customHeight="1" x14ac:dyDescent="0.3">
      <c r="A29" s="168">
        <v>6</v>
      </c>
      <c r="B29" s="162" t="s">
        <v>83</v>
      </c>
      <c r="C29" s="162"/>
      <c r="D29" s="33"/>
      <c r="E29" s="33"/>
      <c r="F29" s="33"/>
      <c r="G29" s="33"/>
      <c r="H29" s="33"/>
      <c r="I29" s="33"/>
      <c r="J29" s="33"/>
      <c r="K29" s="35"/>
      <c r="L29" s="34"/>
      <c r="M29" s="34"/>
      <c r="N29" s="34"/>
      <c r="O29" s="34"/>
      <c r="P29" s="47"/>
    </row>
    <row r="30" spans="1:16" s="20" customFormat="1" ht="29.25" hidden="1" customHeight="1" x14ac:dyDescent="0.3">
      <c r="A30" s="168"/>
      <c r="B30" s="29" t="s">
        <v>1</v>
      </c>
      <c r="C30" s="29" t="s">
        <v>84</v>
      </c>
      <c r="D30" s="33"/>
      <c r="E30" s="33"/>
      <c r="F30" s="33"/>
      <c r="G30" s="33"/>
      <c r="H30" s="33"/>
      <c r="I30" s="33"/>
      <c r="J30" s="33"/>
      <c r="K30" s="35"/>
      <c r="L30" s="34"/>
      <c r="M30" s="34"/>
      <c r="N30" s="34"/>
      <c r="O30" s="34"/>
      <c r="P30" s="47"/>
    </row>
    <row r="31" spans="1:16" s="20" customFormat="1" ht="29.25" hidden="1" customHeight="1" x14ac:dyDescent="0.3">
      <c r="A31" s="168"/>
      <c r="B31" s="29" t="s">
        <v>2</v>
      </c>
      <c r="C31" s="29" t="s">
        <v>85</v>
      </c>
      <c r="D31" s="33"/>
      <c r="E31" s="33"/>
      <c r="F31" s="33"/>
      <c r="G31" s="33"/>
      <c r="H31" s="33"/>
      <c r="I31" s="33"/>
      <c r="J31" s="33"/>
      <c r="K31" s="35"/>
      <c r="L31" s="34"/>
      <c r="M31" s="34"/>
      <c r="N31" s="34"/>
      <c r="O31" s="34"/>
      <c r="P31" s="47"/>
    </row>
    <row r="32" spans="1:16" s="20" customFormat="1" ht="29.25" hidden="1" customHeight="1" x14ac:dyDescent="0.3">
      <c r="A32" s="168"/>
      <c r="B32" s="29" t="s">
        <v>3</v>
      </c>
      <c r="C32" s="29" t="s">
        <v>86</v>
      </c>
      <c r="D32" s="33"/>
      <c r="E32" s="33"/>
      <c r="F32" s="33"/>
      <c r="G32" s="33"/>
      <c r="H32" s="33"/>
      <c r="I32" s="33"/>
      <c r="J32" s="33"/>
      <c r="K32" s="35"/>
      <c r="L32" s="34"/>
      <c r="M32" s="34"/>
      <c r="N32" s="34"/>
      <c r="O32" s="34"/>
      <c r="P32" s="47"/>
    </row>
    <row r="33" spans="1:16" s="20" customFormat="1" ht="29.25" hidden="1" customHeight="1" x14ac:dyDescent="0.3">
      <c r="A33" s="168"/>
      <c r="B33" s="29" t="s">
        <v>4</v>
      </c>
      <c r="C33" s="29" t="s">
        <v>87</v>
      </c>
      <c r="D33" s="33"/>
      <c r="E33" s="33"/>
      <c r="F33" s="33"/>
      <c r="G33" s="33"/>
      <c r="H33" s="33"/>
      <c r="I33" s="33"/>
      <c r="J33" s="33"/>
      <c r="K33" s="35"/>
      <c r="L33" s="34"/>
      <c r="M33" s="34"/>
      <c r="N33" s="34"/>
      <c r="O33" s="34"/>
      <c r="P33" s="47"/>
    </row>
    <row r="34" spans="1:16" s="20" customFormat="1" ht="29.25" hidden="1" customHeight="1" x14ac:dyDescent="0.3">
      <c r="A34" s="168"/>
      <c r="B34" s="29" t="s">
        <v>5</v>
      </c>
      <c r="C34" s="29" t="s">
        <v>76</v>
      </c>
      <c r="D34" s="33"/>
      <c r="E34" s="33"/>
      <c r="F34" s="33"/>
      <c r="G34" s="33"/>
      <c r="H34" s="33"/>
      <c r="I34" s="33"/>
      <c r="J34" s="33"/>
      <c r="K34" s="35"/>
      <c r="L34" s="34"/>
      <c r="M34" s="34"/>
      <c r="N34" s="34"/>
      <c r="O34" s="34"/>
      <c r="P34" s="47"/>
    </row>
    <row r="35" spans="1:16" s="20" customFormat="1" ht="29.25" hidden="1" customHeight="1" x14ac:dyDescent="0.3">
      <c r="A35" s="168">
        <v>7</v>
      </c>
      <c r="B35" s="162" t="s">
        <v>88</v>
      </c>
      <c r="C35" s="162"/>
      <c r="D35" s="33"/>
      <c r="E35" s="33"/>
      <c r="F35" s="33"/>
      <c r="G35" s="33"/>
      <c r="H35" s="33"/>
      <c r="I35" s="33"/>
      <c r="J35" s="33"/>
      <c r="K35" s="35"/>
      <c r="L35" s="34"/>
      <c r="M35" s="34"/>
      <c r="N35" s="34"/>
      <c r="O35" s="34"/>
      <c r="P35" s="47"/>
    </row>
    <row r="36" spans="1:16" s="20" customFormat="1" ht="29.25" hidden="1" customHeight="1" x14ac:dyDescent="0.3">
      <c r="A36" s="168"/>
      <c r="B36" s="29" t="s">
        <v>1</v>
      </c>
      <c r="C36" s="29" t="s">
        <v>89</v>
      </c>
      <c r="D36" s="33"/>
      <c r="E36" s="33"/>
      <c r="F36" s="33"/>
      <c r="G36" s="33"/>
      <c r="H36" s="33"/>
      <c r="I36" s="33"/>
      <c r="J36" s="33"/>
      <c r="K36" s="35"/>
      <c r="L36" s="34"/>
      <c r="M36" s="34"/>
      <c r="N36" s="34"/>
      <c r="O36" s="34"/>
      <c r="P36" s="47"/>
    </row>
    <row r="37" spans="1:16" s="20" customFormat="1" ht="29.25" hidden="1" customHeight="1" x14ac:dyDescent="0.3">
      <c r="A37" s="168"/>
      <c r="B37" s="29" t="s">
        <v>2</v>
      </c>
      <c r="C37" s="29" t="s">
        <v>90</v>
      </c>
      <c r="D37" s="33"/>
      <c r="E37" s="33"/>
      <c r="F37" s="33"/>
      <c r="G37" s="33"/>
      <c r="H37" s="33"/>
      <c r="I37" s="33"/>
      <c r="J37" s="33"/>
      <c r="K37" s="35"/>
      <c r="L37" s="34"/>
      <c r="M37" s="34"/>
      <c r="N37" s="34"/>
      <c r="O37" s="34"/>
      <c r="P37" s="47"/>
    </row>
    <row r="38" spans="1:16" s="20" customFormat="1" ht="29.25" hidden="1" customHeight="1" x14ac:dyDescent="0.3">
      <c r="A38" s="168"/>
      <c r="B38" s="29" t="s">
        <v>3</v>
      </c>
      <c r="C38" s="29" t="s">
        <v>36</v>
      </c>
      <c r="D38" s="33"/>
      <c r="E38" s="33"/>
      <c r="F38" s="33"/>
      <c r="G38" s="33"/>
      <c r="H38" s="33"/>
      <c r="I38" s="33"/>
      <c r="J38" s="33"/>
      <c r="K38" s="35"/>
      <c r="L38" s="34"/>
      <c r="M38" s="34"/>
      <c r="N38" s="34"/>
      <c r="O38" s="34"/>
      <c r="P38" s="47"/>
    </row>
    <row r="39" spans="1:16" s="20" customFormat="1" ht="29.25" hidden="1" customHeight="1" x14ac:dyDescent="0.3">
      <c r="A39" s="168"/>
      <c r="B39" s="29" t="s">
        <v>4</v>
      </c>
      <c r="C39" s="29" t="s">
        <v>91</v>
      </c>
      <c r="D39" s="33"/>
      <c r="E39" s="33"/>
      <c r="F39" s="33"/>
      <c r="G39" s="33"/>
      <c r="H39" s="33"/>
      <c r="I39" s="33"/>
      <c r="J39" s="33"/>
      <c r="K39" s="35"/>
      <c r="L39" s="34"/>
      <c r="M39" s="34"/>
      <c r="N39" s="34"/>
      <c r="O39" s="34"/>
      <c r="P39" s="47"/>
    </row>
    <row r="40" spans="1:16" s="20" customFormat="1" ht="29.25" hidden="1" customHeight="1" x14ac:dyDescent="0.3">
      <c r="A40" s="168">
        <v>8</v>
      </c>
      <c r="B40" s="162" t="s">
        <v>92</v>
      </c>
      <c r="C40" s="162"/>
      <c r="D40" s="33"/>
      <c r="E40" s="33"/>
      <c r="F40" s="33"/>
      <c r="G40" s="33"/>
      <c r="H40" s="33"/>
      <c r="I40" s="33"/>
      <c r="J40" s="33"/>
      <c r="K40" s="35"/>
      <c r="L40" s="34"/>
      <c r="M40" s="34"/>
      <c r="N40" s="34"/>
      <c r="O40" s="34"/>
      <c r="P40" s="47"/>
    </row>
    <row r="41" spans="1:16" s="20" customFormat="1" ht="29.25" hidden="1" customHeight="1" x14ac:dyDescent="0.3">
      <c r="A41" s="168"/>
      <c r="B41" s="29" t="s">
        <v>1</v>
      </c>
      <c r="C41" s="29" t="s">
        <v>93</v>
      </c>
      <c r="D41" s="33"/>
      <c r="E41" s="33"/>
      <c r="F41" s="33"/>
      <c r="G41" s="33"/>
      <c r="H41" s="33"/>
      <c r="I41" s="33"/>
      <c r="J41" s="33"/>
      <c r="K41" s="35"/>
      <c r="L41" s="34"/>
      <c r="M41" s="34"/>
      <c r="N41" s="34"/>
      <c r="O41" s="34"/>
      <c r="P41" s="47"/>
    </row>
    <row r="42" spans="1:16" s="20" customFormat="1" ht="29.25" hidden="1" customHeight="1" x14ac:dyDescent="0.3">
      <c r="A42" s="168"/>
      <c r="B42" s="29" t="s">
        <v>2</v>
      </c>
      <c r="C42" s="29" t="s">
        <v>94</v>
      </c>
      <c r="D42" s="33"/>
      <c r="E42" s="33"/>
      <c r="F42" s="33"/>
      <c r="G42" s="33"/>
      <c r="H42" s="33"/>
      <c r="I42" s="33"/>
      <c r="J42" s="33"/>
      <c r="K42" s="35"/>
      <c r="L42" s="34"/>
      <c r="M42" s="34"/>
      <c r="N42" s="34"/>
      <c r="O42" s="34"/>
      <c r="P42" s="47"/>
    </row>
    <row r="43" spans="1:16" s="20" customFormat="1" ht="29.25" hidden="1" customHeight="1" x14ac:dyDescent="0.3">
      <c r="A43" s="168">
        <v>9</v>
      </c>
      <c r="B43" s="162" t="s">
        <v>95</v>
      </c>
      <c r="C43" s="162"/>
      <c r="D43" s="33"/>
      <c r="E43" s="33"/>
      <c r="F43" s="33"/>
      <c r="G43" s="33"/>
      <c r="H43" s="33"/>
      <c r="I43" s="33"/>
      <c r="J43" s="33"/>
      <c r="K43" s="35"/>
      <c r="L43" s="34"/>
      <c r="M43" s="34"/>
      <c r="N43" s="34"/>
      <c r="O43" s="34"/>
      <c r="P43" s="47"/>
    </row>
    <row r="44" spans="1:16" s="20" customFormat="1" ht="29.25" hidden="1" customHeight="1" x14ac:dyDescent="0.3">
      <c r="A44" s="168"/>
      <c r="B44" s="29" t="s">
        <v>1</v>
      </c>
      <c r="C44" s="29" t="s">
        <v>96</v>
      </c>
      <c r="D44" s="33"/>
      <c r="E44" s="33"/>
      <c r="F44" s="33"/>
      <c r="G44" s="33"/>
      <c r="H44" s="33"/>
      <c r="I44" s="33"/>
      <c r="J44" s="33"/>
      <c r="K44" s="35"/>
      <c r="L44" s="34"/>
      <c r="M44" s="34"/>
      <c r="N44" s="34"/>
      <c r="O44" s="34"/>
      <c r="P44" s="47"/>
    </row>
    <row r="45" spans="1:16" s="20" customFormat="1" ht="29.25" hidden="1" customHeight="1" x14ac:dyDescent="0.3">
      <c r="A45" s="168"/>
      <c r="B45" s="29" t="s">
        <v>2</v>
      </c>
      <c r="C45" s="29" t="s">
        <v>97</v>
      </c>
      <c r="D45" s="33"/>
      <c r="E45" s="33"/>
      <c r="F45" s="33"/>
      <c r="G45" s="33"/>
      <c r="H45" s="33"/>
      <c r="I45" s="33"/>
      <c r="J45" s="33"/>
      <c r="K45" s="35"/>
      <c r="L45" s="34"/>
      <c r="M45" s="34"/>
      <c r="N45" s="34"/>
      <c r="O45" s="34"/>
      <c r="P45" s="47"/>
    </row>
    <row r="46" spans="1:16" s="20" customFormat="1" ht="29.25" hidden="1" customHeight="1" x14ac:dyDescent="0.3">
      <c r="A46" s="168"/>
      <c r="B46" s="29" t="s">
        <v>3</v>
      </c>
      <c r="C46" s="29" t="s">
        <v>98</v>
      </c>
      <c r="D46" s="33"/>
      <c r="E46" s="33"/>
      <c r="F46" s="33"/>
      <c r="G46" s="33"/>
      <c r="H46" s="33"/>
      <c r="I46" s="33"/>
      <c r="J46" s="33"/>
      <c r="K46" s="35"/>
      <c r="L46" s="34"/>
      <c r="M46" s="34"/>
      <c r="N46" s="34"/>
      <c r="O46" s="34"/>
      <c r="P46" s="47"/>
    </row>
    <row r="47" spans="1:16" s="20" customFormat="1" ht="29.25" hidden="1" customHeight="1" x14ac:dyDescent="0.3">
      <c r="A47" s="168"/>
      <c r="B47" s="29" t="s">
        <v>4</v>
      </c>
      <c r="C47" s="29" t="s">
        <v>99</v>
      </c>
      <c r="D47" s="33"/>
      <c r="E47" s="33"/>
      <c r="F47" s="33"/>
      <c r="G47" s="33"/>
      <c r="H47" s="33"/>
      <c r="I47" s="33"/>
      <c r="J47" s="33"/>
      <c r="K47" s="35"/>
      <c r="L47" s="34"/>
      <c r="M47" s="34"/>
      <c r="N47" s="34"/>
      <c r="O47" s="34"/>
      <c r="P47" s="47"/>
    </row>
    <row r="48" spans="1:16" s="20" customFormat="1" ht="29.25" hidden="1" customHeight="1" x14ac:dyDescent="0.3">
      <c r="A48" s="168">
        <v>10</v>
      </c>
      <c r="B48" s="162" t="s">
        <v>100</v>
      </c>
      <c r="C48" s="162"/>
      <c r="D48" s="33"/>
      <c r="E48" s="33"/>
      <c r="F48" s="33"/>
      <c r="G48" s="33"/>
      <c r="H48" s="33"/>
      <c r="I48" s="33"/>
      <c r="J48" s="33"/>
      <c r="K48" s="35"/>
      <c r="L48" s="34"/>
      <c r="M48" s="34"/>
      <c r="N48" s="34"/>
      <c r="O48" s="34"/>
      <c r="P48" s="47"/>
    </row>
    <row r="49" spans="1:16" s="20" customFormat="1" ht="29.25" hidden="1" customHeight="1" x14ac:dyDescent="0.3">
      <c r="A49" s="168"/>
      <c r="B49" s="29" t="s">
        <v>1</v>
      </c>
      <c r="C49" s="29" t="s">
        <v>101</v>
      </c>
      <c r="D49" s="33"/>
      <c r="E49" s="33"/>
      <c r="F49" s="33"/>
      <c r="G49" s="33"/>
      <c r="H49" s="33"/>
      <c r="I49" s="33"/>
      <c r="J49" s="33"/>
      <c r="K49" s="35"/>
      <c r="L49" s="34"/>
      <c r="M49" s="34"/>
      <c r="N49" s="34"/>
      <c r="O49" s="34"/>
      <c r="P49" s="47"/>
    </row>
    <row r="50" spans="1:16" s="20" customFormat="1" ht="29.25" hidden="1" customHeight="1" x14ac:dyDescent="0.3">
      <c r="A50" s="168"/>
      <c r="B50" s="29" t="s">
        <v>2</v>
      </c>
      <c r="C50" s="29" t="s">
        <v>102</v>
      </c>
      <c r="D50" s="33"/>
      <c r="E50" s="33"/>
      <c r="F50" s="33"/>
      <c r="G50" s="33"/>
      <c r="H50" s="33"/>
      <c r="I50" s="33"/>
      <c r="J50" s="33"/>
      <c r="K50" s="35"/>
      <c r="L50" s="34"/>
      <c r="M50" s="34"/>
      <c r="N50" s="34"/>
      <c r="O50" s="34"/>
      <c r="P50" s="47"/>
    </row>
    <row r="51" spans="1:16" s="20" customFormat="1" ht="29.25" hidden="1" customHeight="1" x14ac:dyDescent="0.3">
      <c r="A51" s="168"/>
      <c r="B51" s="29" t="s">
        <v>3</v>
      </c>
      <c r="C51" s="29" t="s">
        <v>103</v>
      </c>
      <c r="D51" s="33"/>
      <c r="E51" s="33"/>
      <c r="F51" s="33"/>
      <c r="G51" s="33"/>
      <c r="H51" s="33"/>
      <c r="I51" s="33"/>
      <c r="J51" s="33"/>
      <c r="K51" s="35"/>
      <c r="L51" s="34"/>
      <c r="M51" s="34"/>
      <c r="N51" s="34"/>
      <c r="O51" s="34"/>
      <c r="P51" s="47"/>
    </row>
    <row r="52" spans="1:16" s="20" customFormat="1" ht="29.25" hidden="1" customHeight="1" x14ac:dyDescent="0.3">
      <c r="A52" s="168"/>
      <c r="B52" s="29" t="s">
        <v>4</v>
      </c>
      <c r="C52" s="29" t="s">
        <v>80</v>
      </c>
      <c r="D52" s="33"/>
      <c r="E52" s="33"/>
      <c r="F52" s="33"/>
      <c r="G52" s="33"/>
      <c r="H52" s="33"/>
      <c r="I52" s="33"/>
      <c r="J52" s="33"/>
      <c r="K52" s="35"/>
      <c r="L52" s="34"/>
      <c r="M52" s="34"/>
      <c r="N52" s="34"/>
      <c r="O52" s="34"/>
      <c r="P52" s="47"/>
    </row>
    <row r="53" spans="1:16" s="20" customFormat="1" ht="29.25" hidden="1" customHeight="1" x14ac:dyDescent="0.3">
      <c r="A53" s="168">
        <v>11</v>
      </c>
      <c r="B53" s="162" t="s">
        <v>104</v>
      </c>
      <c r="C53" s="162"/>
      <c r="D53" s="33"/>
      <c r="E53" s="33"/>
      <c r="F53" s="33"/>
      <c r="G53" s="33"/>
      <c r="H53" s="33"/>
      <c r="I53" s="33"/>
      <c r="J53" s="33"/>
      <c r="K53" s="35"/>
      <c r="L53" s="34"/>
      <c r="M53" s="34"/>
      <c r="N53" s="34"/>
      <c r="O53" s="34"/>
      <c r="P53" s="47"/>
    </row>
    <row r="54" spans="1:16" s="20" customFormat="1" ht="29.25" hidden="1" customHeight="1" x14ac:dyDescent="0.3">
      <c r="A54" s="168"/>
      <c r="B54" s="29" t="s">
        <v>1</v>
      </c>
      <c r="C54" s="29" t="s">
        <v>105</v>
      </c>
      <c r="D54" s="33"/>
      <c r="E54" s="33"/>
      <c r="F54" s="33"/>
      <c r="G54" s="33"/>
      <c r="H54" s="33"/>
      <c r="I54" s="33"/>
      <c r="J54" s="33"/>
      <c r="K54" s="35"/>
      <c r="L54" s="34"/>
      <c r="M54" s="34"/>
      <c r="N54" s="34"/>
      <c r="O54" s="34"/>
      <c r="P54" s="47"/>
    </row>
    <row r="55" spans="1:16" s="20" customFormat="1" ht="29.25" hidden="1" customHeight="1" x14ac:dyDescent="0.3">
      <c r="A55" s="168"/>
      <c r="B55" s="29" t="s">
        <v>2</v>
      </c>
      <c r="C55" s="29" t="s">
        <v>94</v>
      </c>
      <c r="D55" s="33"/>
      <c r="E55" s="33"/>
      <c r="F55" s="33"/>
      <c r="G55" s="33"/>
      <c r="H55" s="33"/>
      <c r="I55" s="33"/>
      <c r="J55" s="33"/>
      <c r="K55" s="35"/>
      <c r="L55" s="34"/>
      <c r="M55" s="34"/>
      <c r="N55" s="34"/>
      <c r="O55" s="34"/>
      <c r="P55" s="47"/>
    </row>
    <row r="56" spans="1:16" s="20" customFormat="1" ht="29.25" hidden="1" customHeight="1" x14ac:dyDescent="0.3">
      <c r="A56" s="168">
        <v>12</v>
      </c>
      <c r="B56" s="162" t="s">
        <v>106</v>
      </c>
      <c r="C56" s="162"/>
      <c r="D56" s="33"/>
      <c r="E56" s="33"/>
      <c r="F56" s="33"/>
      <c r="G56" s="33"/>
      <c r="H56" s="33"/>
      <c r="I56" s="33"/>
      <c r="J56" s="33"/>
      <c r="K56" s="35"/>
      <c r="L56" s="34"/>
      <c r="M56" s="34"/>
      <c r="N56" s="34"/>
      <c r="O56" s="34"/>
      <c r="P56" s="47"/>
    </row>
    <row r="57" spans="1:16" s="20" customFormat="1" ht="29.25" hidden="1" customHeight="1" x14ac:dyDescent="0.3">
      <c r="A57" s="168"/>
      <c r="B57" s="29" t="s">
        <v>1</v>
      </c>
      <c r="C57" s="29" t="s">
        <v>107</v>
      </c>
      <c r="D57" s="33"/>
      <c r="E57" s="33"/>
      <c r="F57" s="33"/>
      <c r="G57" s="33"/>
      <c r="H57" s="33"/>
      <c r="I57" s="33"/>
      <c r="J57" s="33"/>
      <c r="K57" s="35"/>
      <c r="L57" s="34"/>
      <c r="M57" s="34"/>
      <c r="N57" s="34"/>
      <c r="O57" s="34"/>
      <c r="P57" s="47"/>
    </row>
    <row r="58" spans="1:16" s="20" customFormat="1" ht="29.25" hidden="1" customHeight="1" x14ac:dyDescent="0.3">
      <c r="A58" s="168">
        <v>13</v>
      </c>
      <c r="B58" s="162" t="s">
        <v>108</v>
      </c>
      <c r="C58" s="162"/>
      <c r="D58" s="33"/>
      <c r="E58" s="33"/>
      <c r="F58" s="33"/>
      <c r="G58" s="33"/>
      <c r="H58" s="33"/>
      <c r="I58" s="33"/>
      <c r="J58" s="33"/>
      <c r="K58" s="35"/>
      <c r="L58" s="34"/>
      <c r="M58" s="34"/>
      <c r="N58" s="34"/>
      <c r="O58" s="34"/>
      <c r="P58" s="47"/>
    </row>
    <row r="59" spans="1:16" s="20" customFormat="1" ht="29.25" hidden="1" customHeight="1" x14ac:dyDescent="0.3">
      <c r="A59" s="168"/>
      <c r="B59" s="29" t="s">
        <v>1</v>
      </c>
      <c r="C59" s="29" t="s">
        <v>109</v>
      </c>
      <c r="D59" s="33"/>
      <c r="E59" s="33"/>
      <c r="F59" s="33"/>
      <c r="G59" s="33"/>
      <c r="H59" s="33"/>
      <c r="I59" s="33"/>
      <c r="J59" s="33"/>
      <c r="K59" s="35"/>
      <c r="L59" s="34"/>
      <c r="M59" s="34"/>
      <c r="N59" s="34"/>
      <c r="O59" s="34"/>
      <c r="P59" s="47"/>
    </row>
    <row r="60" spans="1:16" s="20" customFormat="1" ht="29.25" hidden="1" customHeight="1" x14ac:dyDescent="0.3">
      <c r="A60" s="168"/>
      <c r="B60" s="29" t="s">
        <v>2</v>
      </c>
      <c r="C60" s="29" t="s">
        <v>110</v>
      </c>
      <c r="D60" s="33"/>
      <c r="E60" s="33"/>
      <c r="F60" s="33"/>
      <c r="G60" s="33"/>
      <c r="H60" s="33"/>
      <c r="I60" s="33"/>
      <c r="J60" s="33"/>
      <c r="K60" s="35"/>
      <c r="L60" s="34"/>
      <c r="M60" s="34"/>
      <c r="N60" s="34"/>
      <c r="O60" s="34"/>
      <c r="P60" s="47"/>
    </row>
    <row r="61" spans="1:16" s="20" customFormat="1" ht="29.25" hidden="1" customHeight="1" x14ac:dyDescent="0.3">
      <c r="A61" s="168">
        <v>14</v>
      </c>
      <c r="B61" s="162" t="s">
        <v>111</v>
      </c>
      <c r="C61" s="162"/>
      <c r="D61" s="33"/>
      <c r="E61" s="33"/>
      <c r="F61" s="33"/>
      <c r="G61" s="33"/>
      <c r="H61" s="33"/>
      <c r="I61" s="33"/>
      <c r="J61" s="33"/>
      <c r="K61" s="35"/>
      <c r="L61" s="34"/>
      <c r="M61" s="34"/>
      <c r="N61" s="34"/>
      <c r="O61" s="34"/>
      <c r="P61" s="47"/>
    </row>
    <row r="62" spans="1:16" s="20" customFormat="1" ht="29.25" hidden="1" customHeight="1" x14ac:dyDescent="0.3">
      <c r="A62" s="168"/>
      <c r="B62" s="29" t="s">
        <v>1</v>
      </c>
      <c r="C62" s="29" t="s">
        <v>112</v>
      </c>
      <c r="D62" s="33"/>
      <c r="E62" s="33"/>
      <c r="F62" s="33"/>
      <c r="G62" s="33"/>
      <c r="H62" s="33"/>
      <c r="I62" s="33"/>
      <c r="J62" s="33"/>
      <c r="K62" s="35"/>
      <c r="L62" s="34"/>
      <c r="M62" s="34"/>
      <c r="N62" s="34"/>
      <c r="O62" s="34"/>
      <c r="P62" s="47"/>
    </row>
    <row r="63" spans="1:16" s="20" customFormat="1" ht="29.25" hidden="1" customHeight="1" x14ac:dyDescent="0.3">
      <c r="A63" s="168"/>
      <c r="B63" s="29" t="s">
        <v>2</v>
      </c>
      <c r="C63" s="29" t="s">
        <v>113</v>
      </c>
      <c r="D63" s="33"/>
      <c r="E63" s="33"/>
      <c r="F63" s="33"/>
      <c r="G63" s="33"/>
      <c r="H63" s="33"/>
      <c r="I63" s="33"/>
      <c r="J63" s="33"/>
      <c r="K63" s="35"/>
      <c r="L63" s="34"/>
      <c r="M63" s="34"/>
      <c r="N63" s="34"/>
      <c r="O63" s="34"/>
      <c r="P63" s="47"/>
    </row>
    <row r="64" spans="1:16" s="20" customFormat="1" ht="29.25" hidden="1" customHeight="1" x14ac:dyDescent="0.3">
      <c r="A64" s="168">
        <v>15</v>
      </c>
      <c r="B64" s="162" t="s">
        <v>114</v>
      </c>
      <c r="C64" s="162"/>
      <c r="D64" s="33"/>
      <c r="E64" s="33"/>
      <c r="F64" s="33"/>
      <c r="G64" s="33"/>
      <c r="H64" s="33"/>
      <c r="I64" s="33"/>
      <c r="J64" s="33"/>
      <c r="K64" s="35"/>
      <c r="L64" s="34"/>
      <c r="M64" s="34"/>
      <c r="N64" s="34"/>
      <c r="O64" s="34"/>
      <c r="P64" s="47"/>
    </row>
    <row r="65" spans="1:16" s="20" customFormat="1" ht="29.25" hidden="1" customHeight="1" x14ac:dyDescent="0.3">
      <c r="A65" s="168"/>
      <c r="B65" s="29" t="s">
        <v>1</v>
      </c>
      <c r="C65" s="29" t="s">
        <v>115</v>
      </c>
      <c r="D65" s="33"/>
      <c r="E65" s="33"/>
      <c r="F65" s="33"/>
      <c r="G65" s="33"/>
      <c r="H65" s="33"/>
      <c r="I65" s="33"/>
      <c r="J65" s="33"/>
      <c r="K65" s="35"/>
      <c r="L65" s="34"/>
      <c r="M65" s="34"/>
      <c r="N65" s="34"/>
      <c r="O65" s="34"/>
      <c r="P65" s="47"/>
    </row>
    <row r="66" spans="1:16" s="20" customFormat="1" ht="29.25" hidden="1" customHeight="1" x14ac:dyDescent="0.3">
      <c r="A66" s="168"/>
      <c r="B66" s="29" t="s">
        <v>2</v>
      </c>
      <c r="C66" s="29" t="s">
        <v>116</v>
      </c>
      <c r="D66" s="33"/>
      <c r="E66" s="33"/>
      <c r="F66" s="33"/>
      <c r="G66" s="33"/>
      <c r="H66" s="33"/>
      <c r="I66" s="33"/>
      <c r="J66" s="33"/>
      <c r="K66" s="35"/>
      <c r="L66" s="34"/>
      <c r="M66" s="34"/>
      <c r="N66" s="34"/>
      <c r="O66" s="34"/>
      <c r="P66" s="47"/>
    </row>
    <row r="67" spans="1:16" s="20" customFormat="1" ht="29.25" customHeight="1" x14ac:dyDescent="0.3">
      <c r="A67" s="162" t="s">
        <v>117</v>
      </c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spans="1:16" s="20" customFormat="1" ht="29.25" hidden="1" customHeight="1" x14ac:dyDescent="0.3">
      <c r="A68" s="28">
        <v>16</v>
      </c>
      <c r="B68" s="155" t="s">
        <v>118</v>
      </c>
      <c r="C68" s="155"/>
      <c r="D68" s="33"/>
      <c r="E68" s="33"/>
      <c r="F68" s="33"/>
      <c r="G68" s="33"/>
      <c r="H68" s="33"/>
      <c r="I68" s="33"/>
      <c r="J68" s="33"/>
      <c r="K68" s="35"/>
      <c r="L68" s="34"/>
      <c r="M68" s="34"/>
      <c r="N68" s="34"/>
      <c r="O68" s="34"/>
      <c r="P68" s="47"/>
    </row>
    <row r="69" spans="1:16" s="20" customFormat="1" ht="29.25" hidden="1" customHeight="1" x14ac:dyDescent="0.3">
      <c r="A69" s="28">
        <v>17</v>
      </c>
      <c r="B69" s="155" t="s">
        <v>119</v>
      </c>
      <c r="C69" s="155"/>
      <c r="D69" s="33"/>
      <c r="E69" s="33"/>
      <c r="F69" s="28"/>
      <c r="G69" s="28"/>
      <c r="H69" s="28"/>
      <c r="I69" s="33"/>
      <c r="J69" s="33"/>
      <c r="K69" s="35"/>
      <c r="L69" s="34"/>
      <c r="M69" s="34"/>
      <c r="N69" s="34"/>
      <c r="O69" s="34"/>
      <c r="P69" s="47"/>
    </row>
    <row r="70" spans="1:16" s="20" customFormat="1" ht="29.25" hidden="1" customHeight="1" x14ac:dyDescent="0.3">
      <c r="A70" s="28">
        <v>18</v>
      </c>
      <c r="B70" s="155" t="s">
        <v>33</v>
      </c>
      <c r="C70" s="155"/>
      <c r="D70" s="33"/>
      <c r="E70" s="33"/>
      <c r="F70" s="33"/>
      <c r="G70" s="33"/>
      <c r="H70" s="33"/>
      <c r="I70" s="33"/>
      <c r="J70" s="33"/>
      <c r="K70" s="35"/>
      <c r="L70" s="34"/>
      <c r="M70" s="34"/>
      <c r="N70" s="34"/>
      <c r="O70" s="34"/>
      <c r="P70" s="47"/>
    </row>
    <row r="71" spans="1:16" s="20" customFormat="1" ht="29.25" hidden="1" customHeight="1" x14ac:dyDescent="0.3">
      <c r="A71" s="28">
        <v>19</v>
      </c>
      <c r="B71" s="155" t="s">
        <v>120</v>
      </c>
      <c r="C71" s="155"/>
      <c r="D71" s="33"/>
      <c r="E71" s="33"/>
      <c r="F71" s="33"/>
      <c r="G71" s="33"/>
      <c r="H71" s="33"/>
      <c r="I71" s="33"/>
      <c r="J71" s="33"/>
      <c r="K71" s="35"/>
      <c r="L71" s="34"/>
      <c r="M71" s="34"/>
      <c r="N71" s="34"/>
      <c r="O71" s="34"/>
      <c r="P71" s="47"/>
    </row>
    <row r="72" spans="1:16" s="20" customFormat="1" ht="29.25" hidden="1" customHeight="1" x14ac:dyDescent="0.3">
      <c r="A72" s="28">
        <v>20</v>
      </c>
      <c r="B72" s="155" t="s">
        <v>34</v>
      </c>
      <c r="C72" s="155"/>
      <c r="D72" s="33"/>
      <c r="E72" s="33"/>
      <c r="F72" s="33"/>
      <c r="G72" s="33"/>
      <c r="H72" s="33"/>
      <c r="I72" s="33"/>
      <c r="J72" s="33"/>
      <c r="K72" s="35"/>
      <c r="L72" s="34"/>
      <c r="M72" s="34"/>
      <c r="N72" s="34"/>
      <c r="O72" s="34"/>
      <c r="P72" s="47"/>
    </row>
    <row r="73" spans="1:16" s="20" customFormat="1" ht="29.25" hidden="1" customHeight="1" x14ac:dyDescent="0.3">
      <c r="A73" s="28">
        <v>21</v>
      </c>
      <c r="B73" s="155" t="s">
        <v>61</v>
      </c>
      <c r="C73" s="155"/>
      <c r="D73" s="33"/>
      <c r="E73" s="33"/>
      <c r="F73" s="33"/>
      <c r="G73" s="33"/>
      <c r="H73" s="33"/>
      <c r="I73" s="33"/>
      <c r="J73" s="33"/>
      <c r="K73" s="35"/>
      <c r="L73" s="34"/>
      <c r="M73" s="34"/>
      <c r="N73" s="34"/>
      <c r="O73" s="34"/>
      <c r="P73" s="47"/>
    </row>
    <row r="74" spans="1:16" s="49" customFormat="1" ht="15" x14ac:dyDescent="0.3">
      <c r="A74" s="28">
        <v>1</v>
      </c>
      <c r="B74" s="155" t="s">
        <v>206</v>
      </c>
      <c r="C74" s="155"/>
      <c r="D74" s="33">
        <v>10</v>
      </c>
      <c r="E74" s="33">
        <v>10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5">
        <f>IF(E74=0,"-",E74-(I74+J74))</f>
        <v>10</v>
      </c>
      <c r="L74" s="34">
        <f>IF(E74=0,"-",(I74/E74))</f>
        <v>0</v>
      </c>
      <c r="M74" s="34">
        <f>IF(E74=0,"-",(J74/E74))</f>
        <v>0</v>
      </c>
      <c r="N74" s="34">
        <f>IF(E74=0,"-",(K74/E74))</f>
        <v>1</v>
      </c>
      <c r="O74" s="34">
        <f>IF(E74=0,"-",(M74+N74))</f>
        <v>1</v>
      </c>
      <c r="P74" s="48"/>
    </row>
    <row r="75" spans="1:16" s="20" customFormat="1" ht="29.25" hidden="1" customHeight="1" x14ac:dyDescent="0.3">
      <c r="A75" s="28">
        <v>23</v>
      </c>
      <c r="B75" s="155" t="s">
        <v>121</v>
      </c>
      <c r="C75" s="155"/>
      <c r="D75" s="33"/>
      <c r="E75" s="33"/>
      <c r="F75" s="33"/>
      <c r="G75" s="33"/>
      <c r="H75" s="33"/>
      <c r="I75" s="33"/>
      <c r="J75" s="33"/>
      <c r="K75" s="35"/>
      <c r="L75" s="34"/>
      <c r="M75" s="34"/>
      <c r="N75" s="34"/>
      <c r="O75" s="34"/>
      <c r="P75" s="47"/>
    </row>
    <row r="76" spans="1:16" s="20" customFormat="1" ht="29.25" hidden="1" customHeight="1" x14ac:dyDescent="0.3">
      <c r="A76" s="28">
        <v>24</v>
      </c>
      <c r="B76" s="155" t="s">
        <v>122</v>
      </c>
      <c r="C76" s="155"/>
      <c r="D76" s="33"/>
      <c r="E76" s="33"/>
      <c r="F76" s="33"/>
      <c r="G76" s="33"/>
      <c r="H76" s="33"/>
      <c r="I76" s="33"/>
      <c r="J76" s="33"/>
      <c r="K76" s="35"/>
      <c r="L76" s="34"/>
      <c r="M76" s="34"/>
      <c r="N76" s="34"/>
      <c r="O76" s="34"/>
      <c r="P76" s="47"/>
    </row>
    <row r="77" spans="1:16" s="20" customFormat="1" ht="29.25" hidden="1" customHeight="1" x14ac:dyDescent="0.3">
      <c r="A77" s="162" t="s">
        <v>123</v>
      </c>
      <c r="B77" s="162"/>
      <c r="C77" s="162"/>
      <c r="D77" s="33"/>
      <c r="E77" s="33"/>
      <c r="F77" s="33"/>
      <c r="G77" s="33"/>
      <c r="H77" s="33"/>
      <c r="I77" s="33"/>
      <c r="J77" s="33"/>
      <c r="K77" s="35"/>
      <c r="L77" s="34"/>
      <c r="M77" s="34"/>
      <c r="N77" s="34"/>
      <c r="O77" s="34"/>
      <c r="P77" s="47"/>
    </row>
    <row r="78" spans="1:16" s="20" customFormat="1" ht="29.25" hidden="1" customHeight="1" x14ac:dyDescent="0.3">
      <c r="A78" s="28">
        <v>25</v>
      </c>
      <c r="B78" s="155" t="s">
        <v>35</v>
      </c>
      <c r="C78" s="155"/>
      <c r="D78" s="33"/>
      <c r="E78" s="33"/>
      <c r="F78" s="33"/>
      <c r="G78" s="33"/>
      <c r="H78" s="33"/>
      <c r="I78" s="33"/>
      <c r="J78" s="33"/>
      <c r="K78" s="35"/>
      <c r="L78" s="34"/>
      <c r="M78" s="34"/>
      <c r="N78" s="34"/>
      <c r="O78" s="34"/>
      <c r="P78" s="47"/>
    </row>
    <row r="79" spans="1:16" s="20" customFormat="1" ht="29.25" hidden="1" customHeight="1" x14ac:dyDescent="0.3">
      <c r="A79" s="28">
        <v>26</v>
      </c>
      <c r="B79" s="155" t="s">
        <v>124</v>
      </c>
      <c r="C79" s="155"/>
      <c r="D79" s="33"/>
      <c r="E79" s="33"/>
      <c r="F79" s="33"/>
      <c r="G79" s="33"/>
      <c r="H79" s="33"/>
      <c r="I79" s="33"/>
      <c r="J79" s="33"/>
      <c r="K79" s="35"/>
      <c r="L79" s="34"/>
      <c r="M79" s="34"/>
      <c r="N79" s="34"/>
      <c r="O79" s="34"/>
      <c r="P79" s="47"/>
    </row>
    <row r="80" spans="1:16" s="20" customFormat="1" ht="29.25" hidden="1" customHeight="1" x14ac:dyDescent="0.3">
      <c r="A80" s="28">
        <v>27</v>
      </c>
      <c r="B80" s="155" t="s">
        <v>125</v>
      </c>
      <c r="C80" s="155"/>
      <c r="D80" s="33"/>
      <c r="E80" s="33"/>
      <c r="F80" s="33"/>
      <c r="G80" s="33"/>
      <c r="H80" s="33"/>
      <c r="I80" s="33"/>
      <c r="J80" s="33"/>
      <c r="K80" s="35"/>
      <c r="L80" s="34"/>
      <c r="M80" s="34"/>
      <c r="N80" s="34"/>
      <c r="O80" s="34"/>
      <c r="P80" s="47"/>
    </row>
    <row r="81" spans="1:16" s="20" customFormat="1" ht="29.25" hidden="1" customHeight="1" x14ac:dyDescent="0.3">
      <c r="A81" s="28">
        <v>28</v>
      </c>
      <c r="B81" s="155" t="s">
        <v>126</v>
      </c>
      <c r="C81" s="155"/>
      <c r="D81" s="33"/>
      <c r="E81" s="33"/>
      <c r="F81" s="33"/>
      <c r="G81" s="33"/>
      <c r="H81" s="33"/>
      <c r="I81" s="33"/>
      <c r="J81" s="33"/>
      <c r="K81" s="35"/>
      <c r="L81" s="34"/>
      <c r="M81" s="34"/>
      <c r="N81" s="34"/>
      <c r="O81" s="34"/>
      <c r="P81" s="47"/>
    </row>
    <row r="82" spans="1:16" s="20" customFormat="1" ht="29.25" hidden="1" customHeight="1" x14ac:dyDescent="0.3">
      <c r="A82" s="28">
        <v>29</v>
      </c>
      <c r="B82" s="155" t="s">
        <v>127</v>
      </c>
      <c r="C82" s="155"/>
      <c r="D82" s="33"/>
      <c r="E82" s="33"/>
      <c r="F82" s="33"/>
      <c r="G82" s="33"/>
      <c r="H82" s="33"/>
      <c r="I82" s="33"/>
      <c r="J82" s="33"/>
      <c r="K82" s="35"/>
      <c r="L82" s="34"/>
      <c r="M82" s="34"/>
      <c r="N82" s="34"/>
      <c r="O82" s="34"/>
      <c r="P82" s="47"/>
    </row>
    <row r="83" spans="1:16" s="20" customFormat="1" ht="29.25" hidden="1" customHeight="1" x14ac:dyDescent="0.3">
      <c r="A83" s="28">
        <v>30</v>
      </c>
      <c r="B83" s="155" t="s">
        <v>128</v>
      </c>
      <c r="C83" s="155"/>
      <c r="D83" s="33"/>
      <c r="E83" s="33"/>
      <c r="F83" s="33"/>
      <c r="G83" s="33"/>
      <c r="H83" s="33"/>
      <c r="I83" s="33"/>
      <c r="J83" s="33"/>
      <c r="K83" s="35"/>
      <c r="L83" s="34"/>
      <c r="M83" s="34"/>
      <c r="N83" s="34"/>
      <c r="O83" s="34"/>
      <c r="P83" s="47"/>
    </row>
    <row r="84" spans="1:16" s="20" customFormat="1" ht="29.25" hidden="1" customHeight="1" x14ac:dyDescent="0.3">
      <c r="A84" s="162" t="s">
        <v>129</v>
      </c>
      <c r="B84" s="162"/>
      <c r="C84" s="162"/>
      <c r="D84" s="47"/>
      <c r="E84" s="47"/>
      <c r="F84" s="47"/>
      <c r="G84" s="47"/>
      <c r="H84" s="47"/>
      <c r="I84" s="33"/>
      <c r="J84" s="33"/>
      <c r="K84" s="60"/>
      <c r="L84" s="61"/>
      <c r="M84" s="61"/>
      <c r="N84" s="61"/>
      <c r="O84" s="61"/>
      <c r="P84" s="47"/>
    </row>
    <row r="85" spans="1:16" s="20" customFormat="1" ht="29.25" hidden="1" customHeight="1" x14ac:dyDescent="0.3">
      <c r="A85" s="28">
        <v>31</v>
      </c>
      <c r="B85" s="156" t="s">
        <v>130</v>
      </c>
      <c r="C85" s="156"/>
      <c r="D85" s="33"/>
      <c r="E85" s="33"/>
      <c r="F85" s="33"/>
      <c r="G85" s="33"/>
      <c r="H85" s="33"/>
      <c r="I85" s="33"/>
      <c r="J85" s="33"/>
      <c r="K85" s="35"/>
      <c r="L85" s="34"/>
      <c r="M85" s="34"/>
      <c r="N85" s="34"/>
      <c r="O85" s="34"/>
      <c r="P85" s="47"/>
    </row>
    <row r="86" spans="1:16" s="20" customFormat="1" ht="29.25" hidden="1" customHeight="1" x14ac:dyDescent="0.3">
      <c r="A86" s="7">
        <v>32</v>
      </c>
      <c r="B86" s="156" t="s">
        <v>141</v>
      </c>
      <c r="C86" s="156"/>
      <c r="D86" s="33"/>
      <c r="E86" s="33"/>
      <c r="F86" s="33"/>
      <c r="G86" s="33"/>
      <c r="H86" s="33"/>
      <c r="I86" s="33"/>
      <c r="J86" s="33"/>
      <c r="K86" s="35"/>
      <c r="L86" s="34"/>
      <c r="M86" s="34"/>
      <c r="N86" s="34"/>
      <c r="O86" s="34"/>
      <c r="P86" s="47"/>
    </row>
    <row r="87" spans="1:16" s="20" customFormat="1" ht="29.25" hidden="1" customHeight="1" x14ac:dyDescent="0.3">
      <c r="A87" s="28">
        <v>33</v>
      </c>
      <c r="B87" s="156" t="s">
        <v>131</v>
      </c>
      <c r="C87" s="156"/>
      <c r="D87" s="33"/>
      <c r="E87" s="33"/>
      <c r="F87" s="33"/>
      <c r="G87" s="33"/>
      <c r="H87" s="33"/>
      <c r="I87" s="33"/>
      <c r="J87" s="33"/>
      <c r="K87" s="35"/>
      <c r="L87" s="34"/>
      <c r="M87" s="34"/>
      <c r="N87" s="34"/>
      <c r="O87" s="34"/>
      <c r="P87" s="47"/>
    </row>
    <row r="88" spans="1:16" s="20" customFormat="1" ht="29.25" hidden="1" customHeight="1" x14ac:dyDescent="0.3">
      <c r="A88" s="7">
        <v>34</v>
      </c>
      <c r="B88" s="156" t="s">
        <v>142</v>
      </c>
      <c r="C88" s="156"/>
      <c r="D88" s="33"/>
      <c r="E88" s="33"/>
      <c r="F88" s="33"/>
      <c r="G88" s="33"/>
      <c r="H88" s="33"/>
      <c r="I88" s="33"/>
      <c r="J88" s="33"/>
      <c r="K88" s="35"/>
      <c r="L88" s="34"/>
      <c r="M88" s="34"/>
      <c r="N88" s="34"/>
      <c r="O88" s="34"/>
      <c r="P88" s="47"/>
    </row>
    <row r="89" spans="1:16" s="20" customFormat="1" ht="29.25" hidden="1" customHeight="1" x14ac:dyDescent="0.3">
      <c r="A89" s="28">
        <v>35</v>
      </c>
      <c r="B89" s="156" t="s">
        <v>132</v>
      </c>
      <c r="C89" s="156"/>
      <c r="D89" s="33"/>
      <c r="E89" s="33"/>
      <c r="F89" s="33"/>
      <c r="G89" s="33"/>
      <c r="H89" s="33"/>
      <c r="I89" s="33"/>
      <c r="J89" s="33"/>
      <c r="K89" s="35"/>
      <c r="L89" s="34"/>
      <c r="M89" s="34"/>
      <c r="N89" s="34"/>
      <c r="O89" s="34"/>
      <c r="P89" s="47"/>
    </row>
    <row r="90" spans="1:16" s="20" customFormat="1" ht="29.25" hidden="1" customHeight="1" x14ac:dyDescent="0.3">
      <c r="A90" s="7">
        <v>36</v>
      </c>
      <c r="B90" s="156" t="s">
        <v>133</v>
      </c>
      <c r="C90" s="156"/>
      <c r="D90" s="33"/>
      <c r="E90" s="33"/>
      <c r="F90" s="33"/>
      <c r="G90" s="33"/>
      <c r="H90" s="33"/>
      <c r="I90" s="33"/>
      <c r="J90" s="33"/>
      <c r="K90" s="35"/>
      <c r="L90" s="34"/>
      <c r="M90" s="34"/>
      <c r="N90" s="34"/>
      <c r="O90" s="34"/>
      <c r="P90" s="47"/>
    </row>
    <row r="91" spans="1:16" s="20" customFormat="1" ht="29.25" hidden="1" customHeight="1" x14ac:dyDescent="0.3">
      <c r="A91" s="28">
        <v>37</v>
      </c>
      <c r="B91" s="156" t="s">
        <v>134</v>
      </c>
      <c r="C91" s="156"/>
      <c r="D91" s="33"/>
      <c r="E91" s="33"/>
      <c r="F91" s="33"/>
      <c r="G91" s="33"/>
      <c r="H91" s="33"/>
      <c r="I91" s="33"/>
      <c r="J91" s="33"/>
      <c r="K91" s="35"/>
      <c r="L91" s="34"/>
      <c r="M91" s="34"/>
      <c r="N91" s="34"/>
      <c r="O91" s="34"/>
      <c r="P91" s="47"/>
    </row>
    <row r="92" spans="1:16" s="20" customFormat="1" ht="29.25" hidden="1" customHeight="1" x14ac:dyDescent="0.3">
      <c r="A92" s="7">
        <v>38</v>
      </c>
      <c r="B92" s="156" t="s">
        <v>135</v>
      </c>
      <c r="C92" s="156"/>
      <c r="D92" s="33"/>
      <c r="E92" s="33"/>
      <c r="F92" s="33"/>
      <c r="G92" s="33"/>
      <c r="H92" s="33"/>
      <c r="I92" s="33"/>
      <c r="J92" s="33"/>
      <c r="K92" s="35"/>
      <c r="L92" s="34"/>
      <c r="M92" s="34"/>
      <c r="N92" s="34"/>
      <c r="O92" s="34"/>
      <c r="P92" s="47"/>
    </row>
    <row r="93" spans="1:16" s="20" customFormat="1" ht="29.25" hidden="1" customHeight="1" x14ac:dyDescent="0.3">
      <c r="A93" s="28">
        <v>39</v>
      </c>
      <c r="B93" s="156" t="s">
        <v>136</v>
      </c>
      <c r="C93" s="156"/>
      <c r="D93" s="33"/>
      <c r="E93" s="33"/>
      <c r="F93" s="33"/>
      <c r="G93" s="33"/>
      <c r="H93" s="33"/>
      <c r="I93" s="33"/>
      <c r="J93" s="33"/>
      <c r="K93" s="35"/>
      <c r="L93" s="34"/>
      <c r="M93" s="34"/>
      <c r="N93" s="34"/>
      <c r="O93" s="34"/>
      <c r="P93" s="47"/>
    </row>
    <row r="94" spans="1:16" s="20" customFormat="1" ht="29.25" hidden="1" customHeight="1" x14ac:dyDescent="0.3">
      <c r="A94" s="7">
        <v>40</v>
      </c>
      <c r="B94" s="156" t="s">
        <v>39</v>
      </c>
      <c r="C94" s="156"/>
      <c r="D94" s="33"/>
      <c r="E94" s="33"/>
      <c r="F94" s="33"/>
      <c r="G94" s="33"/>
      <c r="H94" s="33"/>
      <c r="I94" s="33"/>
      <c r="J94" s="33"/>
      <c r="K94" s="35"/>
      <c r="L94" s="34"/>
      <c r="M94" s="34"/>
      <c r="N94" s="34"/>
      <c r="O94" s="34"/>
      <c r="P94" s="47"/>
    </row>
    <row r="95" spans="1:16" s="20" customFormat="1" ht="29.25" hidden="1" customHeight="1" x14ac:dyDescent="0.3">
      <c r="A95" s="28">
        <v>41</v>
      </c>
      <c r="B95" s="156" t="s">
        <v>137</v>
      </c>
      <c r="C95" s="156"/>
      <c r="D95" s="33"/>
      <c r="E95" s="33"/>
      <c r="F95" s="33"/>
      <c r="G95" s="33"/>
      <c r="H95" s="33"/>
      <c r="I95" s="33"/>
      <c r="J95" s="33"/>
      <c r="K95" s="35"/>
      <c r="L95" s="34"/>
      <c r="M95" s="34"/>
      <c r="N95" s="34"/>
      <c r="O95" s="34"/>
      <c r="P95" s="47"/>
    </row>
    <row r="96" spans="1:16" s="20" customFormat="1" ht="29.25" hidden="1" customHeight="1" x14ac:dyDescent="0.3">
      <c r="A96" s="7">
        <v>42</v>
      </c>
      <c r="B96" s="156" t="s">
        <v>40</v>
      </c>
      <c r="C96" s="156"/>
      <c r="D96" s="33"/>
      <c r="E96" s="33"/>
      <c r="F96" s="33"/>
      <c r="G96" s="33"/>
      <c r="H96" s="33"/>
      <c r="I96" s="33"/>
      <c r="J96" s="33"/>
      <c r="K96" s="35"/>
      <c r="L96" s="34"/>
      <c r="M96" s="34"/>
      <c r="N96" s="34"/>
      <c r="O96" s="34"/>
      <c r="P96" s="47"/>
    </row>
    <row r="97" spans="1:16" s="20" customFormat="1" ht="29.25" hidden="1" customHeight="1" x14ac:dyDescent="0.3">
      <c r="A97" s="28">
        <v>43</v>
      </c>
      <c r="B97" s="156" t="s">
        <v>138</v>
      </c>
      <c r="C97" s="156"/>
      <c r="D97" s="33"/>
      <c r="E97" s="33"/>
      <c r="F97" s="33"/>
      <c r="G97" s="33"/>
      <c r="H97" s="33"/>
      <c r="I97" s="33"/>
      <c r="J97" s="33"/>
      <c r="K97" s="35"/>
      <c r="L97" s="34"/>
      <c r="M97" s="34"/>
      <c r="N97" s="34"/>
      <c r="O97" s="34"/>
      <c r="P97" s="47"/>
    </row>
    <row r="98" spans="1:16" s="20" customFormat="1" ht="29.25" hidden="1" customHeight="1" x14ac:dyDescent="0.3">
      <c r="A98" s="7">
        <v>44</v>
      </c>
      <c r="B98" s="156" t="s">
        <v>41</v>
      </c>
      <c r="C98" s="156"/>
      <c r="D98" s="33"/>
      <c r="E98" s="33"/>
      <c r="F98" s="33"/>
      <c r="G98" s="33"/>
      <c r="H98" s="33"/>
      <c r="I98" s="33"/>
      <c r="J98" s="33"/>
      <c r="K98" s="35"/>
      <c r="L98" s="34"/>
      <c r="M98" s="34"/>
      <c r="N98" s="34"/>
      <c r="O98" s="34"/>
      <c r="P98" s="47"/>
    </row>
    <row r="99" spans="1:16" s="20" customFormat="1" ht="29.25" hidden="1" customHeight="1" x14ac:dyDescent="0.3">
      <c r="A99" s="28">
        <v>45</v>
      </c>
      <c r="B99" s="156" t="s">
        <v>42</v>
      </c>
      <c r="C99" s="156"/>
      <c r="D99" s="33"/>
      <c r="E99" s="33"/>
      <c r="F99" s="33"/>
      <c r="G99" s="33"/>
      <c r="H99" s="33"/>
      <c r="I99" s="33"/>
      <c r="J99" s="33"/>
      <c r="K99" s="35"/>
      <c r="L99" s="34"/>
      <c r="M99" s="34"/>
      <c r="N99" s="34"/>
      <c r="O99" s="34"/>
      <c r="P99" s="47"/>
    </row>
    <row r="100" spans="1:16" s="20" customFormat="1" ht="29.25" hidden="1" customHeight="1" x14ac:dyDescent="0.3">
      <c r="A100" s="7">
        <v>46</v>
      </c>
      <c r="B100" s="156" t="s">
        <v>43</v>
      </c>
      <c r="C100" s="156"/>
      <c r="D100" s="33"/>
      <c r="E100" s="33"/>
      <c r="F100" s="33"/>
      <c r="G100" s="33"/>
      <c r="H100" s="33"/>
      <c r="I100" s="33"/>
      <c r="J100" s="33"/>
      <c r="K100" s="35"/>
      <c r="L100" s="34"/>
      <c r="M100" s="34"/>
      <c r="N100" s="34"/>
      <c r="O100" s="34"/>
      <c r="P100" s="47"/>
    </row>
    <row r="101" spans="1:16" s="20" customFormat="1" ht="29.25" hidden="1" customHeight="1" x14ac:dyDescent="0.3">
      <c r="A101" s="28">
        <v>47</v>
      </c>
      <c r="B101" s="156" t="s">
        <v>139</v>
      </c>
      <c r="C101" s="156"/>
      <c r="D101" s="33"/>
      <c r="E101" s="33"/>
      <c r="F101" s="33"/>
      <c r="G101" s="33"/>
      <c r="H101" s="33"/>
      <c r="I101" s="33"/>
      <c r="J101" s="33"/>
      <c r="K101" s="35"/>
      <c r="L101" s="34"/>
      <c r="M101" s="34"/>
      <c r="N101" s="34"/>
      <c r="O101" s="34"/>
      <c r="P101" s="47"/>
    </row>
    <row r="102" spans="1:16" s="57" customFormat="1" ht="15" x14ac:dyDescent="0.3">
      <c r="A102" s="7">
        <v>2</v>
      </c>
      <c r="B102" s="155" t="s">
        <v>207</v>
      </c>
      <c r="C102" s="155"/>
      <c r="D102" s="33">
        <v>4</v>
      </c>
      <c r="E102" s="33">
        <v>4</v>
      </c>
      <c r="F102" s="28">
        <v>0</v>
      </c>
      <c r="G102" s="28">
        <v>0</v>
      </c>
      <c r="H102" s="28">
        <v>0</v>
      </c>
      <c r="I102" s="33">
        <v>0</v>
      </c>
      <c r="J102" s="33">
        <v>0</v>
      </c>
      <c r="K102" s="35">
        <v>4</v>
      </c>
      <c r="L102" s="34">
        <f>IF(E102=0,"-",(I102/E102))</f>
        <v>0</v>
      </c>
      <c r="M102" s="34">
        <f>IF(E102=0,"-",(J102/E102))</f>
        <v>0</v>
      </c>
      <c r="N102" s="34">
        <f>IF(E102=0,"-",(K102/E102))</f>
        <v>1</v>
      </c>
      <c r="O102" s="34">
        <f>IF(E102=0,"-",(M102+N102))</f>
        <v>1</v>
      </c>
      <c r="P102" s="62"/>
    </row>
    <row r="103" spans="1:16" s="57" customFormat="1" ht="15" x14ac:dyDescent="0.3">
      <c r="A103" s="7">
        <v>1</v>
      </c>
      <c r="B103" s="156" t="s">
        <v>208</v>
      </c>
      <c r="C103" s="156"/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5">
        <v>0</v>
      </c>
      <c r="L103" s="34">
        <v>0</v>
      </c>
      <c r="M103" s="34">
        <v>0</v>
      </c>
      <c r="N103" s="34">
        <v>0</v>
      </c>
      <c r="O103" s="34">
        <v>0</v>
      </c>
      <c r="P103" s="63"/>
    </row>
    <row r="104" spans="1:16" s="20" customFormat="1" ht="18.75" customHeight="1" x14ac:dyDescent="0.3">
      <c r="A104" s="162" t="s">
        <v>129</v>
      </c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</row>
    <row r="105" spans="1:16" s="57" customFormat="1" ht="18" customHeight="1" x14ac:dyDescent="0.3">
      <c r="A105" s="7">
        <v>1</v>
      </c>
      <c r="B105" s="156" t="s">
        <v>209</v>
      </c>
      <c r="C105" s="156"/>
      <c r="D105" s="33">
        <v>8</v>
      </c>
      <c r="E105" s="33">
        <v>3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5">
        <f>IF(E105=0,"-",E105-(I105+J105))</f>
        <v>3</v>
      </c>
      <c r="L105" s="34">
        <v>0</v>
      </c>
      <c r="M105" s="34">
        <v>0</v>
      </c>
      <c r="N105" s="34">
        <v>1</v>
      </c>
      <c r="O105" s="34">
        <v>1</v>
      </c>
      <c r="P105" s="47"/>
    </row>
    <row r="106" spans="1:16" s="57" customFormat="1" ht="18" customHeight="1" x14ac:dyDescent="0.3">
      <c r="A106" s="7">
        <v>2</v>
      </c>
      <c r="B106" s="156" t="s">
        <v>210</v>
      </c>
      <c r="C106" s="156"/>
      <c r="D106" s="33">
        <v>2</v>
      </c>
      <c r="E106" s="33">
        <v>1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5">
        <f>IF(E106=0,"-",E106-(I106+J106))</f>
        <v>1</v>
      </c>
      <c r="L106" s="34">
        <v>0</v>
      </c>
      <c r="M106" s="34">
        <v>0</v>
      </c>
      <c r="N106" s="34">
        <v>1</v>
      </c>
      <c r="O106" s="34">
        <v>1</v>
      </c>
      <c r="P106" s="47"/>
    </row>
    <row r="107" spans="1:16" s="20" customFormat="1" ht="18" customHeight="1" x14ac:dyDescent="0.3">
      <c r="A107" s="162" t="s">
        <v>144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</row>
    <row r="108" spans="1:16" s="49" customFormat="1" ht="15.75" customHeight="1" x14ac:dyDescent="0.3">
      <c r="A108" s="7">
        <v>1</v>
      </c>
      <c r="B108" s="156" t="s">
        <v>211</v>
      </c>
      <c r="C108" s="156"/>
      <c r="D108" s="33">
        <v>35</v>
      </c>
      <c r="E108" s="33">
        <v>22</v>
      </c>
      <c r="F108" s="33">
        <v>0</v>
      </c>
      <c r="G108" s="33">
        <v>0</v>
      </c>
      <c r="H108" s="33">
        <v>0</v>
      </c>
      <c r="I108" s="33">
        <f>SUM(F108:H108)</f>
        <v>0</v>
      </c>
      <c r="J108" s="33">
        <v>0</v>
      </c>
      <c r="K108" s="35">
        <f>IF(E108=0,"-",E108-(I108+J108))</f>
        <v>22</v>
      </c>
      <c r="L108" s="34">
        <f>IF(E108=0,"-",(I108/E108))</f>
        <v>0</v>
      </c>
      <c r="M108" s="34">
        <f>IF(E108=0,"-",(J108/E108))</f>
        <v>0</v>
      </c>
      <c r="N108" s="34">
        <f>IF(E108=0,"-",(K108/E108))</f>
        <v>1</v>
      </c>
      <c r="O108" s="34">
        <f>IF(E108=0,"-",(M108+N108))</f>
        <v>1</v>
      </c>
      <c r="P108" s="62"/>
    </row>
    <row r="109" spans="1:16" s="20" customFormat="1" ht="15" x14ac:dyDescent="0.3">
      <c r="A109" s="30">
        <v>2</v>
      </c>
      <c r="B109" s="175" t="s">
        <v>212</v>
      </c>
      <c r="C109" s="175"/>
      <c r="D109" s="128">
        <v>27</v>
      </c>
      <c r="E109" s="128">
        <v>24</v>
      </c>
      <c r="F109" s="128">
        <v>0</v>
      </c>
      <c r="G109" s="128">
        <v>0</v>
      </c>
      <c r="H109" s="128">
        <v>0</v>
      </c>
      <c r="I109" s="128">
        <v>0</v>
      </c>
      <c r="J109" s="128">
        <v>0</v>
      </c>
      <c r="K109" s="129">
        <v>24</v>
      </c>
      <c r="L109" s="130">
        <f>IF(E109=0,"-",(I109/E109))</f>
        <v>0</v>
      </c>
      <c r="M109" s="130">
        <f>IF(E109=0,"-",(J109/E109))</f>
        <v>0</v>
      </c>
      <c r="N109" s="130">
        <f>IF(E109=0,"-",(K109/E109))</f>
        <v>1</v>
      </c>
      <c r="O109" s="130">
        <f>IF(E109=0,"-",(M109+N109))</f>
        <v>1</v>
      </c>
      <c r="P109" s="131"/>
    </row>
    <row r="110" spans="1:16" s="20" customFormat="1" ht="15" x14ac:dyDescent="0.3">
      <c r="A110" s="7">
        <v>3</v>
      </c>
      <c r="B110" s="175" t="s">
        <v>145</v>
      </c>
      <c r="C110" s="175"/>
      <c r="D110" s="128"/>
      <c r="E110" s="128"/>
      <c r="F110" s="128"/>
      <c r="G110" s="128"/>
      <c r="H110" s="128"/>
      <c r="I110" s="128"/>
      <c r="J110" s="128"/>
      <c r="K110" s="129"/>
      <c r="L110" s="130"/>
      <c r="M110" s="130"/>
      <c r="N110" s="130"/>
      <c r="O110" s="130"/>
      <c r="P110" s="131"/>
    </row>
    <row r="111" spans="1:16" s="20" customFormat="1" ht="15" x14ac:dyDescent="0.3">
      <c r="A111" s="30">
        <v>4</v>
      </c>
      <c r="B111" s="175" t="s">
        <v>213</v>
      </c>
      <c r="C111" s="175"/>
      <c r="D111" s="128">
        <v>5</v>
      </c>
      <c r="E111" s="128">
        <v>2</v>
      </c>
      <c r="F111" s="128">
        <v>0</v>
      </c>
      <c r="G111" s="128">
        <v>0</v>
      </c>
      <c r="H111" s="128">
        <v>0</v>
      </c>
      <c r="I111" s="128">
        <v>0</v>
      </c>
      <c r="J111" s="128">
        <v>0</v>
      </c>
      <c r="K111" s="129">
        <v>2</v>
      </c>
      <c r="L111" s="130">
        <f>IF(E111=0,"-",(I111/E111))</f>
        <v>0</v>
      </c>
      <c r="M111" s="130">
        <f>IF(E111=0,"-",(J111/E111))</f>
        <v>0</v>
      </c>
      <c r="N111" s="130">
        <f>IF(E111=0,"-",(K111/E111))</f>
        <v>1</v>
      </c>
      <c r="O111" s="130">
        <f>IF(E111=0,"-",(M111+N111))</f>
        <v>1</v>
      </c>
      <c r="P111" s="131"/>
    </row>
    <row r="112" spans="1:16" s="49" customFormat="1" ht="15" x14ac:dyDescent="0.3">
      <c r="A112" s="7">
        <v>5</v>
      </c>
      <c r="B112" s="156" t="s">
        <v>214</v>
      </c>
      <c r="C112" s="156"/>
      <c r="D112" s="33">
        <v>95</v>
      </c>
      <c r="E112" s="33">
        <v>53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5">
        <f>IF(E112=0,"-",E112-(I112+J112))</f>
        <v>53</v>
      </c>
      <c r="L112" s="34">
        <f>IF(E112=0,"-",(I112/E112))</f>
        <v>0</v>
      </c>
      <c r="M112" s="34">
        <f>IF(E112=0,"-",(J112/E112))</f>
        <v>0</v>
      </c>
      <c r="N112" s="34">
        <f>IF(E112=0,"-",(K112/E112))</f>
        <v>1</v>
      </c>
      <c r="O112" s="34">
        <f>IF(E112=0,"-",(M112+N112))</f>
        <v>1</v>
      </c>
      <c r="P112" s="79"/>
    </row>
    <row r="113" spans="1:16" s="115" customFormat="1" ht="21" customHeight="1" x14ac:dyDescent="0.3">
      <c r="A113" s="30">
        <v>6</v>
      </c>
      <c r="B113" s="164" t="s">
        <v>216</v>
      </c>
      <c r="C113" s="164"/>
      <c r="D113" s="122">
        <v>156</v>
      </c>
      <c r="E113" s="122" t="s">
        <v>159</v>
      </c>
      <c r="F113" s="121">
        <v>0</v>
      </c>
      <c r="G113" s="121">
        <v>0</v>
      </c>
      <c r="H113" s="121">
        <v>0</v>
      </c>
      <c r="I113" s="121">
        <v>0</v>
      </c>
      <c r="J113" s="121">
        <v>0</v>
      </c>
      <c r="K113" s="123">
        <v>191</v>
      </c>
      <c r="L113" s="124">
        <v>0</v>
      </c>
      <c r="M113" s="124">
        <v>0</v>
      </c>
      <c r="N113" s="124">
        <v>1</v>
      </c>
      <c r="O113" s="124">
        <v>1</v>
      </c>
      <c r="P113" s="125"/>
    </row>
    <row r="114" spans="1:16" s="20" customFormat="1" ht="21" customHeight="1" x14ac:dyDescent="0.3">
      <c r="A114" s="7">
        <v>7</v>
      </c>
      <c r="B114" s="164" t="s">
        <v>215</v>
      </c>
      <c r="C114" s="164"/>
      <c r="D114" s="122">
        <v>1</v>
      </c>
      <c r="E114" s="122">
        <v>1</v>
      </c>
      <c r="F114" s="121">
        <v>0</v>
      </c>
      <c r="G114" s="121">
        <v>0</v>
      </c>
      <c r="H114" s="121">
        <v>0</v>
      </c>
      <c r="I114" s="121">
        <v>0</v>
      </c>
      <c r="J114" s="121">
        <v>0</v>
      </c>
      <c r="K114" s="123">
        <v>1</v>
      </c>
      <c r="L114" s="124">
        <v>0</v>
      </c>
      <c r="M114" s="124">
        <v>0</v>
      </c>
      <c r="N114" s="124">
        <v>1</v>
      </c>
      <c r="O114" s="124">
        <v>1</v>
      </c>
      <c r="P114" s="125"/>
    </row>
    <row r="115" spans="1:16" s="20" customFormat="1" ht="29.25" customHeight="1" x14ac:dyDescent="0.3">
      <c r="A115" s="30">
        <v>8</v>
      </c>
      <c r="B115" s="164" t="s">
        <v>217</v>
      </c>
      <c r="C115" s="164"/>
      <c r="D115" s="122">
        <v>5</v>
      </c>
      <c r="E115" s="122">
        <v>4</v>
      </c>
      <c r="F115" s="121">
        <v>0</v>
      </c>
      <c r="G115" s="121">
        <v>0</v>
      </c>
      <c r="H115" s="121">
        <v>0</v>
      </c>
      <c r="I115" s="121">
        <v>0</v>
      </c>
      <c r="J115" s="121">
        <v>0</v>
      </c>
      <c r="K115" s="123">
        <v>4</v>
      </c>
      <c r="L115" s="124">
        <v>0</v>
      </c>
      <c r="M115" s="124">
        <v>0</v>
      </c>
      <c r="N115" s="124">
        <v>1</v>
      </c>
      <c r="O115" s="124">
        <v>1</v>
      </c>
      <c r="P115" s="125"/>
    </row>
    <row r="116" spans="1:16" s="20" customFormat="1" ht="29.25" customHeight="1" x14ac:dyDescent="0.3">
      <c r="A116" s="7">
        <v>9</v>
      </c>
      <c r="B116" s="164" t="s">
        <v>218</v>
      </c>
      <c r="C116" s="164"/>
      <c r="D116" s="122">
        <v>6</v>
      </c>
      <c r="E116" s="122">
        <v>4</v>
      </c>
      <c r="F116" s="121">
        <v>0</v>
      </c>
      <c r="G116" s="121">
        <v>0</v>
      </c>
      <c r="H116" s="121">
        <v>0</v>
      </c>
      <c r="I116" s="121">
        <v>0</v>
      </c>
      <c r="J116" s="121">
        <v>0</v>
      </c>
      <c r="K116" s="123">
        <v>4</v>
      </c>
      <c r="L116" s="124">
        <v>0</v>
      </c>
      <c r="M116" s="124">
        <v>0</v>
      </c>
      <c r="N116" s="124">
        <v>1</v>
      </c>
      <c r="O116" s="124">
        <v>1</v>
      </c>
      <c r="P116" s="125"/>
    </row>
    <row r="117" spans="1:16" s="20" customFormat="1" ht="24" customHeight="1" x14ac:dyDescent="0.3">
      <c r="A117" s="30">
        <v>10</v>
      </c>
      <c r="B117" s="164" t="s">
        <v>219</v>
      </c>
      <c r="C117" s="164"/>
      <c r="D117" s="122">
        <v>1</v>
      </c>
      <c r="E117" s="122">
        <v>1</v>
      </c>
      <c r="F117" s="121">
        <v>0</v>
      </c>
      <c r="G117" s="121">
        <v>0</v>
      </c>
      <c r="H117" s="121">
        <v>0</v>
      </c>
      <c r="I117" s="121">
        <v>0</v>
      </c>
      <c r="J117" s="121">
        <v>0</v>
      </c>
      <c r="K117" s="123">
        <v>1</v>
      </c>
      <c r="L117" s="124">
        <v>0</v>
      </c>
      <c r="M117" s="124">
        <v>0</v>
      </c>
      <c r="N117" s="124">
        <v>1</v>
      </c>
      <c r="O117" s="124">
        <v>1</v>
      </c>
      <c r="P117" s="125"/>
    </row>
    <row r="118" spans="1:16" s="20" customFormat="1" ht="85.5" customHeight="1" x14ac:dyDescent="0.3">
      <c r="A118" s="7">
        <v>11</v>
      </c>
      <c r="B118" s="155" t="s">
        <v>220</v>
      </c>
      <c r="C118" s="155"/>
      <c r="D118" s="33">
        <v>0</v>
      </c>
      <c r="E118" s="33">
        <v>9</v>
      </c>
      <c r="F118" s="33">
        <v>6</v>
      </c>
      <c r="G118" s="33">
        <v>0</v>
      </c>
      <c r="H118" s="33">
        <v>0</v>
      </c>
      <c r="I118" s="33">
        <v>6</v>
      </c>
      <c r="J118" s="33">
        <v>0</v>
      </c>
      <c r="K118" s="35">
        <f>IF(E118=0,"-",E118-(I118+J118))</f>
        <v>3</v>
      </c>
      <c r="L118" s="34">
        <f>IF(E118=0,"-",(I118/E118))</f>
        <v>0.66666666666666663</v>
      </c>
      <c r="M118" s="34">
        <f>IF(E118=0,"-",(J118/E118))</f>
        <v>0</v>
      </c>
      <c r="N118" s="34">
        <f>IF(E118=0,"-",(K118/E118))</f>
        <v>0.33333333333333331</v>
      </c>
      <c r="O118" s="34">
        <f>IF(E118=0,"-",(M118+N118))</f>
        <v>0.33333333333333331</v>
      </c>
      <c r="P118" s="140" t="s">
        <v>161</v>
      </c>
    </row>
    <row r="119" spans="1:16" s="20" customFormat="1" ht="2.25" customHeight="1" x14ac:dyDescent="0.3">
      <c r="A119" s="30">
        <v>12</v>
      </c>
      <c r="B119" s="165"/>
      <c r="C119" s="165"/>
      <c r="D119" s="122"/>
      <c r="E119" s="122"/>
      <c r="F119" s="122"/>
      <c r="G119" s="122"/>
      <c r="H119" s="121"/>
      <c r="I119" s="121"/>
      <c r="J119" s="122"/>
      <c r="K119" s="126"/>
      <c r="L119" s="127"/>
      <c r="M119" s="127"/>
      <c r="N119" s="127"/>
      <c r="O119" s="127"/>
      <c r="P119" s="125"/>
    </row>
    <row r="120" spans="1:16" s="20" customFormat="1" ht="1.5" customHeight="1" x14ac:dyDescent="0.3">
      <c r="A120" s="7">
        <v>13</v>
      </c>
      <c r="B120" s="165"/>
      <c r="C120" s="165"/>
      <c r="D120" s="122"/>
      <c r="E120" s="122"/>
      <c r="F120" s="122"/>
      <c r="G120" s="122"/>
      <c r="H120" s="121"/>
      <c r="I120" s="121"/>
      <c r="J120" s="122"/>
      <c r="K120" s="126"/>
      <c r="L120" s="127"/>
      <c r="M120" s="127"/>
      <c r="N120" s="127"/>
      <c r="O120" s="127"/>
      <c r="P120" s="125"/>
    </row>
    <row r="121" spans="1:16" s="20" customFormat="1" ht="14.25" hidden="1" customHeight="1" x14ac:dyDescent="0.3">
      <c r="A121" s="30">
        <v>14</v>
      </c>
      <c r="B121" s="165"/>
      <c r="C121" s="165"/>
      <c r="D121" s="122"/>
      <c r="E121" s="122"/>
      <c r="F121" s="122"/>
      <c r="G121" s="122"/>
      <c r="H121" s="121"/>
      <c r="I121" s="121"/>
      <c r="J121" s="122"/>
      <c r="K121" s="126"/>
      <c r="L121" s="127"/>
      <c r="M121" s="127"/>
      <c r="N121" s="127"/>
      <c r="O121" s="127"/>
      <c r="P121" s="125"/>
    </row>
    <row r="122" spans="1:16" s="20" customFormat="1" ht="27.75" hidden="1" customHeight="1" x14ac:dyDescent="0.3">
      <c r="A122" s="7">
        <v>15</v>
      </c>
      <c r="B122" s="165"/>
      <c r="C122" s="165"/>
      <c r="D122" s="122"/>
      <c r="E122" s="122"/>
      <c r="F122" s="122"/>
      <c r="G122" s="122"/>
      <c r="H122" s="121"/>
      <c r="I122" s="121"/>
      <c r="J122" s="122"/>
      <c r="K122" s="126"/>
      <c r="L122" s="127"/>
      <c r="M122" s="127"/>
      <c r="N122" s="127"/>
      <c r="O122" s="127"/>
      <c r="P122" s="125"/>
    </row>
    <row r="123" spans="1:16" s="20" customFormat="1" ht="12" hidden="1" customHeight="1" x14ac:dyDescent="0.3">
      <c r="A123" s="30">
        <v>16</v>
      </c>
      <c r="B123" s="166"/>
      <c r="C123" s="166"/>
      <c r="D123" s="65"/>
      <c r="E123" s="65"/>
      <c r="F123" s="65"/>
      <c r="G123" s="65"/>
      <c r="H123" s="64"/>
      <c r="I123" s="64"/>
      <c r="J123" s="65"/>
      <c r="K123" s="66"/>
      <c r="L123" s="67"/>
      <c r="M123" s="67"/>
      <c r="N123" s="67"/>
      <c r="O123" s="67"/>
      <c r="P123" s="68"/>
    </row>
    <row r="124" spans="1:16" s="20" customFormat="1" ht="23.25" hidden="1" customHeight="1" x14ac:dyDescent="0.3">
      <c r="A124" s="21"/>
      <c r="B124" s="23"/>
      <c r="C124" s="22"/>
      <c r="D124" s="22"/>
      <c r="E124" s="22"/>
      <c r="F124" s="22"/>
      <c r="G124" s="22"/>
      <c r="H124" s="21"/>
      <c r="I124" s="21"/>
      <c r="J124" s="22"/>
      <c r="K124" s="36"/>
      <c r="L124" s="37"/>
      <c r="M124" s="37"/>
      <c r="N124" s="37"/>
      <c r="O124" s="37"/>
      <c r="P124" s="38"/>
    </row>
    <row r="125" spans="1:16" s="20" customFormat="1" ht="26.25" customHeight="1" x14ac:dyDescent="0.3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</row>
    <row r="126" spans="1:16" s="20" customFormat="1" ht="26.25" customHeight="1" x14ac:dyDescent="0.3">
      <c r="A126" s="39"/>
      <c r="B126" s="163"/>
      <c r="C126" s="163"/>
      <c r="D126" s="40"/>
      <c r="E126" s="40"/>
      <c r="F126" s="40"/>
      <c r="G126" s="40"/>
      <c r="H126" s="40"/>
      <c r="I126" s="40"/>
      <c r="J126" s="40"/>
      <c r="K126" s="41"/>
      <c r="L126" s="42"/>
      <c r="M126" s="42"/>
      <c r="N126" s="42"/>
      <c r="O126" s="42"/>
      <c r="P126" s="43"/>
    </row>
    <row r="127" spans="1:16" s="20" customFormat="1" ht="26.25" customHeight="1" x14ac:dyDescent="0.3">
      <c r="A127" s="39"/>
      <c r="B127" s="163"/>
      <c r="C127" s="163"/>
      <c r="D127" s="40"/>
      <c r="E127" s="40"/>
      <c r="F127" s="40"/>
      <c r="G127" s="40"/>
      <c r="H127" s="40"/>
      <c r="I127" s="40"/>
      <c r="J127" s="40"/>
      <c r="K127" s="41"/>
      <c r="L127" s="42"/>
      <c r="M127" s="42"/>
      <c r="N127" s="42"/>
      <c r="O127" s="42"/>
      <c r="P127" s="43"/>
    </row>
    <row r="128" spans="1:16" s="20" customFormat="1" ht="26.25" customHeight="1" x14ac:dyDescent="0.3">
      <c r="A128" s="39"/>
      <c r="B128" s="163"/>
      <c r="C128" s="163"/>
      <c r="D128" s="40"/>
      <c r="E128" s="40"/>
      <c r="F128" s="40"/>
      <c r="G128" s="40"/>
      <c r="H128" s="40"/>
      <c r="I128" s="40"/>
      <c r="J128" s="40"/>
      <c r="K128" s="41"/>
      <c r="L128" s="42"/>
      <c r="M128" s="42"/>
      <c r="N128" s="42"/>
      <c r="O128" s="42"/>
      <c r="P128" s="43"/>
    </row>
    <row r="129" spans="1:16" s="20" customFormat="1" ht="45" customHeight="1" x14ac:dyDescent="0.3">
      <c r="A129" s="39"/>
      <c r="B129" s="163"/>
      <c r="C129" s="163"/>
      <c r="D129" s="40"/>
      <c r="E129" s="40"/>
      <c r="F129" s="40"/>
      <c r="G129" s="40"/>
      <c r="H129" s="40"/>
      <c r="I129" s="40"/>
      <c r="J129" s="40"/>
      <c r="K129" s="41"/>
      <c r="L129" s="42"/>
      <c r="M129" s="42"/>
      <c r="N129" s="42"/>
      <c r="O129" s="42"/>
      <c r="P129" s="44"/>
    </row>
    <row r="130" spans="1:16" s="20" customFormat="1" ht="26.25" customHeight="1" x14ac:dyDescent="0.3">
      <c r="A130" s="39"/>
      <c r="B130" s="163"/>
      <c r="C130" s="163"/>
      <c r="D130" s="40"/>
      <c r="E130" s="40"/>
      <c r="F130" s="40"/>
      <c r="G130" s="40"/>
      <c r="H130" s="40"/>
      <c r="I130" s="40"/>
      <c r="J130" s="40"/>
      <c r="K130" s="41"/>
      <c r="L130" s="42"/>
      <c r="M130" s="42"/>
      <c r="N130" s="42"/>
      <c r="O130" s="42"/>
      <c r="P130" s="43"/>
    </row>
    <row r="131" spans="1:16" s="20" customFormat="1" ht="26.25" customHeight="1" x14ac:dyDescent="0.3">
      <c r="A131" s="39"/>
      <c r="B131" s="176"/>
      <c r="C131" s="176"/>
      <c r="D131" s="40"/>
      <c r="E131" s="40"/>
      <c r="F131" s="45"/>
      <c r="G131" s="45"/>
      <c r="H131" s="45"/>
      <c r="I131" s="40"/>
      <c r="J131" s="40"/>
      <c r="K131" s="41"/>
      <c r="L131" s="42"/>
      <c r="M131" s="42"/>
      <c r="N131" s="42"/>
      <c r="O131" s="42"/>
      <c r="P131" s="46"/>
    </row>
    <row r="132" spans="1:16" ht="26.25" customHeight="1" x14ac:dyDescent="0.3"/>
    <row r="133" spans="1:16" ht="27.75" customHeight="1" x14ac:dyDescent="0.3"/>
    <row r="134" spans="1:16" ht="27.75" customHeight="1" x14ac:dyDescent="0.3"/>
    <row r="135" spans="1:16" ht="27.75" customHeight="1" x14ac:dyDescent="0.3"/>
    <row r="136" spans="1:16" ht="27.75" customHeight="1" x14ac:dyDescent="0.3"/>
    <row r="137" spans="1:16" ht="27.75" customHeight="1" x14ac:dyDescent="0.3"/>
  </sheetData>
  <mergeCells count="119">
    <mergeCell ref="B109:C109"/>
    <mergeCell ref="B110:C110"/>
    <mergeCell ref="B111:C111"/>
    <mergeCell ref="A107:P107"/>
    <mergeCell ref="B103:C103"/>
    <mergeCell ref="B112:C112"/>
    <mergeCell ref="A104:P104"/>
    <mergeCell ref="B105:C105"/>
    <mergeCell ref="B131:C131"/>
    <mergeCell ref="B130:C130"/>
    <mergeCell ref="B129:C129"/>
    <mergeCell ref="B121:C121"/>
    <mergeCell ref="B115:C115"/>
    <mergeCell ref="B116:C116"/>
    <mergeCell ref="B118:C118"/>
    <mergeCell ref="B3:C4"/>
    <mergeCell ref="D3:E3"/>
    <mergeCell ref="F3:H3"/>
    <mergeCell ref="A2:P2"/>
    <mergeCell ref="P3:P4"/>
    <mergeCell ref="I3:I4"/>
    <mergeCell ref="J3:J4"/>
    <mergeCell ref="K3:K4"/>
    <mergeCell ref="L3:L4"/>
    <mergeCell ref="N3:N4"/>
    <mergeCell ref="O3:O4"/>
    <mergeCell ref="A3:A4"/>
    <mergeCell ref="M3:M4"/>
    <mergeCell ref="B43:C43"/>
    <mergeCell ref="B5:C5"/>
    <mergeCell ref="A11:A14"/>
    <mergeCell ref="B11:C11"/>
    <mergeCell ref="A15:A20"/>
    <mergeCell ref="A21:A25"/>
    <mergeCell ref="B29:C29"/>
    <mergeCell ref="B53:C53"/>
    <mergeCell ref="B58:C58"/>
    <mergeCell ref="B56:C56"/>
    <mergeCell ref="A40:A42"/>
    <mergeCell ref="B40:C40"/>
    <mergeCell ref="A43:A47"/>
    <mergeCell ref="J6:J7"/>
    <mergeCell ref="K6:K7"/>
    <mergeCell ref="M6:M7"/>
    <mergeCell ref="B21:C21"/>
    <mergeCell ref="B15:C15"/>
    <mergeCell ref="A26:A28"/>
    <mergeCell ref="B26:C26"/>
    <mergeCell ref="A29:A34"/>
    <mergeCell ref="A35:A39"/>
    <mergeCell ref="B35:C35"/>
    <mergeCell ref="L6:L7"/>
    <mergeCell ref="A48:A52"/>
    <mergeCell ref="B48:C48"/>
    <mergeCell ref="A53:A55"/>
    <mergeCell ref="A56:A57"/>
    <mergeCell ref="A58:A60"/>
    <mergeCell ref="A61:A63"/>
    <mergeCell ref="A64:A66"/>
    <mergeCell ref="B61:C61"/>
    <mergeCell ref="B64:C64"/>
    <mergeCell ref="B80:C80"/>
    <mergeCell ref="B69:C69"/>
    <mergeCell ref="B72:C72"/>
    <mergeCell ref="B68:C68"/>
    <mergeCell ref="B70:C70"/>
    <mergeCell ref="B79:C79"/>
    <mergeCell ref="B88:C88"/>
    <mergeCell ref="B83:C83"/>
    <mergeCell ref="A84:C84"/>
    <mergeCell ref="B73:C73"/>
    <mergeCell ref="B90:C90"/>
    <mergeCell ref="B85:C85"/>
    <mergeCell ref="B71:C71"/>
    <mergeCell ref="B81:C81"/>
    <mergeCell ref="B82:C82"/>
    <mergeCell ref="B128:C128"/>
    <mergeCell ref="B114:C114"/>
    <mergeCell ref="B119:C119"/>
    <mergeCell ref="B89:C89"/>
    <mergeCell ref="B97:C97"/>
    <mergeCell ref="B98:C98"/>
    <mergeCell ref="B99:C99"/>
    <mergeCell ref="B100:C100"/>
    <mergeCell ref="B91:C91"/>
    <mergeCell ref="B108:C108"/>
    <mergeCell ref="B126:C126"/>
    <mergeCell ref="B127:C127"/>
    <mergeCell ref="B122:C122"/>
    <mergeCell ref="B123:C123"/>
    <mergeCell ref="B117:C117"/>
    <mergeCell ref="B113:C113"/>
    <mergeCell ref="B106:C106"/>
    <mergeCell ref="A125:P125"/>
    <mergeCell ref="B120:C120"/>
    <mergeCell ref="B102:C102"/>
    <mergeCell ref="B87:C87"/>
    <mergeCell ref="M1:P1"/>
    <mergeCell ref="A1:L1"/>
    <mergeCell ref="B101:C101"/>
    <mergeCell ref="P6:P7"/>
    <mergeCell ref="D6:E6"/>
    <mergeCell ref="B74:C74"/>
    <mergeCell ref="B75:C75"/>
    <mergeCell ref="B76:C76"/>
    <mergeCell ref="B86:C86"/>
    <mergeCell ref="O6:O7"/>
    <mergeCell ref="B92:C92"/>
    <mergeCell ref="N6:N7"/>
    <mergeCell ref="B8:C8"/>
    <mergeCell ref="B94:C94"/>
    <mergeCell ref="B95:C95"/>
    <mergeCell ref="B96:C96"/>
    <mergeCell ref="F6:H6"/>
    <mergeCell ref="I6:I7"/>
    <mergeCell ref="B93:C93"/>
    <mergeCell ref="A77:C77"/>
    <mergeCell ref="B78:C78"/>
    <mergeCell ref="A67:P67"/>
  </mergeCells>
  <phoneticPr fontId="11" type="noConversion"/>
  <dataValidations count="2">
    <dataValidation type="whole" allowBlank="1" showInputMessage="1" showErrorMessage="1" errorTitle="Value Between 0 to 200000" sqref="K126:K131 K9:K66 K68:K103 K105:K106 K108:K124" xr:uid="{05B41425-E3C3-4FE6-9271-D98F856DF647}">
      <formula1>0</formula1>
      <formula2>200000</formula2>
    </dataValidation>
    <dataValidation type="whole" allowBlank="1" showInputMessage="1" showErrorMessage="1" sqref="D126:H131 J126:J131 D9:H66 J9:J66 F113:H117 D68:H103 J105:J106 J68:J103 D105:H106 D118:H118 D108:H112 J108:J118" xr:uid="{39D32E8A-631F-4C68-AAFE-31BAF9131468}">
      <formula1>0</formula1>
      <formula2>50000</formula2>
    </dataValidation>
  </dataValidations>
  <pageMargins left="0.47244094488188981" right="0.43307086614173229" top="0.51181102362204722" bottom="0.23622047244094491" header="0.31496062992125984" footer="0.31496062992125984"/>
  <pageSetup paperSize="9" scale="74" orientation="landscape" r:id="rId1"/>
  <ignoredErrors>
    <ignoredError sqref="I10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B Veh</vt:lpstr>
      <vt:lpstr>C Veh</vt:lpstr>
      <vt:lpstr>Armt</vt:lpstr>
      <vt:lpstr>SA</vt:lpstr>
      <vt:lpstr>Inst</vt:lpstr>
      <vt:lpstr>Armt!Print_Area</vt:lpstr>
      <vt:lpstr>'B Veh'!Print_Area</vt:lpstr>
      <vt:lpstr>'C Veh'!Print_Area</vt:lpstr>
      <vt:lpstr>Inst!Print_Area</vt:lpstr>
      <vt:lpstr>SA!Print_Area</vt:lpstr>
      <vt:lpstr>'B Veh'!Print_Titles</vt:lpstr>
      <vt:lpstr>'C Veh'!Print_Titles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2026-03-10T11:40:20Z</dcterms:modified>
</cp:coreProperties>
</file>